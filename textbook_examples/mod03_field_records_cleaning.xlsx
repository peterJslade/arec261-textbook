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125" documentId="11_F459A3160A9B7F43279732CADF3B43875AA2B4A9" xr6:coauthVersionLast="47" xr6:coauthVersionMax="47" xr10:uidLastSave="{FD0CA789-9E69-8849-A4F9-5E224104E92F}"/>
  <bookViews>
    <workbookView xWindow="0" yWindow="600" windowWidth="38400" windowHeight="21000" activeTab="3" xr2:uid="{00000000-000D-0000-FFFF-FFFF00000000}"/>
  </bookViews>
  <sheets>
    <sheet name="README" sheetId="1" r:id="rId1"/>
    <sheet name="RawData" sheetId="2" r:id="rId2"/>
    <sheet name="DataSummary" sheetId="3" r:id="rId3"/>
    <sheet name="clean_data" sheetId="6" r:id="rId4"/>
  </sheets>
  <definedNames>
    <definedName name="_xlchart.v1.0" hidden="1">RawData!$H$16:$H$39</definedName>
    <definedName name="_xlchart.v1.1" hidden="1">RawData!$H$1:$H$15</definedName>
    <definedName name="_xlchart.v1.2" hidden="1">RawData!$H$16:$H$39</definedName>
    <definedName name="_xlchart.v1.3" hidden="1">RawData!$H$1:$H$15</definedName>
    <definedName name="_xlchart.v1.4" hidden="1">RawData!$G$1</definedName>
    <definedName name="_xlchart.v1.5" hidden="1">RawData!$G$2:$G$39</definedName>
    <definedName name="_xlchart.v1.6" hidden="1">RawData!$D$1</definedName>
    <definedName name="_xlchart.v1.7" hidden="1">RawData!$D$2:$D$39</definedName>
    <definedName name="_xlchart.v1.8" hidden="1">RawData!$E$1</definedName>
    <definedName name="_xlchart.v1.9" hidden="1">RawData!$E$2:$E$39</definedName>
    <definedName name="ExternalData_1" localSheetId="3" hidden="1">clean_data!$A$1:$H$37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3" l="1" a="1"/>
  <c r="A12" i="3" s="1"/>
  <c r="B12" i="3" s="1"/>
  <c r="B8" i="3"/>
  <c r="B7" i="3"/>
  <c r="B6" i="3"/>
  <c r="B5" i="3"/>
  <c r="B4" i="3"/>
  <c r="B3" i="3"/>
  <c r="B20" i="3"/>
  <c r="B21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B22" i="3" l="1"/>
  <c r="B14" i="3"/>
  <c r="B15" i="3"/>
  <c r="B13" i="3"/>
  <c r="B16" i="3"/>
  <c r="B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26779-EC05-F44D-821D-E020B68F41F6}" keepAlive="1" name="Query - field_records_messy" description="Connection to the 'field_records_messy' query in the workbook." type="5" refreshedVersion="8" background="1" saveData="1">
    <dbPr connection="Provider=Microsoft.Mashup.OleDb.1;Data Source=$Workbook$;Location=field_records_messy;Extended Properties=&quot;&quot;" command="SELECT * FROM [field_records_mess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<sst xmlns="http://schemas.openxmlformats.org/spreadsheetml/2006/main" count="287" uniqueCount="165">
  <si>
    <t>Checking and cleaning the field records</t>
  </si>
  <si>
    <t>Source: field_records_messy.csv -- one season of spring wheat field records, constructed to contain the eight data-quality issues from Module 3. Harvest weights are consistent with yield x acres, so the columns can be checked against each other.</t>
  </si>
  <si>
    <t>Sheets:</t>
  </si>
  <si>
    <t xml:space="preserve">  Data    -- the raw file exactly as imported. Never edited.</t>
  </si>
  <si>
    <t xml:space="preserve">  Checks  -- summary statistics, a category count and a duplicate count that expose the issues.</t>
  </si>
  <si>
    <t xml:space="preserve">  Clean   -- the cleaned dataset, built entirely with formulas from the Data sheet, so every fix is visible and repeatable.</t>
  </si>
  <si>
    <t>The eight issues and where they are handled:</t>
  </si>
  <si>
    <t xml:space="preserve">  1. Awkward column names        -- renamed in row 1 of Clean</t>
  </si>
  <si>
    <t xml:space="preserve">  2. Text in a numeric column    -- harvest weight unit stripped in Clean column F</t>
  </si>
  <si>
    <t xml:space="preserve">  3. Duplicate rows              -- counted on Checks; flagged in Clean column I</t>
  </si>
  <si>
    <t xml:space="preserve">  4. Missing-value codes         -- -99, N/A, missing, 9999 blanked in Clean columns E and H</t>
  </si>
  <si>
    <t xml:space="preserve">  5. Impossible values           -- the -12 and 1250 yields blanked in Clean column E</t>
  </si>
  <si>
    <t xml:space="preserve">  6. Mixed units                 -- N rates below 1 converted from t/ha to kg/ha in Clean column G</t>
  </si>
  <si>
    <t xml:space="preserve">  7. Inconsistent categories     -- four Brandon spellings unified in Clean column B</t>
  </si>
  <si>
    <t xml:space="preserve">  8. Mixed date formats          -- parsed to real dates in Clean column C</t>
  </si>
  <si>
    <t>Field ID</t>
  </si>
  <si>
    <t>VARIETY_NAME</t>
  </si>
  <si>
    <t>SeededDate</t>
  </si>
  <si>
    <t>Acres</t>
  </si>
  <si>
    <t>Yield (bu/ac)</t>
  </si>
  <si>
    <t>harvest weight</t>
  </si>
  <si>
    <t>N rate</t>
  </si>
  <si>
    <t>Moisture %</t>
  </si>
  <si>
    <t>F001</t>
  </si>
  <si>
    <t>AAC Viewfield</t>
  </si>
  <si>
    <t>06-01-2026</t>
  </si>
  <si>
    <t>297.7 t</t>
  </si>
  <si>
    <t>F002</t>
  </si>
  <si>
    <t>Brandon</t>
  </si>
  <si>
    <t>2026-05-13</t>
  </si>
  <si>
    <t>476.0 t</t>
  </si>
  <si>
    <t>F003</t>
  </si>
  <si>
    <t>CDC Landmark</t>
  </si>
  <si>
    <t>2026/06/04</t>
  </si>
  <si>
    <t>172.6 t</t>
  </si>
  <si>
    <t>F004</t>
  </si>
  <si>
    <t>Brandon AAC</t>
  </si>
  <si>
    <t>Jun-18-2026</t>
  </si>
  <si>
    <t>642.5 t</t>
  </si>
  <si>
    <t>F005</t>
  </si>
  <si>
    <t>06-06-2026</t>
  </si>
  <si>
    <t>561.5 t</t>
  </si>
  <si>
    <t>F006</t>
  </si>
  <si>
    <t>Brndon</t>
  </si>
  <si>
    <t>2026-05-24</t>
  </si>
  <si>
    <t>222.8 t</t>
  </si>
  <si>
    <t>N/A</t>
  </si>
  <si>
    <t>F007</t>
  </si>
  <si>
    <t>2026/06/07</t>
  </si>
  <si>
    <t>138.6 t</t>
  </si>
  <si>
    <t>F008</t>
  </si>
  <si>
    <t>AAC Brandon</t>
  </si>
  <si>
    <t>May-18-2026</t>
  </si>
  <si>
    <t>264.0 t</t>
  </si>
  <si>
    <t>F009</t>
  </si>
  <si>
    <t>05-20-2026</t>
  </si>
  <si>
    <t>226.5 t</t>
  </si>
  <si>
    <t>F010</t>
  </si>
  <si>
    <t>2026-05-19</t>
  </si>
  <si>
    <t>256.6 t</t>
  </si>
  <si>
    <t>F011</t>
  </si>
  <si>
    <t>2026/05/18</t>
  </si>
  <si>
    <t>481.3 t</t>
  </si>
  <si>
    <t>F012</t>
  </si>
  <si>
    <t>May-17-2026</t>
  </si>
  <si>
    <t>402.2 t</t>
  </si>
  <si>
    <t>F013</t>
  </si>
  <si>
    <t>05-18-2026</t>
  </si>
  <si>
    <t>269.8 t</t>
  </si>
  <si>
    <t>F014</t>
  </si>
  <si>
    <t>2026-05-20</t>
  </si>
  <si>
    <t>249.6 t</t>
  </si>
  <si>
    <t>missing</t>
  </si>
  <si>
    <t>F015</t>
  </si>
  <si>
    <t>2026/05/15</t>
  </si>
  <si>
    <t>234.9 t</t>
  </si>
  <si>
    <t>F016</t>
  </si>
  <si>
    <t>225.5 t</t>
  </si>
  <si>
    <t>F017</t>
  </si>
  <si>
    <t>05-15-2026</t>
  </si>
  <si>
    <t>418.7 t</t>
  </si>
  <si>
    <t>F018</t>
  </si>
  <si>
    <t>2026-06-27</t>
  </si>
  <si>
    <t>283.2 t</t>
  </si>
  <si>
    <t>F019</t>
  </si>
  <si>
    <t>177.8 t</t>
  </si>
  <si>
    <t>F020</t>
  </si>
  <si>
    <t>Jun-11-2026</t>
  </si>
  <si>
    <t>323.9 t</t>
  </si>
  <si>
    <t>F021</t>
  </si>
  <si>
    <t>06-10-2026</t>
  </si>
  <si>
    <t>431.7 t</t>
  </si>
  <si>
    <t>F022</t>
  </si>
  <si>
    <t>2026-05-02</t>
  </si>
  <si>
    <t>492.0 t</t>
  </si>
  <si>
    <t>F023</t>
  </si>
  <si>
    <t>2026/05/09</t>
  </si>
  <si>
    <t>365.8 t</t>
  </si>
  <si>
    <t>F024</t>
  </si>
  <si>
    <t>Jun-26-2026</t>
  </si>
  <si>
    <t>150.5 t</t>
  </si>
  <si>
    <t>F025</t>
  </si>
  <si>
    <t>226.1 t</t>
  </si>
  <si>
    <t>F026</t>
  </si>
  <si>
    <t>2026-05-23</t>
  </si>
  <si>
    <t>252.7 t</t>
  </si>
  <si>
    <t>F027</t>
  </si>
  <si>
    <t>120.3 t</t>
  </si>
  <si>
    <t>F028</t>
  </si>
  <si>
    <t>May-22-2026</t>
  </si>
  <si>
    <t>191.4 t</t>
  </si>
  <si>
    <t>F029</t>
  </si>
  <si>
    <t>05-04-2026</t>
  </si>
  <si>
    <t>268.5 t</t>
  </si>
  <si>
    <t>F030</t>
  </si>
  <si>
    <t>2026-05-11</t>
  </si>
  <si>
    <t>237.8 t</t>
  </si>
  <si>
    <t>F031</t>
  </si>
  <si>
    <t>2026/05/21</t>
  </si>
  <si>
    <t>189.5 t</t>
  </si>
  <si>
    <t>F032</t>
  </si>
  <si>
    <t>May-15-2026</t>
  </si>
  <si>
    <t>195.9 t</t>
  </si>
  <si>
    <t>F033</t>
  </si>
  <si>
    <t>386.2 t</t>
  </si>
  <si>
    <t>F034</t>
  </si>
  <si>
    <t>2026-06-01</t>
  </si>
  <si>
    <t>185.9 t</t>
  </si>
  <si>
    <t>F035</t>
  </si>
  <si>
    <t>215.8 t</t>
  </si>
  <si>
    <t>F036</t>
  </si>
  <si>
    <t>255.6 t</t>
  </si>
  <si>
    <t>Statistic</t>
  </si>
  <si>
    <t>Count (numbers)</t>
  </si>
  <si>
    <t>Count (non-empty)</t>
  </si>
  <si>
    <t>Minimum</t>
  </si>
  <si>
    <t>Maximum</t>
  </si>
  <si>
    <t>Mean</t>
  </si>
  <si>
    <t>Median</t>
  </si>
  <si>
    <t>Variety</t>
  </si>
  <si>
    <t>Count</t>
  </si>
  <si>
    <t>Rows</t>
  </si>
  <si>
    <t>field_id</t>
  </si>
  <si>
    <t>variety</t>
  </si>
  <si>
    <t>seeded_date</t>
  </si>
  <si>
    <t>acres</t>
  </si>
  <si>
    <t>yield_bu_ac</t>
  </si>
  <si>
    <t>moisture_pct</t>
  </si>
  <si>
    <t>Unique rows</t>
  </si>
  <si>
    <t>Duplicate rows</t>
  </si>
  <si>
    <t>Issues to fix:</t>
  </si>
  <si>
    <t>1. Column names</t>
  </si>
  <si>
    <t>3. Yield has impossible values</t>
  </si>
  <si>
    <t>Seeded date</t>
  </si>
  <si>
    <t>2. Seeded date not in date format</t>
  </si>
  <si>
    <t>4. Harvest weight  should be numeric</t>
  </si>
  <si>
    <t>5. N rate in different units, it seems</t>
  </si>
  <si>
    <t>7. Brandon has multiple entries</t>
  </si>
  <si>
    <t>8. Duplicate rows</t>
  </si>
  <si>
    <t>Statistics of numeric / date fields</t>
  </si>
  <si>
    <t>Table of varieties</t>
  </si>
  <si>
    <t>Count of observations</t>
  </si>
  <si>
    <t>6. Moisture has NA coded as 9999</t>
  </si>
  <si>
    <t>harvest_weight</t>
  </si>
  <si>
    <t>n_rate_kg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</si>
</sst>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rgb="FF555555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0" borderId="0" xfId="0" applyFill="1"/>
    <xf numFmtId="0" fontId="0" fillId="3" borderId="0" xfId="0" applyFill="1"/>
    <xf numFmtId="0" fontId="5" fillId="3" borderId="0" xfId="0" applyFont="1" applyFill="1" applyAlignment="1">
      <alignment horizontal="center"/>
    </xf>
    <xf numFmtId="0" fontId="4" fillId="4" borderId="0" xfId="0" applyFont="1" applyFill="1"/>
    <xf numFmtId="0" fontId="1" fillId="4" borderId="0" xfId="0" applyFont="1" applyFill="1"/>
    <xf numFmtId="0" fontId="5" fillId="5" borderId="0" xfId="0" applyFont="1" applyFill="1" applyAlignment="1">
      <alignment horizontal="center"/>
    </xf>
    <xf numFmtId="0" fontId="2" fillId="5" borderId="0" xfId="0" applyFont="1" applyFill="1"/>
    <xf numFmtId="0" fontId="0" fillId="5" borderId="0" xfId="0" applyFill="1"/>
    <xf numFmtId="0" fontId="5" fillId="5" borderId="0" xfId="0" applyFont="1" applyFill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Acres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Acres</a:t>
          </a:r>
        </a:p>
      </cx:txPr>
    </cx:title>
    <cx:plotArea>
      <cx:plotAreaRegion>
        <cx:series layoutId="clusteredColumn" uniqueId="{00000000-0574-594C-96EA-6A9A7EA71A61}">
          <cx:tx>
            <cx:txData>
              <cx:f>_xlchart.v1.6</cx:f>
              <cx:v>Acres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Yields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Yields</a:t>
          </a:r>
        </a:p>
      </cx:txPr>
    </cx:title>
    <cx:plotArea>
      <cx:plotAreaRegion>
        <cx:series layoutId="clusteredColumn" uniqueId="{00000000-709E-F74D-B769-CC5135A80F32}">
          <cx:tx>
            <cx:txData>
              <cx:f>_xlchart.v1.8</cx:f>
              <cx:v>Yield (bu/ac)</cx:v>
            </cx:txData>
          </cx:tx>
          <cx:dataId val="0"/>
          <cx:layoutPr>
            <cx:binning intervalClosed="r" underflow="0" overflow="100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Nitrogen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Nitrogen</a:t>
          </a:r>
        </a:p>
      </cx:txPr>
    </cx:title>
    <cx:plotArea>
      <cx:plotAreaRegion>
        <cx:series layoutId="clusteredColumn" uniqueId="{00000000-0B41-6F4C-AB71-3DF410CD3CDE}">
          <cx:tx>
            <cx:txData>
              <cx:f>_xlchart.v1.4</cx:f>
              <cx:v>N rate</cx:v>
            </cx:txData>
          </cx:tx>
          <cx:dataId val="0"/>
          <cx:layoutPr>
            <cx:binning intervalClosed="r" underflow="auto" overflow="150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Moisture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Moisture</a:t>
          </a:r>
        </a:p>
      </cx:txPr>
    </cx:title>
    <cx:plotArea>
      <cx:plotAreaRegion>
        <cx:series layoutId="clusteredColumn" uniqueId="{00000000-CCAE-CA4F-B575-96A7CA6EC090}">
          <cx:tx>
            <cx:txData>
              <cx:f>_xlchart.v1.1</cx:f>
              <cx:v>Moisture % 12.4 14.7 12.3 15.4 12.3 N/A 14.5 12.4 13.7 16.4 12 13.5 16.5 missing</cx:v>
            </cx:txData>
          </cx:tx>
          <cx:dataPt idx="0"/>
          <cx:dataId val="0"/>
          <cx:layoutPr>
            <cx:binning intervalClosed="r" underflow="10" overflow="20">
              <cx:binCount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1</xdr:row>
      <xdr:rowOff>114300</xdr:rowOff>
    </xdr:from>
    <xdr:to>
      <xdr:col>16</xdr:col>
      <xdr:colOff>508000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AC3930-604F-A44B-8A9E-9AD34C4535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600" y="114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596900</xdr:colOff>
      <xdr:row>16</xdr:row>
      <xdr:rowOff>88900</xdr:rowOff>
    </xdr:from>
    <xdr:to>
      <xdr:col>16</xdr:col>
      <xdr:colOff>457200</xdr:colOff>
      <xdr:row>31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9CBC4A6-0359-5841-AFE6-C5B3743B6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3800" y="2946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558800</xdr:colOff>
      <xdr:row>32</xdr:row>
      <xdr:rowOff>114300</xdr:rowOff>
    </xdr:from>
    <xdr:to>
      <xdr:col>23</xdr:col>
      <xdr:colOff>355600</xdr:colOff>
      <xdr:row>47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C38E34B-8FCF-1742-B8DF-B61624816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5700" y="5829300"/>
              <a:ext cx="9220200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25400</xdr:colOff>
      <xdr:row>1</xdr:row>
      <xdr:rowOff>165100</xdr:rowOff>
    </xdr:from>
    <xdr:to>
      <xdr:col>23</xdr:col>
      <xdr:colOff>558800</xdr:colOff>
      <xdr:row>16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C005CEE-62A8-074D-B434-00592B2526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97100" y="165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706704-D244-FA4E-B04C-12223DAFB9F0}" autoFormatId="16" applyNumberFormats="0" applyBorderFormats="0" applyFontFormats="0" applyPatternFormats="0" applyAlignmentFormats="0" applyWidthHeightFormats="0">
  <queryTableRefresh nextId="9">
    <queryTableFields count="8">
      <queryTableField id="1" name="field_id" tableColumnId="1"/>
      <queryTableField id="2" name="variety" tableColumnId="2"/>
      <queryTableField id="3" name="seeded_date" tableColumnId="3"/>
      <queryTableField id="4" name="acres" tableColumnId="4"/>
      <queryTableField id="5" name="yield_bu_ac" tableColumnId="5"/>
      <queryTableField id="6" name="harvest_weight" tableColumnId="6"/>
      <queryTableField id="7" name="moisture_pct" tableColumnId="7"/>
      <queryTableField id="8" name="n_rate_k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C7A11-263D-0340-9198-6D891499FC8E}" name="field_records_messy" displayName="field_records_messy" ref="A1:H37" tableType="queryTable" totalsRowShown="0">
  <autoFilter ref="A1:H37" xr:uid="{057C7A11-263D-0340-9198-6D891499FC8E}"/>
  <tableColumns count="8">
    <tableColumn id="1" xr3:uid="{08B0933B-4601-CB41-95FD-C2BFD0CEACDD}" uniqueName="1" name="field_id" queryTableFieldId="1" dataDxfId="2"/>
    <tableColumn id="2" xr3:uid="{93BCF575-3508-2742-B330-55C769AD8745}" uniqueName="2" name="variety" queryTableFieldId="2" dataDxfId="1"/>
    <tableColumn id="3" xr3:uid="{A03E13D6-F172-FF47-975A-0FE9D556B83B}" uniqueName="3" name="seeded_date" queryTableFieldId="3" dataDxfId="0"/>
    <tableColumn id="4" xr3:uid="{188E99CC-49A1-AE4E-B05D-CB8AA9359B5A}" uniqueName="4" name="acres" queryTableFieldId="4"/>
    <tableColumn id="5" xr3:uid="{8C0EA623-A46F-8149-8C41-ABFFD2EBC5D3}" uniqueName="5" name="yield_bu_ac" queryTableFieldId="5"/>
    <tableColumn id="6" xr3:uid="{1DD638ED-07E0-4A46-94A0-7C99E005DFF0}" uniqueName="6" name="harvest_weight" queryTableFieldId="6"/>
    <tableColumn id="7" xr3:uid="{80D59B3A-F59E-874C-ACFC-E42085721333}" uniqueName="7" name="moisture_pct" queryTableFieldId="7"/>
    <tableColumn id="8" xr3:uid="{B78A341B-4212-E14E-8510-652A173F0819}" uniqueName="8" name="n_rate_kg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opLeftCell="A3"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s="1" t="s">
        <v>0</v>
      </c>
    </row>
    <row r="3" spans="1:1" x14ac:dyDescent="0.2">
      <c r="A3" t="s">
        <v>1</v>
      </c>
    </row>
    <row r="5" spans="1:1" x14ac:dyDescent="0.2">
      <c r="A5" s="1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10" spans="1:1" x14ac:dyDescent="0.2">
      <c r="A10" s="1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opLeftCell="A17" zoomScale="200" zoomScaleNormal="200" workbookViewId="0">
      <selection activeCell="B21" sqref="B21:B30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13" customWidth="1"/>
    <col min="4" max="4" width="8" customWidth="1"/>
    <col min="5" max="5" width="13" customWidth="1"/>
    <col min="6" max="6" width="14" customWidth="1"/>
    <col min="7" max="7" width="9" customWidth="1"/>
    <col min="8" max="8" width="11" customWidth="1"/>
  </cols>
  <sheetData>
    <row r="1" spans="1:8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">
      <c r="A2" t="s">
        <v>23</v>
      </c>
      <c r="B2" t="s">
        <v>24</v>
      </c>
      <c r="C2" t="s">
        <v>25</v>
      </c>
      <c r="D2">
        <v>160</v>
      </c>
      <c r="E2">
        <v>67.599999999999994</v>
      </c>
      <c r="F2" t="s">
        <v>26</v>
      </c>
      <c r="G2">
        <v>97.1</v>
      </c>
      <c r="H2">
        <v>12.4</v>
      </c>
    </row>
    <row r="3" spans="1:8" x14ac:dyDescent="0.2">
      <c r="A3" t="s">
        <v>27</v>
      </c>
      <c r="B3" t="s">
        <v>28</v>
      </c>
      <c r="C3" t="s">
        <v>29</v>
      </c>
      <c r="D3">
        <v>320</v>
      </c>
      <c r="E3">
        <v>54.9</v>
      </c>
      <c r="F3" t="s">
        <v>30</v>
      </c>
      <c r="G3">
        <v>96.2</v>
      </c>
      <c r="H3">
        <v>14.7</v>
      </c>
    </row>
    <row r="4" spans="1:8" x14ac:dyDescent="0.2">
      <c r="A4" t="s">
        <v>31</v>
      </c>
      <c r="B4" t="s">
        <v>32</v>
      </c>
      <c r="C4" t="s">
        <v>33</v>
      </c>
      <c r="D4">
        <v>120</v>
      </c>
      <c r="E4">
        <v>54.4</v>
      </c>
      <c r="F4" t="s">
        <v>34</v>
      </c>
      <c r="G4">
        <v>8.1000000000000003E-2</v>
      </c>
      <c r="H4">
        <v>12.3</v>
      </c>
    </row>
    <row r="5" spans="1:8" x14ac:dyDescent="0.2">
      <c r="A5" t="s">
        <v>35</v>
      </c>
      <c r="B5" t="s">
        <v>36</v>
      </c>
      <c r="C5" t="s">
        <v>37</v>
      </c>
      <c r="D5">
        <v>320</v>
      </c>
      <c r="E5">
        <v>-99</v>
      </c>
      <c r="F5" t="s">
        <v>38</v>
      </c>
      <c r="G5">
        <v>116.7</v>
      </c>
      <c r="H5">
        <v>15.4</v>
      </c>
    </row>
    <row r="6" spans="1:8" x14ac:dyDescent="0.2">
      <c r="A6" t="s">
        <v>39</v>
      </c>
      <c r="B6" t="s">
        <v>32</v>
      </c>
      <c r="C6" t="s">
        <v>40</v>
      </c>
      <c r="D6">
        <v>320</v>
      </c>
      <c r="E6">
        <v>65.8</v>
      </c>
      <c r="F6" t="s">
        <v>41</v>
      </c>
      <c r="G6">
        <v>89.9</v>
      </c>
      <c r="H6">
        <v>12.3</v>
      </c>
    </row>
    <row r="7" spans="1:8" x14ac:dyDescent="0.2">
      <c r="A7" t="s">
        <v>42</v>
      </c>
      <c r="B7" t="s">
        <v>43</v>
      </c>
      <c r="C7" t="s">
        <v>44</v>
      </c>
      <c r="D7">
        <v>160</v>
      </c>
      <c r="E7">
        <v>50.8</v>
      </c>
      <c r="F7" t="s">
        <v>45</v>
      </c>
      <c r="G7">
        <v>0.113</v>
      </c>
      <c r="H7" t="s">
        <v>46</v>
      </c>
    </row>
    <row r="8" spans="1:8" x14ac:dyDescent="0.2">
      <c r="A8" t="s">
        <v>47</v>
      </c>
      <c r="B8" t="s">
        <v>24</v>
      </c>
      <c r="C8" t="s">
        <v>48</v>
      </c>
      <c r="D8">
        <v>80</v>
      </c>
      <c r="E8">
        <v>-12</v>
      </c>
      <c r="F8" t="s">
        <v>49</v>
      </c>
      <c r="G8">
        <v>135.9</v>
      </c>
      <c r="H8">
        <v>14.5</v>
      </c>
    </row>
    <row r="9" spans="1:8" x14ac:dyDescent="0.2">
      <c r="A9" t="s">
        <v>50</v>
      </c>
      <c r="B9" t="s">
        <v>51</v>
      </c>
      <c r="C9" t="s">
        <v>52</v>
      </c>
      <c r="D9">
        <v>160</v>
      </c>
      <c r="E9">
        <v>60.3</v>
      </c>
      <c r="F9" t="s">
        <v>53</v>
      </c>
      <c r="G9">
        <v>127.3</v>
      </c>
      <c r="H9">
        <v>12.4</v>
      </c>
    </row>
    <row r="10" spans="1:8" x14ac:dyDescent="0.2">
      <c r="A10" t="s">
        <v>54</v>
      </c>
      <c r="B10" t="s">
        <v>32</v>
      </c>
      <c r="C10" t="s">
        <v>55</v>
      </c>
      <c r="D10">
        <v>160</v>
      </c>
      <c r="E10">
        <v>51.5</v>
      </c>
      <c r="F10" t="s">
        <v>56</v>
      </c>
      <c r="G10">
        <v>8.1000000000000003E-2</v>
      </c>
      <c r="H10">
        <v>13.7</v>
      </c>
    </row>
    <row r="11" spans="1:8" x14ac:dyDescent="0.2">
      <c r="A11" t="s">
        <v>57</v>
      </c>
      <c r="B11" t="s">
        <v>28</v>
      </c>
      <c r="C11" t="s">
        <v>58</v>
      </c>
      <c r="D11">
        <v>160</v>
      </c>
      <c r="E11">
        <v>58.9</v>
      </c>
      <c r="F11" t="s">
        <v>59</v>
      </c>
      <c r="G11">
        <v>92.4</v>
      </c>
      <c r="H11">
        <v>16.399999999999999</v>
      </c>
    </row>
    <row r="12" spans="1:8" x14ac:dyDescent="0.2">
      <c r="A12" t="s">
        <v>60</v>
      </c>
      <c r="B12" t="s">
        <v>32</v>
      </c>
      <c r="C12" t="s">
        <v>61</v>
      </c>
      <c r="D12">
        <v>320</v>
      </c>
      <c r="E12">
        <v>54.4</v>
      </c>
      <c r="F12" t="s">
        <v>62</v>
      </c>
      <c r="G12">
        <v>82.9</v>
      </c>
      <c r="H12">
        <v>12</v>
      </c>
    </row>
    <row r="13" spans="1:8" x14ac:dyDescent="0.2">
      <c r="A13" t="s">
        <v>63</v>
      </c>
      <c r="B13" t="s">
        <v>36</v>
      </c>
      <c r="C13" t="s">
        <v>64</v>
      </c>
      <c r="D13">
        <v>240</v>
      </c>
      <c r="E13">
        <v>62</v>
      </c>
      <c r="F13" t="s">
        <v>65</v>
      </c>
      <c r="G13">
        <v>0.10299999999999999</v>
      </c>
      <c r="H13">
        <v>13.5</v>
      </c>
    </row>
    <row r="14" spans="1:8" x14ac:dyDescent="0.2">
      <c r="A14" t="s">
        <v>66</v>
      </c>
      <c r="B14" t="s">
        <v>24</v>
      </c>
      <c r="C14" t="s">
        <v>67</v>
      </c>
      <c r="D14">
        <v>240</v>
      </c>
      <c r="E14">
        <v>41.5</v>
      </c>
      <c r="F14" t="s">
        <v>68</v>
      </c>
      <c r="G14">
        <v>82.7</v>
      </c>
      <c r="H14">
        <v>16.5</v>
      </c>
    </row>
    <row r="15" spans="1:8" x14ac:dyDescent="0.2">
      <c r="A15" t="s">
        <v>69</v>
      </c>
      <c r="B15" t="s">
        <v>43</v>
      </c>
      <c r="C15" t="s">
        <v>70</v>
      </c>
      <c r="D15">
        <v>160</v>
      </c>
      <c r="E15">
        <v>57.8</v>
      </c>
      <c r="F15" t="s">
        <v>71</v>
      </c>
      <c r="G15">
        <v>134</v>
      </c>
      <c r="H15" t="s">
        <v>72</v>
      </c>
    </row>
    <row r="16" spans="1:8" x14ac:dyDescent="0.2">
      <c r="A16" t="s">
        <v>73</v>
      </c>
      <c r="B16" t="s">
        <v>32</v>
      </c>
      <c r="C16" t="s">
        <v>74</v>
      </c>
      <c r="D16">
        <v>160</v>
      </c>
      <c r="E16">
        <v>54.7</v>
      </c>
      <c r="F16" t="s">
        <v>75</v>
      </c>
      <c r="G16">
        <v>0.106</v>
      </c>
      <c r="H16">
        <v>11.6</v>
      </c>
    </row>
    <row r="17" spans="1:8" x14ac:dyDescent="0.2">
      <c r="A17" t="s">
        <v>76</v>
      </c>
      <c r="B17" t="s">
        <v>51</v>
      </c>
      <c r="C17" t="s">
        <v>64</v>
      </c>
      <c r="D17">
        <v>160</v>
      </c>
      <c r="E17">
        <v>52.9</v>
      </c>
      <c r="F17" t="s">
        <v>77</v>
      </c>
      <c r="G17">
        <v>128.5</v>
      </c>
      <c r="H17">
        <v>13</v>
      </c>
    </row>
    <row r="18" spans="1:8" x14ac:dyDescent="0.2">
      <c r="A18" t="s">
        <v>78</v>
      </c>
      <c r="B18" t="s">
        <v>32</v>
      </c>
      <c r="C18" t="s">
        <v>79</v>
      </c>
      <c r="D18">
        <v>240</v>
      </c>
      <c r="E18">
        <v>63</v>
      </c>
      <c r="F18" t="s">
        <v>80</v>
      </c>
      <c r="G18">
        <v>85.4</v>
      </c>
      <c r="H18">
        <v>15.5</v>
      </c>
    </row>
    <row r="19" spans="1:8" x14ac:dyDescent="0.2">
      <c r="A19" t="s">
        <v>81</v>
      </c>
      <c r="B19" t="s">
        <v>28</v>
      </c>
      <c r="C19" t="s">
        <v>82</v>
      </c>
      <c r="D19">
        <v>160</v>
      </c>
      <c r="E19">
        <v>63.6</v>
      </c>
      <c r="F19" t="s">
        <v>83</v>
      </c>
      <c r="G19">
        <v>0.112</v>
      </c>
      <c r="H19">
        <v>15.7</v>
      </c>
    </row>
    <row r="20" spans="1:8" x14ac:dyDescent="0.2">
      <c r="A20" t="s">
        <v>84</v>
      </c>
      <c r="B20" t="s">
        <v>24</v>
      </c>
      <c r="C20" t="s">
        <v>74</v>
      </c>
      <c r="D20">
        <v>120</v>
      </c>
      <c r="E20">
        <v>1250</v>
      </c>
      <c r="F20" t="s">
        <v>85</v>
      </c>
      <c r="G20">
        <v>104.1</v>
      </c>
      <c r="H20">
        <v>12.6</v>
      </c>
    </row>
    <row r="21" spans="1:8" x14ac:dyDescent="0.2">
      <c r="A21" t="s">
        <v>86</v>
      </c>
      <c r="B21" t="s">
        <v>36</v>
      </c>
      <c r="C21" t="s">
        <v>87</v>
      </c>
      <c r="D21">
        <v>160</v>
      </c>
      <c r="E21">
        <v>76.599999999999994</v>
      </c>
      <c r="F21" t="s">
        <v>88</v>
      </c>
      <c r="G21">
        <v>84.7</v>
      </c>
      <c r="H21">
        <v>13.1</v>
      </c>
    </row>
    <row r="22" spans="1:8" x14ac:dyDescent="0.2">
      <c r="A22" t="s">
        <v>89</v>
      </c>
      <c r="B22" t="s">
        <v>32</v>
      </c>
      <c r="C22" t="s">
        <v>90</v>
      </c>
      <c r="D22">
        <v>240</v>
      </c>
      <c r="E22">
        <v>65.099999999999994</v>
      </c>
      <c r="F22" t="s">
        <v>91</v>
      </c>
      <c r="G22">
        <v>0.129</v>
      </c>
      <c r="H22">
        <v>15.4</v>
      </c>
    </row>
    <row r="23" spans="1:8" x14ac:dyDescent="0.2">
      <c r="A23" t="s">
        <v>92</v>
      </c>
      <c r="B23" t="s">
        <v>43</v>
      </c>
      <c r="C23" t="s">
        <v>93</v>
      </c>
      <c r="D23">
        <v>320</v>
      </c>
      <c r="E23">
        <v>57.5</v>
      </c>
      <c r="F23" t="s">
        <v>94</v>
      </c>
      <c r="G23">
        <v>96.8</v>
      </c>
    </row>
    <row r="24" spans="1:8" x14ac:dyDescent="0.2">
      <c r="A24" t="s">
        <v>95</v>
      </c>
      <c r="B24" t="s">
        <v>32</v>
      </c>
      <c r="C24" t="s">
        <v>96</v>
      </c>
      <c r="D24">
        <v>240</v>
      </c>
      <c r="E24">
        <v>-99</v>
      </c>
      <c r="F24" t="s">
        <v>97</v>
      </c>
      <c r="G24">
        <v>87.2</v>
      </c>
      <c r="H24">
        <v>16</v>
      </c>
    </row>
    <row r="25" spans="1:8" x14ac:dyDescent="0.2">
      <c r="A25" t="s">
        <v>98</v>
      </c>
      <c r="B25" t="s">
        <v>51</v>
      </c>
      <c r="C25" t="s">
        <v>99</v>
      </c>
      <c r="D25">
        <v>120</v>
      </c>
      <c r="E25">
        <v>46.5</v>
      </c>
      <c r="F25" t="s">
        <v>100</v>
      </c>
      <c r="G25">
        <v>0.124</v>
      </c>
      <c r="H25">
        <v>15.3</v>
      </c>
    </row>
    <row r="26" spans="1:8" x14ac:dyDescent="0.2">
      <c r="A26" t="s">
        <v>101</v>
      </c>
      <c r="B26" t="s">
        <v>24</v>
      </c>
      <c r="C26" t="s">
        <v>90</v>
      </c>
      <c r="D26">
        <v>160</v>
      </c>
      <c r="E26">
        <v>51.7</v>
      </c>
      <c r="F26" t="s">
        <v>102</v>
      </c>
      <c r="G26">
        <v>100.8</v>
      </c>
      <c r="H26">
        <v>11.6</v>
      </c>
    </row>
    <row r="27" spans="1:8" x14ac:dyDescent="0.2">
      <c r="A27" t="s">
        <v>103</v>
      </c>
      <c r="B27" t="s">
        <v>28</v>
      </c>
      <c r="C27" t="s">
        <v>104</v>
      </c>
      <c r="D27">
        <v>160</v>
      </c>
      <c r="E27">
        <v>59.1</v>
      </c>
      <c r="F27" t="s">
        <v>105</v>
      </c>
      <c r="G27">
        <v>132.9</v>
      </c>
      <c r="H27">
        <v>15.7</v>
      </c>
    </row>
    <row r="28" spans="1:8" x14ac:dyDescent="0.2">
      <c r="A28" t="s">
        <v>106</v>
      </c>
      <c r="B28" t="s">
        <v>32</v>
      </c>
      <c r="C28" t="s">
        <v>74</v>
      </c>
      <c r="D28">
        <v>80</v>
      </c>
      <c r="E28">
        <v>54</v>
      </c>
      <c r="F28" t="s">
        <v>107</v>
      </c>
      <c r="G28">
        <v>0.13</v>
      </c>
      <c r="H28">
        <v>12.2</v>
      </c>
    </row>
    <row r="29" spans="1:8" x14ac:dyDescent="0.2">
      <c r="A29" t="s">
        <v>108</v>
      </c>
      <c r="B29" t="s">
        <v>36</v>
      </c>
      <c r="C29" t="s">
        <v>109</v>
      </c>
      <c r="D29">
        <v>160</v>
      </c>
      <c r="E29">
        <v>43.3</v>
      </c>
      <c r="F29" t="s">
        <v>110</v>
      </c>
      <c r="G29">
        <v>103.9</v>
      </c>
      <c r="H29">
        <v>15</v>
      </c>
    </row>
    <row r="30" spans="1:8" x14ac:dyDescent="0.2">
      <c r="A30" t="s">
        <v>111</v>
      </c>
      <c r="B30" t="s">
        <v>32</v>
      </c>
      <c r="C30" t="s">
        <v>112</v>
      </c>
      <c r="D30">
        <v>160</v>
      </c>
      <c r="E30">
        <v>63.3</v>
      </c>
      <c r="F30" t="s">
        <v>113</v>
      </c>
      <c r="G30">
        <v>106.3</v>
      </c>
      <c r="H30">
        <v>15.7</v>
      </c>
    </row>
    <row r="31" spans="1:8" x14ac:dyDescent="0.2">
      <c r="A31" t="s">
        <v>114</v>
      </c>
      <c r="B31" t="s">
        <v>43</v>
      </c>
      <c r="C31" t="s">
        <v>115</v>
      </c>
      <c r="D31">
        <v>160</v>
      </c>
      <c r="E31">
        <v>53.2</v>
      </c>
      <c r="F31" t="s">
        <v>116</v>
      </c>
      <c r="G31">
        <v>9.1999999999999998E-2</v>
      </c>
      <c r="H31">
        <v>9999</v>
      </c>
    </row>
    <row r="32" spans="1:8" x14ac:dyDescent="0.2">
      <c r="A32" t="s">
        <v>117</v>
      </c>
      <c r="B32" t="s">
        <v>24</v>
      </c>
      <c r="C32" t="s">
        <v>118</v>
      </c>
      <c r="D32">
        <v>120</v>
      </c>
      <c r="E32">
        <v>-99</v>
      </c>
      <c r="F32" t="s">
        <v>119</v>
      </c>
      <c r="G32">
        <v>123.2</v>
      </c>
      <c r="H32">
        <v>16</v>
      </c>
    </row>
    <row r="33" spans="1:8" x14ac:dyDescent="0.2">
      <c r="A33" t="s">
        <v>120</v>
      </c>
      <c r="B33" t="s">
        <v>51</v>
      </c>
      <c r="C33" t="s">
        <v>121</v>
      </c>
      <c r="D33">
        <v>120</v>
      </c>
      <c r="E33">
        <v>60.1</v>
      </c>
      <c r="F33" t="s">
        <v>122</v>
      </c>
      <c r="G33">
        <v>100.1</v>
      </c>
      <c r="H33">
        <v>15.4</v>
      </c>
    </row>
    <row r="34" spans="1:8" x14ac:dyDescent="0.2">
      <c r="A34" t="s">
        <v>123</v>
      </c>
      <c r="B34" t="s">
        <v>32</v>
      </c>
      <c r="C34" t="s">
        <v>79</v>
      </c>
      <c r="D34">
        <v>240</v>
      </c>
      <c r="E34">
        <v>58.6</v>
      </c>
      <c r="F34" t="s">
        <v>124</v>
      </c>
      <c r="G34">
        <v>0.08</v>
      </c>
      <c r="H34">
        <v>15.4</v>
      </c>
    </row>
    <row r="35" spans="1:8" x14ac:dyDescent="0.2">
      <c r="A35" t="s">
        <v>125</v>
      </c>
      <c r="B35" t="s">
        <v>28</v>
      </c>
      <c r="C35" t="s">
        <v>126</v>
      </c>
      <c r="D35">
        <v>120</v>
      </c>
      <c r="E35">
        <v>56.8</v>
      </c>
      <c r="F35" t="s">
        <v>127</v>
      </c>
      <c r="G35">
        <v>131.30000000000001</v>
      </c>
      <c r="H35">
        <v>14.7</v>
      </c>
    </row>
    <row r="36" spans="1:8" x14ac:dyDescent="0.2">
      <c r="A36" t="s">
        <v>128</v>
      </c>
      <c r="B36" t="s">
        <v>32</v>
      </c>
      <c r="C36" t="s">
        <v>61</v>
      </c>
      <c r="D36">
        <v>160</v>
      </c>
      <c r="E36">
        <v>50.1</v>
      </c>
      <c r="F36" t="s">
        <v>129</v>
      </c>
      <c r="G36">
        <v>89.4</v>
      </c>
      <c r="H36">
        <v>11.7</v>
      </c>
    </row>
    <row r="37" spans="1:8" x14ac:dyDescent="0.2">
      <c r="A37" t="s">
        <v>130</v>
      </c>
      <c r="B37" t="s">
        <v>36</v>
      </c>
      <c r="C37" t="s">
        <v>64</v>
      </c>
      <c r="D37">
        <v>160</v>
      </c>
      <c r="E37">
        <v>58.2</v>
      </c>
      <c r="F37" t="s">
        <v>131</v>
      </c>
      <c r="G37">
        <v>0.13</v>
      </c>
      <c r="H37">
        <v>12.9</v>
      </c>
    </row>
    <row r="38" spans="1:8" x14ac:dyDescent="0.2">
      <c r="A38" t="s">
        <v>63</v>
      </c>
      <c r="B38" t="s">
        <v>36</v>
      </c>
      <c r="C38" t="s">
        <v>64</v>
      </c>
      <c r="D38">
        <v>240</v>
      </c>
      <c r="E38">
        <v>62</v>
      </c>
      <c r="F38" t="s">
        <v>65</v>
      </c>
      <c r="G38">
        <v>0.10299999999999999</v>
      </c>
      <c r="H38">
        <v>13.5</v>
      </c>
    </row>
    <row r="39" spans="1:8" x14ac:dyDescent="0.2">
      <c r="A39" t="s">
        <v>106</v>
      </c>
      <c r="B39" t="s">
        <v>32</v>
      </c>
      <c r="C39" t="s">
        <v>74</v>
      </c>
      <c r="D39">
        <v>80</v>
      </c>
      <c r="E39">
        <v>54</v>
      </c>
      <c r="F39" t="s">
        <v>107</v>
      </c>
      <c r="G39">
        <v>0.13</v>
      </c>
      <c r="H39">
        <v>12.2</v>
      </c>
    </row>
    <row r="41" spans="1:8" x14ac:dyDescent="0.2">
      <c r="A4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opLeftCell="A9" zoomScale="200" zoomScaleNormal="200" workbookViewId="0">
      <selection activeCell="A29" sqref="A29"/>
    </sheetView>
  </sheetViews>
  <sheetFormatPr baseColWidth="10" defaultColWidth="8.83203125" defaultRowHeight="15" x14ac:dyDescent="0.2"/>
  <cols>
    <col min="1" max="1" width="34" customWidth="1"/>
    <col min="2" max="2" width="12" customWidth="1"/>
    <col min="3" max="4" width="14" customWidth="1"/>
    <col min="5" max="6" width="12" customWidth="1"/>
  </cols>
  <sheetData>
    <row r="1" spans="1:7" x14ac:dyDescent="0.2">
      <c r="A1" s="11" t="s">
        <v>159</v>
      </c>
      <c r="B1" s="11"/>
      <c r="C1" s="11"/>
      <c r="D1" s="11"/>
      <c r="E1" s="11"/>
      <c r="F1" s="11"/>
      <c r="G1" s="11"/>
    </row>
    <row r="2" spans="1:7" x14ac:dyDescent="0.2">
      <c r="A2" s="12" t="s">
        <v>132</v>
      </c>
      <c r="B2" s="14" t="s">
        <v>153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</row>
    <row r="3" spans="1:7" x14ac:dyDescent="0.2">
      <c r="A3" s="13" t="s">
        <v>133</v>
      </c>
      <c r="B3" s="13">
        <f>COUNT(RawData!C2:C39)</f>
        <v>0</v>
      </c>
      <c r="C3" s="13">
        <f>COUNT(RawData!D2:D39)</f>
        <v>38</v>
      </c>
      <c r="D3" s="13">
        <f>COUNT(RawData!E2:E39)</f>
        <v>38</v>
      </c>
      <c r="E3" s="13">
        <f>COUNT(RawData!F2:F39)</f>
        <v>0</v>
      </c>
      <c r="F3" s="13">
        <f>COUNT(RawData!G2:G39)</f>
        <v>38</v>
      </c>
      <c r="G3" s="13">
        <f>COUNT(RawData!H2:H39)</f>
        <v>35</v>
      </c>
    </row>
    <row r="4" spans="1:7" x14ac:dyDescent="0.2">
      <c r="A4" s="13" t="s">
        <v>134</v>
      </c>
      <c r="B4" s="13">
        <f>COUNTA(RawData!C2:C39)</f>
        <v>38</v>
      </c>
      <c r="C4" s="13">
        <f>COUNTA(RawData!D2:D39)</f>
        <v>38</v>
      </c>
      <c r="D4" s="13">
        <f>COUNTA(RawData!E2:E39)</f>
        <v>38</v>
      </c>
      <c r="E4" s="13">
        <f>COUNTA(RawData!F2:F39)</f>
        <v>38</v>
      </c>
      <c r="F4" s="13">
        <f>COUNTA(RawData!G2:G39)</f>
        <v>38</v>
      </c>
      <c r="G4" s="13">
        <f>COUNTA(RawData!H2:H39)</f>
        <v>37</v>
      </c>
    </row>
    <row r="5" spans="1:7" x14ac:dyDescent="0.2">
      <c r="A5" s="13" t="s">
        <v>135</v>
      </c>
      <c r="B5" s="13">
        <f>MIN(RawData!C2:C39)</f>
        <v>0</v>
      </c>
      <c r="C5" s="13">
        <f>MIN(RawData!D2:D39)</f>
        <v>80</v>
      </c>
      <c r="D5" s="13">
        <f>MIN(RawData!E2:E39)</f>
        <v>-99</v>
      </c>
      <c r="E5" s="13">
        <f>MIN(RawData!F2:F39)</f>
        <v>0</v>
      </c>
      <c r="F5" s="13">
        <f>MIN(RawData!G2:G39)</f>
        <v>0.08</v>
      </c>
      <c r="G5" s="13">
        <f>MIN(RawData!H2:H39)</f>
        <v>11.6</v>
      </c>
    </row>
    <row r="6" spans="1:7" x14ac:dyDescent="0.2">
      <c r="A6" s="13" t="s">
        <v>136</v>
      </c>
      <c r="B6" s="13">
        <f>MAX(RawData!C2:C39)</f>
        <v>0</v>
      </c>
      <c r="C6" s="13">
        <f>MAX(RawData!D2:D39)</f>
        <v>320</v>
      </c>
      <c r="D6" s="13">
        <f>MAX(RawData!E2:E39)</f>
        <v>1250</v>
      </c>
      <c r="E6" s="13">
        <f>MAX(RawData!F2:F39)</f>
        <v>0</v>
      </c>
      <c r="F6" s="13">
        <f>MAX(RawData!G2:G39)</f>
        <v>135.9</v>
      </c>
      <c r="G6" s="13">
        <f>MAX(RawData!H2:H39)</f>
        <v>9999</v>
      </c>
    </row>
    <row r="7" spans="1:7" x14ac:dyDescent="0.2">
      <c r="A7" s="13" t="s">
        <v>137</v>
      </c>
      <c r="B7" s="13" t="e">
        <f>AVERAGE(RawData!C2:C39)</f>
        <v>#DIV/0!</v>
      </c>
      <c r="C7" s="13">
        <f>AVERAGE(RawData!D2:D39)</f>
        <v>183.15789473684211</v>
      </c>
      <c r="D7" s="13">
        <f>AVERAGE(RawData!E2:E39)</f>
        <v>74.347368421052622</v>
      </c>
      <c r="E7" s="13" t="e">
        <f>AVERAGE(RawData!F2:F39)</f>
        <v>#DIV/0!</v>
      </c>
      <c r="F7" s="13">
        <f>AVERAGE(RawData!G2:G39)</f>
        <v>66.610894736842127</v>
      </c>
      <c r="G7" s="13">
        <f>AVERAGE(RawData!H2:H39)</f>
        <v>299.29428571428576</v>
      </c>
    </row>
    <row r="8" spans="1:7" x14ac:dyDescent="0.2">
      <c r="A8" s="13" t="s">
        <v>138</v>
      </c>
      <c r="B8" s="13" t="e">
        <f>MEDIAN(RawData!C2:C39)</f>
        <v>#NUM!</v>
      </c>
      <c r="C8" s="13">
        <f>MEDIAN(RawData!D2:D39)</f>
        <v>160</v>
      </c>
      <c r="D8" s="13">
        <f>MEDIAN(RawData!E2:E39)</f>
        <v>55.849999999999994</v>
      </c>
      <c r="E8" s="13" t="e">
        <f>MEDIAN(RawData!F2:F39)</f>
        <v>#NUM!</v>
      </c>
      <c r="F8" s="13">
        <f>MEDIAN(RawData!G2:G39)</f>
        <v>88.300000000000011</v>
      </c>
      <c r="G8" s="13">
        <f>MEDIAN(RawData!H2:H39)</f>
        <v>14.5</v>
      </c>
    </row>
    <row r="10" spans="1:7" x14ac:dyDescent="0.2">
      <c r="A10" s="5" t="s">
        <v>160</v>
      </c>
      <c r="B10" s="5"/>
    </row>
    <row r="11" spans="1:7" x14ac:dyDescent="0.2">
      <c r="A11" s="3" t="s">
        <v>139</v>
      </c>
      <c r="B11" s="3" t="s">
        <v>140</v>
      </c>
    </row>
    <row r="12" spans="1:7" x14ac:dyDescent="0.2">
      <c r="A12" s="4" t="str" cm="1">
        <f t="array" ref="A12:A17">_xlfn.UNIQUE(RawData!B2:B39)</f>
        <v>AAC Viewfield</v>
      </c>
      <c r="B12" s="4">
        <f>COUNTIF(RawData!B2:B39,A12)</f>
        <v>6</v>
      </c>
    </row>
    <row r="13" spans="1:7" x14ac:dyDescent="0.2">
      <c r="A13" s="4" t="str">
        <v>Brandon</v>
      </c>
      <c r="B13" s="4">
        <f>COUNTIF(RawData!B2:B39,A13)</f>
        <v>5</v>
      </c>
    </row>
    <row r="14" spans="1:7" x14ac:dyDescent="0.2">
      <c r="A14" s="4" t="str">
        <v>CDC Landmark</v>
      </c>
      <c r="B14" s="4">
        <f>COUNTIF(RawData!B2:B39,A14)</f>
        <v>13</v>
      </c>
    </row>
    <row r="15" spans="1:7" x14ac:dyDescent="0.2">
      <c r="A15" s="4" t="str">
        <v>Brandon AAC</v>
      </c>
      <c r="B15" s="4">
        <f>COUNTIF(RawData!B2:B39,A15)</f>
        <v>6</v>
      </c>
    </row>
    <row r="16" spans="1:7" x14ac:dyDescent="0.2">
      <c r="A16" s="4" t="str">
        <v>Brndon</v>
      </c>
      <c r="B16" s="4">
        <f>COUNTIF(RawData!B2:B39,A16)</f>
        <v>4</v>
      </c>
    </row>
    <row r="17" spans="1:2" x14ac:dyDescent="0.2">
      <c r="A17" s="4" t="str">
        <v>AAC Brandon</v>
      </c>
      <c r="B17" s="4">
        <f>COUNTIF(RawData!B2:B39,A17)</f>
        <v>4</v>
      </c>
    </row>
    <row r="18" spans="1:2" s="6" customFormat="1" x14ac:dyDescent="0.2"/>
    <row r="19" spans="1:2" x14ac:dyDescent="0.2">
      <c r="A19" s="8" t="s">
        <v>161</v>
      </c>
      <c r="B19" s="8"/>
    </row>
    <row r="20" spans="1:2" x14ac:dyDescent="0.2">
      <c r="A20" s="7" t="s">
        <v>141</v>
      </c>
      <c r="B20" s="7">
        <f>ROWS(RawData!A2:A39)</f>
        <v>38</v>
      </c>
    </row>
    <row r="21" spans="1:2" x14ac:dyDescent="0.2">
      <c r="A21" s="7" t="s">
        <v>148</v>
      </c>
      <c r="B21" s="7">
        <f>ROWS(_xlfn.UNIQUE(RawData!A2:H39))</f>
        <v>36</v>
      </c>
    </row>
    <row r="22" spans="1:2" x14ac:dyDescent="0.2">
      <c r="A22" s="7" t="s">
        <v>149</v>
      </c>
      <c r="B22" s="7">
        <f>B20-B21</f>
        <v>2</v>
      </c>
    </row>
    <row r="24" spans="1:2" ht="16" x14ac:dyDescent="0.2">
      <c r="A24" s="9" t="s">
        <v>150</v>
      </c>
    </row>
    <row r="25" spans="1:2" ht="16" x14ac:dyDescent="0.2">
      <c r="A25" s="10" t="s">
        <v>151</v>
      </c>
    </row>
    <row r="26" spans="1:2" ht="16" x14ac:dyDescent="0.2">
      <c r="A26" s="10" t="s">
        <v>154</v>
      </c>
    </row>
    <row r="27" spans="1:2" ht="16" x14ac:dyDescent="0.2">
      <c r="A27" s="10" t="s">
        <v>152</v>
      </c>
    </row>
    <row r="28" spans="1:2" ht="16" x14ac:dyDescent="0.2">
      <c r="A28" s="10" t="s">
        <v>155</v>
      </c>
    </row>
    <row r="29" spans="1:2" ht="16" x14ac:dyDescent="0.2">
      <c r="A29" s="10" t="s">
        <v>156</v>
      </c>
    </row>
    <row r="30" spans="1:2" ht="16" x14ac:dyDescent="0.2">
      <c r="A30" s="10" t="s">
        <v>162</v>
      </c>
    </row>
    <row r="31" spans="1:2" ht="16" x14ac:dyDescent="0.2">
      <c r="A31" s="10" t="s">
        <v>157</v>
      </c>
    </row>
    <row r="32" spans="1:2" ht="16" x14ac:dyDescent="0.2">
      <c r="A32" s="10" t="s">
        <v>158</v>
      </c>
    </row>
  </sheetData>
  <mergeCells count="3">
    <mergeCell ref="A1:G1"/>
    <mergeCell ref="A10:B10"/>
    <mergeCell ref="A19:B1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52F7-7716-C046-9CB6-1EE5D462DC32}">
  <dimension ref="A1:H37"/>
  <sheetViews>
    <sheetView tabSelected="1" workbookViewId="0">
      <selection activeCell="G24" sqref="G24"/>
    </sheetView>
  </sheetViews>
  <sheetFormatPr baseColWidth="10" defaultRowHeight="15" x14ac:dyDescent="0.2"/>
  <cols>
    <col min="1" max="1" width="9.5" bestFit="1" customWidth="1"/>
    <col min="2" max="2" width="12.1640625" bestFit="1" customWidth="1"/>
    <col min="3" max="3" width="13.6640625" bestFit="1" customWidth="1"/>
    <col min="4" max="4" width="7.6640625" bestFit="1" customWidth="1"/>
    <col min="5" max="5" width="12.83203125" bestFit="1" customWidth="1"/>
    <col min="6" max="6" width="15.5" bestFit="1" customWidth="1"/>
    <col min="7" max="7" width="14" bestFit="1" customWidth="1"/>
    <col min="8" max="8" width="11.1640625" bestFit="1" customWidth="1"/>
  </cols>
  <sheetData>
    <row r="1" spans="1:8" x14ac:dyDescent="0.2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163</v>
      </c>
      <c r="G1" t="s">
        <v>147</v>
      </c>
      <c r="H1" t="s">
        <v>164</v>
      </c>
    </row>
    <row r="2" spans="1:8" x14ac:dyDescent="0.2">
      <c r="A2" s="15" t="s">
        <v>23</v>
      </c>
      <c r="B2" s="15" t="s">
        <v>24</v>
      </c>
      <c r="C2" s="16">
        <v>46174</v>
      </c>
      <c r="D2">
        <v>160</v>
      </c>
      <c r="E2">
        <v>67.599999999999994</v>
      </c>
      <c r="F2">
        <v>297.7</v>
      </c>
      <c r="G2">
        <v>12.4</v>
      </c>
      <c r="H2">
        <v>97.1</v>
      </c>
    </row>
    <row r="3" spans="1:8" x14ac:dyDescent="0.2">
      <c r="A3" s="15" t="s">
        <v>27</v>
      </c>
      <c r="B3" s="15" t="s">
        <v>51</v>
      </c>
      <c r="C3" s="16">
        <v>46155</v>
      </c>
      <c r="D3">
        <v>320</v>
      </c>
      <c r="E3">
        <v>54.9</v>
      </c>
      <c r="F3">
        <v>476</v>
      </c>
      <c r="G3">
        <v>14.7</v>
      </c>
      <c r="H3">
        <v>96.2</v>
      </c>
    </row>
    <row r="4" spans="1:8" x14ac:dyDescent="0.2">
      <c r="A4" s="15" t="s">
        <v>31</v>
      </c>
      <c r="B4" s="15" t="s">
        <v>32</v>
      </c>
      <c r="C4" s="16">
        <v>46177</v>
      </c>
      <c r="D4">
        <v>120</v>
      </c>
      <c r="E4">
        <v>54.4</v>
      </c>
      <c r="F4">
        <v>172.6</v>
      </c>
      <c r="G4">
        <v>12.3</v>
      </c>
      <c r="H4">
        <v>81</v>
      </c>
    </row>
    <row r="5" spans="1:8" x14ac:dyDescent="0.2">
      <c r="A5" s="15" t="s">
        <v>35</v>
      </c>
      <c r="B5" s="15" t="s">
        <v>51</v>
      </c>
      <c r="C5" s="16">
        <v>46191</v>
      </c>
      <c r="D5">
        <v>320</v>
      </c>
      <c r="F5">
        <v>642.5</v>
      </c>
      <c r="G5">
        <v>15.4</v>
      </c>
      <c r="H5">
        <v>116.7</v>
      </c>
    </row>
    <row r="6" spans="1:8" x14ac:dyDescent="0.2">
      <c r="A6" s="15" t="s">
        <v>39</v>
      </c>
      <c r="B6" s="15" t="s">
        <v>32</v>
      </c>
      <c r="C6" s="16">
        <v>46179</v>
      </c>
      <c r="D6">
        <v>320</v>
      </c>
      <c r="E6">
        <v>65.8</v>
      </c>
      <c r="F6">
        <v>561.5</v>
      </c>
      <c r="G6">
        <v>12.3</v>
      </c>
      <c r="H6">
        <v>89.9</v>
      </c>
    </row>
    <row r="7" spans="1:8" x14ac:dyDescent="0.2">
      <c r="A7" s="15" t="s">
        <v>42</v>
      </c>
      <c r="B7" s="15" t="s">
        <v>51</v>
      </c>
      <c r="C7" s="16">
        <v>46166</v>
      </c>
      <c r="D7">
        <v>160</v>
      </c>
      <c r="E7">
        <v>50.8</v>
      </c>
      <c r="F7">
        <v>222.8</v>
      </c>
      <c r="H7">
        <v>113</v>
      </c>
    </row>
    <row r="8" spans="1:8" x14ac:dyDescent="0.2">
      <c r="A8" s="15" t="s">
        <v>47</v>
      </c>
      <c r="B8" s="15" t="s">
        <v>24</v>
      </c>
      <c r="C8" s="16">
        <v>46180</v>
      </c>
      <c r="D8">
        <v>80</v>
      </c>
      <c r="F8">
        <v>138.6</v>
      </c>
      <c r="G8">
        <v>14.5</v>
      </c>
      <c r="H8">
        <v>135.9</v>
      </c>
    </row>
    <row r="9" spans="1:8" x14ac:dyDescent="0.2">
      <c r="A9" s="15" t="s">
        <v>50</v>
      </c>
      <c r="B9" s="15" t="s">
        <v>51</v>
      </c>
      <c r="C9" s="16">
        <v>46160</v>
      </c>
      <c r="D9">
        <v>160</v>
      </c>
      <c r="E9">
        <v>60.3</v>
      </c>
      <c r="F9">
        <v>264</v>
      </c>
      <c r="G9">
        <v>12.4</v>
      </c>
      <c r="H9">
        <v>127.3</v>
      </c>
    </row>
    <row r="10" spans="1:8" x14ac:dyDescent="0.2">
      <c r="A10" s="15" t="s">
        <v>54</v>
      </c>
      <c r="B10" s="15" t="s">
        <v>32</v>
      </c>
      <c r="C10" s="16">
        <v>46162</v>
      </c>
      <c r="D10">
        <v>160</v>
      </c>
      <c r="E10">
        <v>51.5</v>
      </c>
      <c r="F10">
        <v>226.5</v>
      </c>
      <c r="G10">
        <v>13.7</v>
      </c>
      <c r="H10">
        <v>81</v>
      </c>
    </row>
    <row r="11" spans="1:8" x14ac:dyDescent="0.2">
      <c r="A11" s="15" t="s">
        <v>57</v>
      </c>
      <c r="B11" s="15" t="s">
        <v>51</v>
      </c>
      <c r="C11" s="16">
        <v>46161</v>
      </c>
      <c r="D11">
        <v>160</v>
      </c>
      <c r="E11">
        <v>58.9</v>
      </c>
      <c r="F11">
        <v>256.60000000000002</v>
      </c>
      <c r="G11">
        <v>16.399999999999999</v>
      </c>
      <c r="H11">
        <v>92.4</v>
      </c>
    </row>
    <row r="12" spans="1:8" x14ac:dyDescent="0.2">
      <c r="A12" s="15" t="s">
        <v>60</v>
      </c>
      <c r="B12" s="15" t="s">
        <v>32</v>
      </c>
      <c r="C12" s="16">
        <v>46160</v>
      </c>
      <c r="D12">
        <v>320</v>
      </c>
      <c r="E12">
        <v>54.4</v>
      </c>
      <c r="F12">
        <v>481.3</v>
      </c>
      <c r="G12">
        <v>12</v>
      </c>
      <c r="H12">
        <v>82.9</v>
      </c>
    </row>
    <row r="13" spans="1:8" x14ac:dyDescent="0.2">
      <c r="A13" s="15" t="s">
        <v>63</v>
      </c>
      <c r="B13" s="15" t="s">
        <v>51</v>
      </c>
      <c r="C13" s="16">
        <v>46159</v>
      </c>
      <c r="D13">
        <v>240</v>
      </c>
      <c r="E13">
        <v>62</v>
      </c>
      <c r="F13">
        <v>402.2</v>
      </c>
      <c r="G13">
        <v>13.5</v>
      </c>
      <c r="H13">
        <v>103</v>
      </c>
    </row>
    <row r="14" spans="1:8" x14ac:dyDescent="0.2">
      <c r="A14" s="15" t="s">
        <v>66</v>
      </c>
      <c r="B14" s="15" t="s">
        <v>24</v>
      </c>
      <c r="C14" s="16">
        <v>46160</v>
      </c>
      <c r="D14">
        <v>240</v>
      </c>
      <c r="E14">
        <v>41.5</v>
      </c>
      <c r="F14">
        <v>269.8</v>
      </c>
      <c r="G14">
        <v>16.5</v>
      </c>
      <c r="H14">
        <v>82.7</v>
      </c>
    </row>
    <row r="15" spans="1:8" x14ac:dyDescent="0.2">
      <c r="A15" s="15" t="s">
        <v>69</v>
      </c>
      <c r="B15" s="15" t="s">
        <v>51</v>
      </c>
      <c r="C15" s="16">
        <v>46162</v>
      </c>
      <c r="D15">
        <v>160</v>
      </c>
      <c r="E15">
        <v>57.8</v>
      </c>
      <c r="F15">
        <v>249.6</v>
      </c>
      <c r="H15">
        <v>134</v>
      </c>
    </row>
    <row r="16" spans="1:8" x14ac:dyDescent="0.2">
      <c r="A16" s="15" t="s">
        <v>73</v>
      </c>
      <c r="B16" s="15" t="s">
        <v>32</v>
      </c>
      <c r="C16" s="16">
        <v>46157</v>
      </c>
      <c r="D16">
        <v>160</v>
      </c>
      <c r="E16">
        <v>54.7</v>
      </c>
      <c r="F16">
        <v>234.9</v>
      </c>
      <c r="G16">
        <v>11.6</v>
      </c>
      <c r="H16">
        <v>106</v>
      </c>
    </row>
    <row r="17" spans="1:8" x14ac:dyDescent="0.2">
      <c r="A17" s="15" t="s">
        <v>76</v>
      </c>
      <c r="B17" s="15" t="s">
        <v>51</v>
      </c>
      <c r="C17" s="16">
        <v>46159</v>
      </c>
      <c r="D17">
        <v>160</v>
      </c>
      <c r="E17">
        <v>52.9</v>
      </c>
      <c r="F17">
        <v>225.5</v>
      </c>
      <c r="G17">
        <v>13</v>
      </c>
      <c r="H17">
        <v>128.5</v>
      </c>
    </row>
    <row r="18" spans="1:8" x14ac:dyDescent="0.2">
      <c r="A18" s="15" t="s">
        <v>78</v>
      </c>
      <c r="B18" s="15" t="s">
        <v>32</v>
      </c>
      <c r="C18" s="16">
        <v>46157</v>
      </c>
      <c r="D18">
        <v>240</v>
      </c>
      <c r="E18">
        <v>63</v>
      </c>
      <c r="F18">
        <v>418.7</v>
      </c>
      <c r="G18">
        <v>15.5</v>
      </c>
      <c r="H18">
        <v>85.4</v>
      </c>
    </row>
    <row r="19" spans="1:8" x14ac:dyDescent="0.2">
      <c r="A19" s="15" t="s">
        <v>81</v>
      </c>
      <c r="B19" s="15" t="s">
        <v>51</v>
      </c>
      <c r="C19" s="16">
        <v>46200</v>
      </c>
      <c r="D19">
        <v>160</v>
      </c>
      <c r="E19">
        <v>63.6</v>
      </c>
      <c r="F19">
        <v>283.2</v>
      </c>
      <c r="G19">
        <v>15.7</v>
      </c>
      <c r="H19">
        <v>112</v>
      </c>
    </row>
    <row r="20" spans="1:8" x14ac:dyDescent="0.2">
      <c r="A20" s="15" t="s">
        <v>84</v>
      </c>
      <c r="B20" s="15" t="s">
        <v>24</v>
      </c>
      <c r="C20" s="16">
        <v>46157</v>
      </c>
      <c r="D20">
        <v>120</v>
      </c>
      <c r="F20">
        <v>177.8</v>
      </c>
      <c r="G20">
        <v>12.6</v>
      </c>
      <c r="H20">
        <v>104.1</v>
      </c>
    </row>
    <row r="21" spans="1:8" x14ac:dyDescent="0.2">
      <c r="A21" s="15" t="s">
        <v>86</v>
      </c>
      <c r="B21" s="15" t="s">
        <v>51</v>
      </c>
      <c r="C21" s="16">
        <v>46184</v>
      </c>
      <c r="D21">
        <v>160</v>
      </c>
      <c r="E21">
        <v>76.599999999999994</v>
      </c>
      <c r="F21">
        <v>323.89999999999998</v>
      </c>
      <c r="G21">
        <v>13.1</v>
      </c>
      <c r="H21">
        <v>84.7</v>
      </c>
    </row>
    <row r="22" spans="1:8" x14ac:dyDescent="0.2">
      <c r="A22" s="15" t="s">
        <v>89</v>
      </c>
      <c r="B22" s="15" t="s">
        <v>32</v>
      </c>
      <c r="C22" s="16">
        <v>46183</v>
      </c>
      <c r="D22">
        <v>240</v>
      </c>
      <c r="E22">
        <v>65.099999999999994</v>
      </c>
      <c r="F22">
        <v>431.7</v>
      </c>
      <c r="G22">
        <v>15.4</v>
      </c>
      <c r="H22">
        <v>129</v>
      </c>
    </row>
    <row r="23" spans="1:8" x14ac:dyDescent="0.2">
      <c r="A23" s="15" t="s">
        <v>92</v>
      </c>
      <c r="B23" s="15" t="s">
        <v>51</v>
      </c>
      <c r="C23" s="16">
        <v>46144</v>
      </c>
      <c r="D23">
        <v>320</v>
      </c>
      <c r="E23">
        <v>57.5</v>
      </c>
      <c r="F23">
        <v>492</v>
      </c>
      <c r="H23">
        <v>96.8</v>
      </c>
    </row>
    <row r="24" spans="1:8" x14ac:dyDescent="0.2">
      <c r="A24" s="15" t="s">
        <v>95</v>
      </c>
      <c r="B24" s="15" t="s">
        <v>32</v>
      </c>
      <c r="C24" s="16">
        <v>46151</v>
      </c>
      <c r="D24">
        <v>240</v>
      </c>
      <c r="F24">
        <v>365.8</v>
      </c>
      <c r="G24">
        <v>16</v>
      </c>
      <c r="H24">
        <v>87.2</v>
      </c>
    </row>
    <row r="25" spans="1:8" x14ac:dyDescent="0.2">
      <c r="A25" s="15" t="s">
        <v>98</v>
      </c>
      <c r="B25" s="15" t="s">
        <v>51</v>
      </c>
      <c r="C25" s="16">
        <v>46199</v>
      </c>
      <c r="D25">
        <v>120</v>
      </c>
      <c r="E25">
        <v>46.5</v>
      </c>
      <c r="F25">
        <v>150.5</v>
      </c>
      <c r="G25">
        <v>15.3</v>
      </c>
      <c r="H25">
        <v>124</v>
      </c>
    </row>
    <row r="26" spans="1:8" x14ac:dyDescent="0.2">
      <c r="A26" s="15" t="s">
        <v>101</v>
      </c>
      <c r="B26" s="15" t="s">
        <v>24</v>
      </c>
      <c r="C26" s="16">
        <v>46183</v>
      </c>
      <c r="D26">
        <v>160</v>
      </c>
      <c r="E26">
        <v>51.7</v>
      </c>
      <c r="F26">
        <v>226.1</v>
      </c>
      <c r="G26">
        <v>11.6</v>
      </c>
      <c r="H26">
        <v>100.8</v>
      </c>
    </row>
    <row r="27" spans="1:8" x14ac:dyDescent="0.2">
      <c r="A27" s="15" t="s">
        <v>103</v>
      </c>
      <c r="B27" s="15" t="s">
        <v>51</v>
      </c>
      <c r="C27" s="16">
        <v>46165</v>
      </c>
      <c r="D27">
        <v>160</v>
      </c>
      <c r="E27">
        <v>59.1</v>
      </c>
      <c r="F27">
        <v>252.7</v>
      </c>
      <c r="G27">
        <v>15.7</v>
      </c>
      <c r="H27">
        <v>132.9</v>
      </c>
    </row>
    <row r="28" spans="1:8" x14ac:dyDescent="0.2">
      <c r="A28" s="15" t="s">
        <v>106</v>
      </c>
      <c r="B28" s="15" t="s">
        <v>32</v>
      </c>
      <c r="C28" s="16">
        <v>46157</v>
      </c>
      <c r="D28">
        <v>80</v>
      </c>
      <c r="E28">
        <v>54</v>
      </c>
      <c r="F28">
        <v>120.3</v>
      </c>
      <c r="G28">
        <v>12.2</v>
      </c>
      <c r="H28">
        <v>130</v>
      </c>
    </row>
    <row r="29" spans="1:8" x14ac:dyDescent="0.2">
      <c r="A29" s="15" t="s">
        <v>108</v>
      </c>
      <c r="B29" s="15" t="s">
        <v>51</v>
      </c>
      <c r="C29" s="16">
        <v>46164</v>
      </c>
      <c r="D29">
        <v>160</v>
      </c>
      <c r="E29">
        <v>43.3</v>
      </c>
      <c r="F29">
        <v>191.4</v>
      </c>
      <c r="G29">
        <v>15</v>
      </c>
      <c r="H29">
        <v>103.9</v>
      </c>
    </row>
    <row r="30" spans="1:8" x14ac:dyDescent="0.2">
      <c r="A30" s="15" t="s">
        <v>111</v>
      </c>
      <c r="B30" s="15" t="s">
        <v>32</v>
      </c>
      <c r="C30" s="16">
        <v>46146</v>
      </c>
      <c r="D30">
        <v>160</v>
      </c>
      <c r="E30">
        <v>63.3</v>
      </c>
      <c r="F30">
        <v>268.5</v>
      </c>
      <c r="G30">
        <v>15.7</v>
      </c>
      <c r="H30">
        <v>106.3</v>
      </c>
    </row>
    <row r="31" spans="1:8" x14ac:dyDescent="0.2">
      <c r="A31" s="15" t="s">
        <v>114</v>
      </c>
      <c r="B31" s="15" t="s">
        <v>51</v>
      </c>
      <c r="C31" s="16">
        <v>46153</v>
      </c>
      <c r="D31">
        <v>160</v>
      </c>
      <c r="E31">
        <v>53.2</v>
      </c>
      <c r="F31">
        <v>237.8</v>
      </c>
      <c r="H31">
        <v>92</v>
      </c>
    </row>
    <row r="32" spans="1:8" x14ac:dyDescent="0.2">
      <c r="A32" s="15" t="s">
        <v>117</v>
      </c>
      <c r="B32" s="15" t="s">
        <v>24</v>
      </c>
      <c r="C32" s="16">
        <v>46163</v>
      </c>
      <c r="D32">
        <v>120</v>
      </c>
      <c r="F32">
        <v>189.5</v>
      </c>
      <c r="G32">
        <v>16</v>
      </c>
      <c r="H32">
        <v>123.2</v>
      </c>
    </row>
    <row r="33" spans="1:8" x14ac:dyDescent="0.2">
      <c r="A33" s="15" t="s">
        <v>120</v>
      </c>
      <c r="B33" s="15" t="s">
        <v>51</v>
      </c>
      <c r="C33" s="16">
        <v>46157</v>
      </c>
      <c r="D33">
        <v>120</v>
      </c>
      <c r="E33">
        <v>60.1</v>
      </c>
      <c r="F33">
        <v>195.9</v>
      </c>
      <c r="G33">
        <v>15.4</v>
      </c>
      <c r="H33">
        <v>100.1</v>
      </c>
    </row>
    <row r="34" spans="1:8" x14ac:dyDescent="0.2">
      <c r="A34" s="15" t="s">
        <v>123</v>
      </c>
      <c r="B34" s="15" t="s">
        <v>32</v>
      </c>
      <c r="C34" s="16">
        <v>46157</v>
      </c>
      <c r="D34">
        <v>240</v>
      </c>
      <c r="E34">
        <v>58.6</v>
      </c>
      <c r="F34">
        <v>386.2</v>
      </c>
      <c r="G34">
        <v>15.4</v>
      </c>
      <c r="H34">
        <v>80</v>
      </c>
    </row>
    <row r="35" spans="1:8" x14ac:dyDescent="0.2">
      <c r="A35" s="15" t="s">
        <v>125</v>
      </c>
      <c r="B35" s="15" t="s">
        <v>51</v>
      </c>
      <c r="C35" s="16">
        <v>46174</v>
      </c>
      <c r="D35">
        <v>120</v>
      </c>
      <c r="E35">
        <v>56.8</v>
      </c>
      <c r="F35">
        <v>185.9</v>
      </c>
      <c r="G35">
        <v>14.7</v>
      </c>
      <c r="H35">
        <v>131.30000000000001</v>
      </c>
    </row>
    <row r="36" spans="1:8" x14ac:dyDescent="0.2">
      <c r="A36" s="15" t="s">
        <v>128</v>
      </c>
      <c r="B36" s="15" t="s">
        <v>32</v>
      </c>
      <c r="C36" s="16">
        <v>46160</v>
      </c>
      <c r="D36">
        <v>160</v>
      </c>
      <c r="E36">
        <v>50.1</v>
      </c>
      <c r="F36">
        <v>215.8</v>
      </c>
      <c r="G36">
        <v>11.7</v>
      </c>
      <c r="H36">
        <v>89.4</v>
      </c>
    </row>
    <row r="37" spans="1:8" x14ac:dyDescent="0.2">
      <c r="A37" s="15" t="s">
        <v>130</v>
      </c>
      <c r="B37" s="15" t="s">
        <v>51</v>
      </c>
      <c r="C37" s="16">
        <v>46159</v>
      </c>
      <c r="D37">
        <v>160</v>
      </c>
      <c r="E37">
        <v>58.2</v>
      </c>
      <c r="F37">
        <v>255.6</v>
      </c>
      <c r="G37">
        <v>12.9</v>
      </c>
      <c r="H37">
        <v>130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622CE-F87F-6C40-9C52-6BC6D92C4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RawData</vt:lpstr>
      <vt:lpstr>DataSummary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Slade, Peter</cp:lastModifiedBy>
  <dcterms:created xsi:type="dcterms:W3CDTF">2026-08-31T21:55:53Z</dcterms:created>
  <dcterms:modified xsi:type="dcterms:W3CDTF">2026-09-01T00:28:12Z</dcterms:modified>
</cp:coreProperties>
</file>