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40" documentId="11_F459A3160A9B7F43279732CADF3B43875AA2B4A9" xr6:coauthVersionLast="47" xr6:coauthVersionMax="47" xr10:uidLastSave="{7776D84C-7B3C-124F-8693-20E31E8F14E9}"/>
  <bookViews>
    <workbookView xWindow="0" yWindow="600" windowWidth="38400" windowHeight="21000" activeTab="3" xr2:uid="{00000000-000D-0000-FFFF-FFFF00000000}"/>
  </bookViews>
  <sheets>
    <sheet name="README" sheetId="1" r:id="rId1"/>
    <sheet name="RawData" sheetId="2" r:id="rId2"/>
    <sheet name="DataSummary" sheetId="3" r:id="rId3"/>
    <sheet name="Clean" sheetId="4" r:id="rId4"/>
  </sheets>
  <definedNames>
    <definedName name="_xlchart.v1.0" hidden="1">RawData!$H$16:$H$39</definedName>
    <definedName name="_xlchart.v1.1" hidden="1">RawData!$H$1:$H$15</definedName>
    <definedName name="_xlchart.v1.10" hidden="1">RawData!$H$16:$H$39</definedName>
    <definedName name="_xlchart.v1.11" hidden="1">RawData!$H$1:$H$15</definedName>
    <definedName name="_xlchart.v1.12" hidden="1">RawData!$H$16:$H$39</definedName>
    <definedName name="_xlchart.v1.13" hidden="1">RawData!$H$1:$H$15</definedName>
    <definedName name="_xlchart.v1.14" hidden="1">RawData!$G$1</definedName>
    <definedName name="_xlchart.v1.15" hidden="1">RawData!$G$2:$G$39</definedName>
    <definedName name="_xlchart.v1.16" hidden="1">RawData!$D$1</definedName>
    <definedName name="_xlchart.v1.17" hidden="1">RawData!$D$2:$D$39</definedName>
    <definedName name="_xlchart.v1.18" hidden="1">RawData!$E$1</definedName>
    <definedName name="_xlchart.v1.19" hidden="1">RawData!$E$2:$E$39</definedName>
    <definedName name="_xlchart.v1.2" hidden="1">RawData!$E$1</definedName>
    <definedName name="_xlchart.v1.3" hidden="1">RawData!$E$2:$E$39</definedName>
    <definedName name="_xlchart.v1.4" hidden="1">RawData!$G$1</definedName>
    <definedName name="_xlchart.v1.5" hidden="1">RawData!$G$2:$G$39</definedName>
    <definedName name="_xlchart.v1.6" hidden="1">RawData!$H$16:$H$39</definedName>
    <definedName name="_xlchart.v1.7" hidden="1">RawData!$H$1:$H$15</definedName>
    <definedName name="_xlchart.v1.8" hidden="1">RawData!$D$1</definedName>
    <definedName name="_xlchart.v1.9" hidden="1">RawData!$D$2:$D$39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3" l="1"/>
  <c r="B18" i="3"/>
  <c r="B19" i="3"/>
  <c r="A11" i="3" a="1"/>
  <c r="A11" i="3" s="1"/>
  <c r="B11" i="3" s="1"/>
  <c r="E44" i="4"/>
  <c r="I39" i="4"/>
  <c r="H39" i="4"/>
  <c r="G39" i="4"/>
  <c r="F39" i="4"/>
  <c r="E39" i="4"/>
  <c r="D39" i="4"/>
  <c r="C39" i="4"/>
  <c r="B39" i="4"/>
  <c r="A39" i="4"/>
  <c r="I38" i="4"/>
  <c r="H38" i="4"/>
  <c r="G38" i="4"/>
  <c r="F38" i="4"/>
  <c r="E38" i="4"/>
  <c r="D38" i="4"/>
  <c r="C38" i="4"/>
  <c r="B38" i="4"/>
  <c r="A38" i="4"/>
  <c r="I37" i="4"/>
  <c r="H37" i="4"/>
  <c r="G37" i="4"/>
  <c r="F37" i="4"/>
  <c r="E37" i="4"/>
  <c r="D37" i="4"/>
  <c r="C37" i="4"/>
  <c r="B37" i="4"/>
  <c r="A37" i="4"/>
  <c r="I36" i="4"/>
  <c r="H36" i="4"/>
  <c r="G36" i="4"/>
  <c r="F36" i="4"/>
  <c r="E36" i="4"/>
  <c r="D36" i="4"/>
  <c r="C36" i="4"/>
  <c r="B36" i="4"/>
  <c r="A36" i="4"/>
  <c r="I35" i="4"/>
  <c r="H35" i="4"/>
  <c r="G35" i="4"/>
  <c r="F35" i="4"/>
  <c r="E35" i="4"/>
  <c r="D35" i="4"/>
  <c r="C35" i="4"/>
  <c r="B35" i="4"/>
  <c r="A35" i="4"/>
  <c r="I34" i="4"/>
  <c r="H34" i="4"/>
  <c r="G34" i="4"/>
  <c r="F34" i="4"/>
  <c r="E34" i="4"/>
  <c r="D34" i="4"/>
  <c r="C34" i="4"/>
  <c r="B34" i="4"/>
  <c r="A34" i="4"/>
  <c r="I33" i="4"/>
  <c r="H33" i="4"/>
  <c r="G33" i="4"/>
  <c r="F33" i="4"/>
  <c r="E33" i="4"/>
  <c r="D33" i="4"/>
  <c r="C33" i="4"/>
  <c r="B33" i="4"/>
  <c r="A33" i="4"/>
  <c r="I32" i="4"/>
  <c r="H32" i="4"/>
  <c r="G32" i="4"/>
  <c r="F32" i="4"/>
  <c r="E32" i="4"/>
  <c r="D32" i="4"/>
  <c r="C32" i="4"/>
  <c r="B32" i="4"/>
  <c r="A32" i="4"/>
  <c r="I31" i="4"/>
  <c r="H31" i="4"/>
  <c r="G31" i="4"/>
  <c r="F31" i="4"/>
  <c r="E31" i="4"/>
  <c r="D31" i="4"/>
  <c r="C31" i="4"/>
  <c r="B31" i="4"/>
  <c r="A31" i="4"/>
  <c r="I30" i="4"/>
  <c r="H30" i="4"/>
  <c r="G30" i="4"/>
  <c r="F30" i="4"/>
  <c r="E30" i="4"/>
  <c r="D30" i="4"/>
  <c r="C30" i="4"/>
  <c r="B30" i="4"/>
  <c r="A30" i="4"/>
  <c r="I29" i="4"/>
  <c r="H29" i="4"/>
  <c r="G29" i="4"/>
  <c r="F29" i="4"/>
  <c r="E29" i="4"/>
  <c r="D29" i="4"/>
  <c r="C29" i="4"/>
  <c r="B29" i="4"/>
  <c r="A29" i="4"/>
  <c r="I28" i="4"/>
  <c r="H28" i="4"/>
  <c r="G28" i="4"/>
  <c r="F28" i="4"/>
  <c r="E28" i="4"/>
  <c r="D28" i="4"/>
  <c r="C28" i="4"/>
  <c r="B28" i="4"/>
  <c r="A28" i="4"/>
  <c r="I27" i="4"/>
  <c r="H27" i="4"/>
  <c r="G27" i="4"/>
  <c r="F27" i="4"/>
  <c r="E27" i="4"/>
  <c r="D27" i="4"/>
  <c r="C27" i="4"/>
  <c r="B27" i="4"/>
  <c r="A27" i="4"/>
  <c r="I26" i="4"/>
  <c r="H26" i="4"/>
  <c r="G26" i="4"/>
  <c r="F26" i="4"/>
  <c r="E26" i="4"/>
  <c r="D26" i="4"/>
  <c r="C26" i="4"/>
  <c r="B26" i="4"/>
  <c r="A26" i="4"/>
  <c r="I25" i="4"/>
  <c r="H25" i="4"/>
  <c r="G25" i="4"/>
  <c r="F25" i="4"/>
  <c r="E25" i="4"/>
  <c r="D25" i="4"/>
  <c r="C25" i="4"/>
  <c r="B25" i="4"/>
  <c r="A25" i="4"/>
  <c r="I24" i="4"/>
  <c r="H24" i="4"/>
  <c r="G24" i="4"/>
  <c r="F24" i="4"/>
  <c r="E24" i="4"/>
  <c r="D24" i="4"/>
  <c r="C24" i="4"/>
  <c r="B24" i="4"/>
  <c r="A24" i="4"/>
  <c r="I23" i="4"/>
  <c r="H23" i="4"/>
  <c r="G23" i="4"/>
  <c r="F23" i="4"/>
  <c r="E23" i="4"/>
  <c r="D23" i="4"/>
  <c r="C23" i="4"/>
  <c r="B23" i="4"/>
  <c r="A23" i="4"/>
  <c r="I22" i="4"/>
  <c r="H22" i="4"/>
  <c r="G22" i="4"/>
  <c r="F22" i="4"/>
  <c r="E22" i="4"/>
  <c r="D22" i="4"/>
  <c r="C22" i="4"/>
  <c r="B22" i="4"/>
  <c r="A22" i="4"/>
  <c r="I21" i="4"/>
  <c r="H21" i="4"/>
  <c r="G21" i="4"/>
  <c r="F21" i="4"/>
  <c r="E21" i="4"/>
  <c r="D21" i="4"/>
  <c r="C21" i="4"/>
  <c r="B21" i="4"/>
  <c r="A21" i="4"/>
  <c r="I20" i="4"/>
  <c r="H20" i="4"/>
  <c r="G20" i="4"/>
  <c r="F20" i="4"/>
  <c r="E20" i="4"/>
  <c r="D20" i="4"/>
  <c r="C20" i="4"/>
  <c r="B20" i="4"/>
  <c r="A20" i="4"/>
  <c r="I19" i="4"/>
  <c r="H19" i="4"/>
  <c r="G19" i="4"/>
  <c r="F19" i="4"/>
  <c r="E19" i="4"/>
  <c r="D19" i="4"/>
  <c r="C19" i="4"/>
  <c r="B19" i="4"/>
  <c r="A19" i="4"/>
  <c r="I18" i="4"/>
  <c r="H18" i="4"/>
  <c r="G18" i="4"/>
  <c r="F18" i="4"/>
  <c r="E18" i="4"/>
  <c r="D18" i="4"/>
  <c r="C18" i="4"/>
  <c r="B18" i="4"/>
  <c r="A18" i="4"/>
  <c r="I17" i="4"/>
  <c r="H17" i="4"/>
  <c r="G17" i="4"/>
  <c r="F17" i="4"/>
  <c r="E17" i="4"/>
  <c r="D17" i="4"/>
  <c r="C17" i="4"/>
  <c r="B17" i="4"/>
  <c r="A17" i="4"/>
  <c r="I16" i="4"/>
  <c r="H16" i="4"/>
  <c r="G16" i="4"/>
  <c r="F16" i="4"/>
  <c r="E16" i="4"/>
  <c r="D16" i="4"/>
  <c r="C16" i="4"/>
  <c r="B16" i="4"/>
  <c r="A16" i="4"/>
  <c r="I15" i="4"/>
  <c r="H15" i="4"/>
  <c r="G15" i="4"/>
  <c r="F15" i="4"/>
  <c r="E15" i="4"/>
  <c r="D15" i="4"/>
  <c r="C15" i="4"/>
  <c r="B15" i="4"/>
  <c r="A15" i="4"/>
  <c r="I14" i="4"/>
  <c r="H14" i="4"/>
  <c r="G14" i="4"/>
  <c r="F14" i="4"/>
  <c r="E14" i="4"/>
  <c r="D14" i="4"/>
  <c r="C14" i="4"/>
  <c r="B14" i="4"/>
  <c r="A14" i="4"/>
  <c r="I13" i="4"/>
  <c r="H13" i="4"/>
  <c r="G13" i="4"/>
  <c r="F13" i="4"/>
  <c r="E13" i="4"/>
  <c r="D13" i="4"/>
  <c r="C13" i="4"/>
  <c r="B13" i="4"/>
  <c r="A13" i="4"/>
  <c r="I12" i="4"/>
  <c r="H12" i="4"/>
  <c r="G12" i="4"/>
  <c r="F12" i="4"/>
  <c r="E12" i="4"/>
  <c r="D12" i="4"/>
  <c r="C12" i="4"/>
  <c r="B12" i="4"/>
  <c r="A12" i="4"/>
  <c r="I11" i="4"/>
  <c r="H11" i="4"/>
  <c r="G11" i="4"/>
  <c r="F11" i="4"/>
  <c r="E11" i="4"/>
  <c r="D11" i="4"/>
  <c r="C11" i="4"/>
  <c r="B11" i="4"/>
  <c r="A11" i="4"/>
  <c r="I10" i="4"/>
  <c r="H10" i="4"/>
  <c r="G10" i="4"/>
  <c r="F10" i="4"/>
  <c r="E10" i="4"/>
  <c r="D10" i="4"/>
  <c r="C10" i="4"/>
  <c r="B10" i="4"/>
  <c r="A10" i="4"/>
  <c r="I9" i="4"/>
  <c r="H9" i="4"/>
  <c r="G9" i="4"/>
  <c r="F9" i="4"/>
  <c r="E9" i="4"/>
  <c r="D9" i="4"/>
  <c r="C9" i="4"/>
  <c r="B9" i="4"/>
  <c r="A9" i="4"/>
  <c r="I8" i="4"/>
  <c r="H8" i="4"/>
  <c r="G8" i="4"/>
  <c r="F8" i="4"/>
  <c r="E8" i="4"/>
  <c r="D8" i="4"/>
  <c r="C8" i="4"/>
  <c r="B8" i="4"/>
  <c r="A8" i="4"/>
  <c r="I7" i="4"/>
  <c r="H7" i="4"/>
  <c r="G7" i="4"/>
  <c r="F7" i="4"/>
  <c r="E7" i="4"/>
  <c r="D7" i="4"/>
  <c r="C7" i="4"/>
  <c r="B7" i="4"/>
  <c r="A7" i="4"/>
  <c r="I6" i="4"/>
  <c r="H6" i="4"/>
  <c r="G6" i="4"/>
  <c r="F6" i="4"/>
  <c r="E6" i="4"/>
  <c r="D6" i="4"/>
  <c r="C6" i="4"/>
  <c r="B6" i="4"/>
  <c r="A6" i="4"/>
  <c r="I5" i="4"/>
  <c r="H5" i="4"/>
  <c r="G5" i="4"/>
  <c r="F5" i="4"/>
  <c r="E5" i="4"/>
  <c r="D5" i="4"/>
  <c r="C5" i="4"/>
  <c r="B5" i="4"/>
  <c r="A5" i="4"/>
  <c r="I4" i="4"/>
  <c r="H4" i="4"/>
  <c r="G4" i="4"/>
  <c r="F4" i="4"/>
  <c r="E4" i="4"/>
  <c r="D4" i="4"/>
  <c r="C4" i="4"/>
  <c r="B4" i="4"/>
  <c r="A4" i="4"/>
  <c r="I3" i="4"/>
  <c r="H3" i="4"/>
  <c r="G3" i="4"/>
  <c r="F3" i="4"/>
  <c r="E3" i="4"/>
  <c r="D3" i="4"/>
  <c r="C3" i="4"/>
  <c r="B3" i="4"/>
  <c r="A3" i="4"/>
  <c r="I2" i="4"/>
  <c r="H2" i="4"/>
  <c r="H45" i="4" s="1"/>
  <c r="G2" i="4"/>
  <c r="G45" i="4" s="1"/>
  <c r="F2" i="4"/>
  <c r="E2" i="4"/>
  <c r="E45" i="4" s="1"/>
  <c r="D2" i="4"/>
  <c r="C2" i="4"/>
  <c r="B2" i="4"/>
  <c r="A2" i="4"/>
  <c r="B16" i="3"/>
  <c r="B15" i="3"/>
  <c r="B14" i="3"/>
  <c r="B13" i="3"/>
  <c r="B12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F3" i="3"/>
  <c r="E3" i="3"/>
  <c r="D3" i="3"/>
  <c r="C3" i="3"/>
  <c r="B3" i="3"/>
  <c r="F2" i="3"/>
  <c r="E2" i="3"/>
  <c r="D2" i="3"/>
  <c r="C2" i="3"/>
  <c r="B2" i="3"/>
  <c r="E42" i="4" l="1"/>
  <c r="G42" i="4"/>
  <c r="H42" i="4"/>
  <c r="E43" i="4"/>
  <c r="G43" i="4"/>
  <c r="H43" i="4"/>
  <c r="G44" i="4"/>
  <c r="H44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<sst xmlns="http://schemas.openxmlformats.org/spreadsheetml/2006/main" count="219" uniqueCount="165">
  <si>
    <t>Checking and cleaning the field records</t>
  </si>
  <si>
    <t>Source: field_records_messy.csv -- one season of spring wheat field records, constructed to contain the eight data-quality issues from Module 3. Harvest weights are consistent with yield x acres, so the columns can be checked against each other.</t>
  </si>
  <si>
    <t>Sheets:</t>
  </si>
  <si>
    <t xml:space="preserve">  Data    -- the raw file exactly as imported. Never edited.</t>
  </si>
  <si>
    <t xml:space="preserve">  Checks  -- summary statistics, a category count and a duplicate count that expose the issues.</t>
  </si>
  <si>
    <t xml:space="preserve">  Clean   -- the cleaned dataset, built entirely with formulas from the Data sheet, so every fix is visible and repeatable.</t>
  </si>
  <si>
    <t>The eight issues and where they are handled:</t>
  </si>
  <si>
    <t xml:space="preserve">  1. Awkward column names        -- renamed in row 1 of Clean</t>
  </si>
  <si>
    <t xml:space="preserve">  2. Text in a numeric column    -- harvest weight unit stripped in Clean column F</t>
  </si>
  <si>
    <t xml:space="preserve">  3. Duplicate rows              -- counted on Checks; flagged in Clean column I</t>
  </si>
  <si>
    <t xml:space="preserve">  4. Missing-value codes         -- -99, N/A, missing, 9999 blanked in Clean columns E and H</t>
  </si>
  <si>
    <t xml:space="preserve">  5. Impossible values           -- the -12 and 1250 yields blanked in Clean column E</t>
  </si>
  <si>
    <t xml:space="preserve">  6. Mixed units                 -- N rates below 1 converted from t/ha to kg/ha in Clean column G</t>
  </si>
  <si>
    <t xml:space="preserve">  7. Inconsistent categories     -- four Brandon spellings unified in Clean column B</t>
  </si>
  <si>
    <t xml:space="preserve">  8. Mixed date formats          -- parsed to real dates in Clean column C</t>
  </si>
  <si>
    <t>Field ID</t>
  </si>
  <si>
    <t>VARIETY_NAME</t>
  </si>
  <si>
    <t>SeededDate</t>
  </si>
  <si>
    <t>Acres</t>
  </si>
  <si>
    <t>Yield (bu/ac)</t>
  </si>
  <si>
    <t>harvest weight</t>
  </si>
  <si>
    <t>N rate</t>
  </si>
  <si>
    <t>Moisture %</t>
  </si>
  <si>
    <t>F001</t>
  </si>
  <si>
    <t>AAC Viewfield</t>
  </si>
  <si>
    <t>06-01-2026</t>
  </si>
  <si>
    <t>297.7 t</t>
  </si>
  <si>
    <t>F002</t>
  </si>
  <si>
    <t>Brandon</t>
  </si>
  <si>
    <t>2026-05-13</t>
  </si>
  <si>
    <t>476.0 t</t>
  </si>
  <si>
    <t>F003</t>
  </si>
  <si>
    <t>CDC Landmark</t>
  </si>
  <si>
    <t>2026/06/04</t>
  </si>
  <si>
    <t>172.6 t</t>
  </si>
  <si>
    <t>F004</t>
  </si>
  <si>
    <t>Brandon AAC</t>
  </si>
  <si>
    <t>Jun-18-2026</t>
  </si>
  <si>
    <t>642.5 t</t>
  </si>
  <si>
    <t>F005</t>
  </si>
  <si>
    <t>06-06-2026</t>
  </si>
  <si>
    <t>561.5 t</t>
  </si>
  <si>
    <t>F006</t>
  </si>
  <si>
    <t>Brndon</t>
  </si>
  <si>
    <t>2026-05-24</t>
  </si>
  <si>
    <t>222.8 t</t>
  </si>
  <si>
    <t>N/A</t>
  </si>
  <si>
    <t>F007</t>
  </si>
  <si>
    <t>2026/06/07</t>
  </si>
  <si>
    <t>138.6 t</t>
  </si>
  <si>
    <t>F008</t>
  </si>
  <si>
    <t>AAC Brandon</t>
  </si>
  <si>
    <t>May-18-2026</t>
  </si>
  <si>
    <t>264.0 t</t>
  </si>
  <si>
    <t>F009</t>
  </si>
  <si>
    <t>05-20-2026</t>
  </si>
  <si>
    <t>226.5 t</t>
  </si>
  <si>
    <t>F010</t>
  </si>
  <si>
    <t>2026-05-19</t>
  </si>
  <si>
    <t>256.6 t</t>
  </si>
  <si>
    <t>F011</t>
  </si>
  <si>
    <t>2026/05/18</t>
  </si>
  <si>
    <t>481.3 t</t>
  </si>
  <si>
    <t>F012</t>
  </si>
  <si>
    <t>May-17-2026</t>
  </si>
  <si>
    <t>402.2 t</t>
  </si>
  <si>
    <t>F013</t>
  </si>
  <si>
    <t>05-18-2026</t>
  </si>
  <si>
    <t>269.8 t</t>
  </si>
  <si>
    <t>F014</t>
  </si>
  <si>
    <t>2026-05-20</t>
  </si>
  <si>
    <t>249.6 t</t>
  </si>
  <si>
    <t>missing</t>
  </si>
  <si>
    <t>F015</t>
  </si>
  <si>
    <t>2026/05/15</t>
  </si>
  <si>
    <t>234.9 t</t>
  </si>
  <si>
    <t>F016</t>
  </si>
  <si>
    <t>225.5 t</t>
  </si>
  <si>
    <t>F017</t>
  </si>
  <si>
    <t>05-15-2026</t>
  </si>
  <si>
    <t>418.7 t</t>
  </si>
  <si>
    <t>F018</t>
  </si>
  <si>
    <t>2026-06-27</t>
  </si>
  <si>
    <t>283.2 t</t>
  </si>
  <si>
    <t>F019</t>
  </si>
  <si>
    <t>177.8 t</t>
  </si>
  <si>
    <t>F020</t>
  </si>
  <si>
    <t>Jun-11-2026</t>
  </si>
  <si>
    <t>323.9 t</t>
  </si>
  <si>
    <t>F021</t>
  </si>
  <si>
    <t>06-10-2026</t>
  </si>
  <si>
    <t>431.7 t</t>
  </si>
  <si>
    <t>F022</t>
  </si>
  <si>
    <t>2026-05-02</t>
  </si>
  <si>
    <t>492.0 t</t>
  </si>
  <si>
    <t>F023</t>
  </si>
  <si>
    <t>2026/05/09</t>
  </si>
  <si>
    <t>365.8 t</t>
  </si>
  <si>
    <t>F024</t>
  </si>
  <si>
    <t>Jun-26-2026</t>
  </si>
  <si>
    <t>150.5 t</t>
  </si>
  <si>
    <t>F025</t>
  </si>
  <si>
    <t>226.1 t</t>
  </si>
  <si>
    <t>F026</t>
  </si>
  <si>
    <t>2026-05-23</t>
  </si>
  <si>
    <t>252.7 t</t>
  </si>
  <si>
    <t>F027</t>
  </si>
  <si>
    <t>120.3 t</t>
  </si>
  <si>
    <t>F028</t>
  </si>
  <si>
    <t>May-22-2026</t>
  </si>
  <si>
    <t>191.4 t</t>
  </si>
  <si>
    <t>F029</t>
  </si>
  <si>
    <t>05-04-2026</t>
  </si>
  <si>
    <t>268.5 t</t>
  </si>
  <si>
    <t>F030</t>
  </si>
  <si>
    <t>2026-05-11</t>
  </si>
  <si>
    <t>237.8 t</t>
  </si>
  <si>
    <t>F031</t>
  </si>
  <si>
    <t>2026/05/21</t>
  </si>
  <si>
    <t>189.5 t</t>
  </si>
  <si>
    <t>F032</t>
  </si>
  <si>
    <t>May-15-2026</t>
  </si>
  <si>
    <t>195.9 t</t>
  </si>
  <si>
    <t>F033</t>
  </si>
  <si>
    <t>386.2 t</t>
  </si>
  <si>
    <t>F034</t>
  </si>
  <si>
    <t>2026-06-01</t>
  </si>
  <si>
    <t>185.9 t</t>
  </si>
  <si>
    <t>F035</t>
  </si>
  <si>
    <t>215.8 t</t>
  </si>
  <si>
    <t>F036</t>
  </si>
  <si>
    <t>255.6 t</t>
  </si>
  <si>
    <t>The raw import. Do not edit this sheet -- all checking and cleaning happens on the other sheets, so the original stays intact.</t>
  </si>
  <si>
    <t>Statistic</t>
  </si>
  <si>
    <t>Count (numbers)</t>
  </si>
  <si>
    <t>Count (non-empty)</t>
  </si>
  <si>
    <t>Minimum</t>
  </si>
  <si>
    <t>Maximum</t>
  </si>
  <si>
    <t>Mean</t>
  </si>
  <si>
    <t>Median</t>
  </si>
  <si>
    <t>Variety</t>
  </si>
  <si>
    <t>Count</t>
  </si>
  <si>
    <t>Rows</t>
  </si>
  <si>
    <t>Count (numbers) vs Count (non-empty): a gap means the column holds text -- the weight unit suffix and the moisture codes stop Excel from treating them as numbers.</t>
  </si>
  <si>
    <t>The yield minimum is a missing-value code and the maximum is twenty times a real yield; together they drag the mean above the median.</t>
  </si>
  <si>
    <t>The N rate minimum and maximum are in different units: below 1 is t/ha, near 100 is kg/ha.</t>
  </si>
  <si>
    <t>Four of the variety spellings are the same variety. Rows minus distinct field IDs gives the number of duplicated rows.</t>
  </si>
  <si>
    <t>field_id</t>
  </si>
  <si>
    <t>variety</t>
  </si>
  <si>
    <t>seeded_date</t>
  </si>
  <si>
    <t>acres</t>
  </si>
  <si>
    <t>yield_bu_ac</t>
  </si>
  <si>
    <t>weight_t</t>
  </si>
  <si>
    <t>n_rate_kg_ha</t>
  </si>
  <si>
    <t>moisture_pct</t>
  </si>
  <si>
    <t>duplicate_flag</t>
  </si>
  <si>
    <t>After cleaning</t>
  </si>
  <si>
    <t>Every cell is a formula pointing at Data, so the cleaning is visible and rerunnable: change the raw sheet and this one follows.</t>
  </si>
  <si>
    <t>variety: the three stray Brandon spellings map to AAC Brandon. seeded_date: DATEVALUE parses all four formats; check a few rows, since month-day order is a guess Excel makes.</t>
  </si>
  <si>
    <t>yield_bu_ac: the -99 code, the negative and the 1250 are blanked, not corrected -- there is nothing defensible to replace them with.</t>
  </si>
  <si>
    <t>weight_t: the text unit is stripped so the column is numeric. n_rate_kg_ha: values below 1 were t/ha and are multiplied by 1000. moisture_pct: the four missing codes are blanked.</t>
  </si>
  <si>
    <t>A consistency check the columns now support: weight_t should be close to yield_bu_ac x acres x 0.02722. Rows that fail it deserve a second look.</t>
  </si>
  <si>
    <t>duplicate_flag: TRUE marks the second appearance of a field ID. Filter on TRUE and delete those rows when saving a final copy.</t>
  </si>
  <si>
    <t>Unique rows</t>
  </si>
  <si>
    <t>Duplicate rows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</si>
</sst>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i/>
      <sz val="11"/>
      <color rgb="FF55555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/>
    <cx:plotArea>
      <cx:plotAreaRegion>
        <cx:series layoutId="clusteredColumn" uniqueId="{00000000-CCAE-CA4F-B575-96A7CA6EC090}">
          <cx:tx>
            <cx:txData>
              <cx:f>_xlchart.v1.7</cx:f>
              <cx:v>Moisture % 12.4 14.7 12.3 15.4 12.3 N/A 14.5 12.4 13.7 16.4 12 13.5 16.5 missing</cx:v>
            </cx:txData>
          </cx:tx>
          <cx:dataPt idx="0"/>
          <cx:dataId val="0"/>
          <cx:layoutPr>
            <cx:binning intervalClosed="r" underflow="10" overflow="20">
              <cx:binCount val="4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</cx:chartData>
  <cx:chart>
    <cx:title pos="t" align="ctr" overlay="0">
      <cx:tx>
        <cx:txData>
          <cx:v>Acres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Acres</a:t>
          </a:r>
        </a:p>
      </cx:txPr>
    </cx:title>
    <cx:plotArea>
      <cx:plotAreaRegion>
        <cx:series layoutId="clusteredColumn" uniqueId="{00000000-0574-594C-96EA-6A9A7EA71A61}">
          <cx:tx>
            <cx:txData>
              <cx:f>_xlchart.v1.16</cx:f>
              <cx:v>Acres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_xlchart.v1.19</cx:f>
      </cx:numDim>
    </cx:data>
  </cx:chartData>
  <cx:chart>
    <cx:title pos="t" align="ctr" overlay="0">
      <cx:tx>
        <cx:txData>
          <cx:v>Yields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Yields</a:t>
          </a:r>
        </a:p>
      </cx:txPr>
    </cx:title>
    <cx:plotArea>
      <cx:plotAreaRegion>
        <cx:series layoutId="clusteredColumn" uniqueId="{00000000-709E-F74D-B769-CC5135A80F32}">
          <cx:tx>
            <cx:txData>
              <cx:f>_xlchart.v1.18</cx:f>
              <cx:v>Yield (bu/ac)</cx:v>
            </cx:txData>
          </cx:tx>
          <cx:dataId val="0"/>
          <cx:layoutPr>
            <cx:binning intervalClosed="r" underflow="0" overflow="100">
              <cx:binCount val="1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</cx:chartData>
  <cx:chart>
    <cx:title pos="t" align="ctr" overlay="0">
      <cx:tx>
        <cx:txData>
          <cx:v>Nitrogen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Nitrogen</a:t>
          </a:r>
        </a:p>
      </cx:txPr>
    </cx:title>
    <cx:plotArea>
      <cx:plotAreaRegion>
        <cx:series layoutId="clusteredColumn" uniqueId="{00000000-0B41-6F4C-AB71-3DF410CD3CDE}">
          <cx:tx>
            <cx:txData>
              <cx:f>_xlchart.v1.14</cx:f>
              <cx:v>N rate</cx:v>
            </cx:txData>
          </cx:tx>
          <cx:dataId val="0"/>
          <cx:layoutPr>
            <cx:binning intervalClosed="r" underflow="auto" overflow="150">
              <cx:binCount val="1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</cx:f>
      </cx:numDim>
    </cx:data>
  </cx:chartData>
  <cx:chart>
    <cx:title pos="t" align="ctr" overlay="0">
      <cx:tx>
        <cx:txData>
          <cx:v>Moisture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Moisture</a:t>
          </a:r>
        </a:p>
      </cx:txPr>
    </cx:title>
    <cx:plotArea>
      <cx:plotAreaRegion>
        <cx:series layoutId="clusteredColumn" uniqueId="{00000000-CCAE-CA4F-B575-96A7CA6EC090}">
          <cx:tx>
            <cx:txData>
              <cx:f>_xlchart.v1.11</cx:f>
              <cx:v>Moisture % 12.4 14.7 12.3 15.4 12.3 N/A 14.5 12.4 13.7 16.4 12 13.5 16.5 missing</cx:v>
            </cx:txData>
          </cx:tx>
          <cx:dataPt idx="0"/>
          <cx:dataId val="0"/>
          <cx:layoutPr>
            <cx:binning intervalClosed="r" underflow="10" overflow="20">
              <cx:binCount val="4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4.xml"/><Relationship Id="rId2" Type="http://schemas.microsoft.com/office/2014/relationships/chartEx" Target="../charts/chartEx3.xml"/><Relationship Id="rId1" Type="http://schemas.microsoft.com/office/2014/relationships/chartEx" Target="../charts/chartEx2.xml"/><Relationship Id="rId4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88900</xdr:colOff>
      <xdr:row>17</xdr:row>
      <xdr:rowOff>82550</xdr:rowOff>
    </xdr:from>
    <xdr:to>
      <xdr:col>15</xdr:col>
      <xdr:colOff>622300</xdr:colOff>
      <xdr:row>31</xdr:row>
      <xdr:rowOff>158750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DEF2B81B-52CB-6F28-D468-245CE0CD64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48600" y="33210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647700</xdr:colOff>
      <xdr:row>0</xdr:row>
      <xdr:rowOff>114300</xdr:rowOff>
    </xdr:from>
    <xdr:to>
      <xdr:col>16</xdr:col>
      <xdr:colOff>508000</xdr:colOff>
      <xdr:row>15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10AC3930-604F-A44B-8A9E-9AD34C4535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34600" y="1143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596900</xdr:colOff>
      <xdr:row>15</xdr:row>
      <xdr:rowOff>88900</xdr:rowOff>
    </xdr:from>
    <xdr:to>
      <xdr:col>16</xdr:col>
      <xdr:colOff>457200</xdr:colOff>
      <xdr:row>29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C9CBC4A6-0359-5841-AFE6-C5B3743B6E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83800" y="29464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558800</xdr:colOff>
      <xdr:row>30</xdr:row>
      <xdr:rowOff>114300</xdr:rowOff>
    </xdr:from>
    <xdr:to>
      <xdr:col>23</xdr:col>
      <xdr:colOff>355600</xdr:colOff>
      <xdr:row>45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C38E34B-8FCF-1742-B8DF-B61624816F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5700" y="5829300"/>
              <a:ext cx="9220200" cy="2914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25400</xdr:colOff>
      <xdr:row>0</xdr:row>
      <xdr:rowOff>165100</xdr:rowOff>
    </xdr:from>
    <xdr:to>
      <xdr:col>23</xdr:col>
      <xdr:colOff>558800</xdr:colOff>
      <xdr:row>15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C005CEE-62A8-074D-B434-00592B2526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97100" y="1651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topLeftCell="A3" workbookViewId="0"/>
  </sheetViews>
  <sheetFormatPr baseColWidth="10" defaultColWidth="8.83203125" defaultRowHeight="15" x14ac:dyDescent="0.2"/>
  <cols>
    <col min="1" max="1" width="110" customWidth="1"/>
  </cols>
  <sheetData>
    <row r="1" spans="1:1" x14ac:dyDescent="0.2">
      <c r="A1" s="1" t="s">
        <v>0</v>
      </c>
    </row>
    <row r="3" spans="1:1" x14ac:dyDescent="0.2">
      <c r="A3" t="s">
        <v>1</v>
      </c>
    </row>
    <row r="5" spans="1:1" x14ac:dyDescent="0.2">
      <c r="A5" s="1" t="s">
        <v>2</v>
      </c>
    </row>
    <row r="6" spans="1:1" x14ac:dyDescent="0.2">
      <c r="A6" t="s">
        <v>3</v>
      </c>
    </row>
    <row r="7" spans="1:1" x14ac:dyDescent="0.2">
      <c r="A7" t="s">
        <v>4</v>
      </c>
    </row>
    <row r="8" spans="1:1" x14ac:dyDescent="0.2">
      <c r="A8" t="s">
        <v>5</v>
      </c>
    </row>
    <row r="10" spans="1:1" x14ac:dyDescent="0.2">
      <c r="A10" s="1" t="s">
        <v>6</v>
      </c>
    </row>
    <row r="11" spans="1:1" x14ac:dyDescent="0.2">
      <c r="A11" t="s">
        <v>7</v>
      </c>
    </row>
    <row r="12" spans="1:1" x14ac:dyDescent="0.2">
      <c r="A12" t="s">
        <v>8</v>
      </c>
    </row>
    <row r="13" spans="1:1" x14ac:dyDescent="0.2">
      <c r="A13" t="s">
        <v>9</v>
      </c>
    </row>
    <row r="14" spans="1:1" x14ac:dyDescent="0.2">
      <c r="A14" t="s">
        <v>10</v>
      </c>
    </row>
    <row r="15" spans="1:1" x14ac:dyDescent="0.2">
      <c r="A15" t="s">
        <v>11</v>
      </c>
    </row>
    <row r="16" spans="1:1" x14ac:dyDescent="0.2">
      <c r="A16" t="s">
        <v>12</v>
      </c>
    </row>
    <row r="17" spans="1:1" x14ac:dyDescent="0.2">
      <c r="A17" t="s">
        <v>13</v>
      </c>
    </row>
    <row r="18" spans="1:1" x14ac:dyDescent="0.2">
      <c r="A18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1"/>
  <sheetViews>
    <sheetView workbookViewId="0">
      <selection activeCell="C16" sqref="C16"/>
    </sheetView>
  </sheetViews>
  <sheetFormatPr baseColWidth="10" defaultColWidth="8.83203125" defaultRowHeight="15" x14ac:dyDescent="0.2"/>
  <cols>
    <col min="1" max="1" width="10" customWidth="1"/>
    <col min="2" max="2" width="15" customWidth="1"/>
    <col min="3" max="3" width="13" customWidth="1"/>
    <col min="4" max="4" width="8" customWidth="1"/>
    <col min="5" max="5" width="13" customWidth="1"/>
    <col min="6" max="6" width="14" customWidth="1"/>
    <col min="7" max="7" width="9" customWidth="1"/>
    <col min="8" max="8" width="11" customWidth="1"/>
  </cols>
  <sheetData>
    <row r="1" spans="1:8" x14ac:dyDescent="0.2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</row>
    <row r="2" spans="1:8" x14ac:dyDescent="0.2">
      <c r="A2" t="s">
        <v>23</v>
      </c>
      <c r="B2" t="s">
        <v>24</v>
      </c>
      <c r="C2" t="s">
        <v>25</v>
      </c>
      <c r="D2">
        <v>160</v>
      </c>
      <c r="E2">
        <v>67.599999999999994</v>
      </c>
      <c r="F2" t="s">
        <v>26</v>
      </c>
      <c r="G2">
        <v>97.1</v>
      </c>
      <c r="H2">
        <v>12.4</v>
      </c>
    </row>
    <row r="3" spans="1:8" x14ac:dyDescent="0.2">
      <c r="A3" t="s">
        <v>27</v>
      </c>
      <c r="B3" t="s">
        <v>28</v>
      </c>
      <c r="C3" t="s">
        <v>29</v>
      </c>
      <c r="D3">
        <v>320</v>
      </c>
      <c r="E3">
        <v>54.9</v>
      </c>
      <c r="F3" t="s">
        <v>30</v>
      </c>
      <c r="G3">
        <v>96.2</v>
      </c>
      <c r="H3">
        <v>14.7</v>
      </c>
    </row>
    <row r="4" spans="1:8" x14ac:dyDescent="0.2">
      <c r="A4" t="s">
        <v>31</v>
      </c>
      <c r="B4" t="s">
        <v>32</v>
      </c>
      <c r="C4" t="s">
        <v>33</v>
      </c>
      <c r="D4">
        <v>120</v>
      </c>
      <c r="E4">
        <v>54.4</v>
      </c>
      <c r="F4" t="s">
        <v>34</v>
      </c>
      <c r="G4">
        <v>8.1000000000000003E-2</v>
      </c>
      <c r="H4">
        <v>12.3</v>
      </c>
    </row>
    <row r="5" spans="1:8" x14ac:dyDescent="0.2">
      <c r="A5" t="s">
        <v>35</v>
      </c>
      <c r="B5" t="s">
        <v>36</v>
      </c>
      <c r="C5" t="s">
        <v>37</v>
      </c>
      <c r="D5">
        <v>320</v>
      </c>
      <c r="E5">
        <v>-99</v>
      </c>
      <c r="F5" t="s">
        <v>38</v>
      </c>
      <c r="G5">
        <v>116.7</v>
      </c>
      <c r="H5">
        <v>15.4</v>
      </c>
    </row>
    <row r="6" spans="1:8" x14ac:dyDescent="0.2">
      <c r="A6" t="s">
        <v>39</v>
      </c>
      <c r="B6" t="s">
        <v>32</v>
      </c>
      <c r="C6" t="s">
        <v>40</v>
      </c>
      <c r="D6">
        <v>320</v>
      </c>
      <c r="E6">
        <v>65.8</v>
      </c>
      <c r="F6" t="s">
        <v>41</v>
      </c>
      <c r="G6">
        <v>89.9</v>
      </c>
      <c r="H6">
        <v>12.3</v>
      </c>
    </row>
    <row r="7" spans="1:8" x14ac:dyDescent="0.2">
      <c r="A7" t="s">
        <v>42</v>
      </c>
      <c r="B7" t="s">
        <v>43</v>
      </c>
      <c r="C7" t="s">
        <v>44</v>
      </c>
      <c r="D7">
        <v>160</v>
      </c>
      <c r="E7">
        <v>50.8</v>
      </c>
      <c r="F7" t="s">
        <v>45</v>
      </c>
      <c r="G7">
        <v>0.113</v>
      </c>
      <c r="H7" t="s">
        <v>46</v>
      </c>
    </row>
    <row r="8" spans="1:8" x14ac:dyDescent="0.2">
      <c r="A8" t="s">
        <v>47</v>
      </c>
      <c r="B8" t="s">
        <v>24</v>
      </c>
      <c r="C8" t="s">
        <v>48</v>
      </c>
      <c r="D8">
        <v>80</v>
      </c>
      <c r="E8">
        <v>-12</v>
      </c>
      <c r="F8" t="s">
        <v>49</v>
      </c>
      <c r="G8">
        <v>135.9</v>
      </c>
      <c r="H8">
        <v>14.5</v>
      </c>
    </row>
    <row r="9" spans="1:8" x14ac:dyDescent="0.2">
      <c r="A9" t="s">
        <v>50</v>
      </c>
      <c r="B9" t="s">
        <v>51</v>
      </c>
      <c r="C9" t="s">
        <v>52</v>
      </c>
      <c r="D9">
        <v>160</v>
      </c>
      <c r="E9">
        <v>60.3</v>
      </c>
      <c r="F9" t="s">
        <v>53</v>
      </c>
      <c r="G9">
        <v>127.3</v>
      </c>
      <c r="H9">
        <v>12.4</v>
      </c>
    </row>
    <row r="10" spans="1:8" x14ac:dyDescent="0.2">
      <c r="A10" t="s">
        <v>54</v>
      </c>
      <c r="B10" t="s">
        <v>32</v>
      </c>
      <c r="C10" t="s">
        <v>55</v>
      </c>
      <c r="D10">
        <v>160</v>
      </c>
      <c r="E10">
        <v>51.5</v>
      </c>
      <c r="F10" t="s">
        <v>56</v>
      </c>
      <c r="G10">
        <v>8.1000000000000003E-2</v>
      </c>
      <c r="H10">
        <v>13.7</v>
      </c>
    </row>
    <row r="11" spans="1:8" x14ac:dyDescent="0.2">
      <c r="A11" t="s">
        <v>57</v>
      </c>
      <c r="B11" t="s">
        <v>28</v>
      </c>
      <c r="C11" t="s">
        <v>58</v>
      </c>
      <c r="D11">
        <v>160</v>
      </c>
      <c r="E11">
        <v>58.9</v>
      </c>
      <c r="F11" t="s">
        <v>59</v>
      </c>
      <c r="G11">
        <v>92.4</v>
      </c>
      <c r="H11">
        <v>16.399999999999999</v>
      </c>
    </row>
    <row r="12" spans="1:8" x14ac:dyDescent="0.2">
      <c r="A12" t="s">
        <v>60</v>
      </c>
      <c r="B12" t="s">
        <v>32</v>
      </c>
      <c r="C12" t="s">
        <v>61</v>
      </c>
      <c r="D12">
        <v>320</v>
      </c>
      <c r="E12">
        <v>54.4</v>
      </c>
      <c r="F12" t="s">
        <v>62</v>
      </c>
      <c r="G12">
        <v>82.9</v>
      </c>
      <c r="H12">
        <v>12</v>
      </c>
    </row>
    <row r="13" spans="1:8" x14ac:dyDescent="0.2">
      <c r="A13" t="s">
        <v>63</v>
      </c>
      <c r="B13" t="s">
        <v>36</v>
      </c>
      <c r="C13" t="s">
        <v>64</v>
      </c>
      <c r="D13">
        <v>240</v>
      </c>
      <c r="E13">
        <v>62</v>
      </c>
      <c r="F13" t="s">
        <v>65</v>
      </c>
      <c r="G13">
        <v>0.10299999999999999</v>
      </c>
      <c r="H13">
        <v>13.5</v>
      </c>
    </row>
    <row r="14" spans="1:8" x14ac:dyDescent="0.2">
      <c r="A14" t="s">
        <v>66</v>
      </c>
      <c r="B14" t="s">
        <v>24</v>
      </c>
      <c r="C14" t="s">
        <v>67</v>
      </c>
      <c r="D14">
        <v>240</v>
      </c>
      <c r="E14">
        <v>41.5</v>
      </c>
      <c r="F14" t="s">
        <v>68</v>
      </c>
      <c r="G14">
        <v>82.7</v>
      </c>
      <c r="H14">
        <v>16.5</v>
      </c>
    </row>
    <row r="15" spans="1:8" x14ac:dyDescent="0.2">
      <c r="A15" t="s">
        <v>69</v>
      </c>
      <c r="B15" t="s">
        <v>43</v>
      </c>
      <c r="C15" t="s">
        <v>70</v>
      </c>
      <c r="D15">
        <v>160</v>
      </c>
      <c r="E15">
        <v>57.8</v>
      </c>
      <c r="F15" t="s">
        <v>71</v>
      </c>
      <c r="G15">
        <v>134</v>
      </c>
      <c r="H15" t="s">
        <v>72</v>
      </c>
    </row>
    <row r="16" spans="1:8" x14ac:dyDescent="0.2">
      <c r="A16" t="s">
        <v>73</v>
      </c>
      <c r="B16" t="s">
        <v>32</v>
      </c>
      <c r="C16" t="s">
        <v>74</v>
      </c>
      <c r="D16">
        <v>160</v>
      </c>
      <c r="E16">
        <v>54.7</v>
      </c>
      <c r="F16" t="s">
        <v>75</v>
      </c>
      <c r="G16">
        <v>0.106</v>
      </c>
      <c r="H16">
        <v>11.6</v>
      </c>
    </row>
    <row r="17" spans="1:8" x14ac:dyDescent="0.2">
      <c r="A17" t="s">
        <v>76</v>
      </c>
      <c r="B17" t="s">
        <v>51</v>
      </c>
      <c r="C17" t="s">
        <v>64</v>
      </c>
      <c r="D17">
        <v>160</v>
      </c>
      <c r="E17">
        <v>52.9</v>
      </c>
      <c r="F17" t="s">
        <v>77</v>
      </c>
      <c r="G17">
        <v>128.5</v>
      </c>
      <c r="H17">
        <v>13</v>
      </c>
    </row>
    <row r="18" spans="1:8" x14ac:dyDescent="0.2">
      <c r="A18" t="s">
        <v>78</v>
      </c>
      <c r="B18" t="s">
        <v>32</v>
      </c>
      <c r="C18" t="s">
        <v>79</v>
      </c>
      <c r="D18">
        <v>240</v>
      </c>
      <c r="E18">
        <v>63</v>
      </c>
      <c r="F18" t="s">
        <v>80</v>
      </c>
      <c r="G18">
        <v>85.4</v>
      </c>
      <c r="H18">
        <v>15.5</v>
      </c>
    </row>
    <row r="19" spans="1:8" x14ac:dyDescent="0.2">
      <c r="A19" t="s">
        <v>81</v>
      </c>
      <c r="B19" t="s">
        <v>28</v>
      </c>
      <c r="C19" t="s">
        <v>82</v>
      </c>
      <c r="D19">
        <v>160</v>
      </c>
      <c r="E19">
        <v>63.6</v>
      </c>
      <c r="F19" t="s">
        <v>83</v>
      </c>
      <c r="G19">
        <v>0.112</v>
      </c>
      <c r="H19">
        <v>15.7</v>
      </c>
    </row>
    <row r="20" spans="1:8" x14ac:dyDescent="0.2">
      <c r="A20" t="s">
        <v>84</v>
      </c>
      <c r="B20" t="s">
        <v>24</v>
      </c>
      <c r="C20" t="s">
        <v>74</v>
      </c>
      <c r="D20">
        <v>120</v>
      </c>
      <c r="E20">
        <v>1250</v>
      </c>
      <c r="F20" t="s">
        <v>85</v>
      </c>
      <c r="G20">
        <v>104.1</v>
      </c>
      <c r="H20">
        <v>12.6</v>
      </c>
    </row>
    <row r="21" spans="1:8" x14ac:dyDescent="0.2">
      <c r="A21" t="s">
        <v>86</v>
      </c>
      <c r="B21" t="s">
        <v>36</v>
      </c>
      <c r="C21" t="s">
        <v>87</v>
      </c>
      <c r="D21">
        <v>160</v>
      </c>
      <c r="E21">
        <v>76.599999999999994</v>
      </c>
      <c r="F21" t="s">
        <v>88</v>
      </c>
      <c r="G21">
        <v>84.7</v>
      </c>
      <c r="H21">
        <v>13.1</v>
      </c>
    </row>
    <row r="22" spans="1:8" x14ac:dyDescent="0.2">
      <c r="A22" t="s">
        <v>89</v>
      </c>
      <c r="B22" t="s">
        <v>32</v>
      </c>
      <c r="C22" t="s">
        <v>90</v>
      </c>
      <c r="D22">
        <v>240</v>
      </c>
      <c r="E22">
        <v>65.099999999999994</v>
      </c>
      <c r="F22" t="s">
        <v>91</v>
      </c>
      <c r="G22">
        <v>0.129</v>
      </c>
      <c r="H22">
        <v>15.4</v>
      </c>
    </row>
    <row r="23" spans="1:8" x14ac:dyDescent="0.2">
      <c r="A23" t="s">
        <v>92</v>
      </c>
      <c r="B23" t="s">
        <v>43</v>
      </c>
      <c r="C23" t="s">
        <v>93</v>
      </c>
      <c r="D23">
        <v>320</v>
      </c>
      <c r="E23">
        <v>57.5</v>
      </c>
      <c r="F23" t="s">
        <v>94</v>
      </c>
      <c r="G23">
        <v>96.8</v>
      </c>
    </row>
    <row r="24" spans="1:8" x14ac:dyDescent="0.2">
      <c r="A24" t="s">
        <v>95</v>
      </c>
      <c r="B24" t="s">
        <v>32</v>
      </c>
      <c r="C24" t="s">
        <v>96</v>
      </c>
      <c r="D24">
        <v>240</v>
      </c>
      <c r="E24">
        <v>-99</v>
      </c>
      <c r="F24" t="s">
        <v>97</v>
      </c>
      <c r="G24">
        <v>87.2</v>
      </c>
      <c r="H24">
        <v>16</v>
      </c>
    </row>
    <row r="25" spans="1:8" x14ac:dyDescent="0.2">
      <c r="A25" t="s">
        <v>98</v>
      </c>
      <c r="B25" t="s">
        <v>51</v>
      </c>
      <c r="C25" t="s">
        <v>99</v>
      </c>
      <c r="D25">
        <v>120</v>
      </c>
      <c r="E25">
        <v>46.5</v>
      </c>
      <c r="F25" t="s">
        <v>100</v>
      </c>
      <c r="G25">
        <v>0.124</v>
      </c>
      <c r="H25">
        <v>15.3</v>
      </c>
    </row>
    <row r="26" spans="1:8" x14ac:dyDescent="0.2">
      <c r="A26" t="s">
        <v>101</v>
      </c>
      <c r="B26" t="s">
        <v>24</v>
      </c>
      <c r="C26" t="s">
        <v>90</v>
      </c>
      <c r="D26">
        <v>160</v>
      </c>
      <c r="E26">
        <v>51.7</v>
      </c>
      <c r="F26" t="s">
        <v>102</v>
      </c>
      <c r="G26">
        <v>100.8</v>
      </c>
      <c r="H26">
        <v>11.6</v>
      </c>
    </row>
    <row r="27" spans="1:8" x14ac:dyDescent="0.2">
      <c r="A27" t="s">
        <v>103</v>
      </c>
      <c r="B27" t="s">
        <v>28</v>
      </c>
      <c r="C27" t="s">
        <v>104</v>
      </c>
      <c r="D27">
        <v>160</v>
      </c>
      <c r="E27">
        <v>59.1</v>
      </c>
      <c r="F27" t="s">
        <v>105</v>
      </c>
      <c r="G27">
        <v>132.9</v>
      </c>
      <c r="H27">
        <v>15.7</v>
      </c>
    </row>
    <row r="28" spans="1:8" x14ac:dyDescent="0.2">
      <c r="A28" t="s">
        <v>106</v>
      </c>
      <c r="B28" t="s">
        <v>32</v>
      </c>
      <c r="C28" t="s">
        <v>74</v>
      </c>
      <c r="D28">
        <v>80</v>
      </c>
      <c r="E28">
        <v>54</v>
      </c>
      <c r="F28" t="s">
        <v>107</v>
      </c>
      <c r="G28">
        <v>0.13</v>
      </c>
      <c r="H28">
        <v>12.2</v>
      </c>
    </row>
    <row r="29" spans="1:8" x14ac:dyDescent="0.2">
      <c r="A29" t="s">
        <v>108</v>
      </c>
      <c r="B29" t="s">
        <v>36</v>
      </c>
      <c r="C29" t="s">
        <v>109</v>
      </c>
      <c r="D29">
        <v>160</v>
      </c>
      <c r="E29">
        <v>43.3</v>
      </c>
      <c r="F29" t="s">
        <v>110</v>
      </c>
      <c r="G29">
        <v>103.9</v>
      </c>
      <c r="H29">
        <v>15</v>
      </c>
    </row>
    <row r="30" spans="1:8" x14ac:dyDescent="0.2">
      <c r="A30" t="s">
        <v>111</v>
      </c>
      <c r="B30" t="s">
        <v>32</v>
      </c>
      <c r="C30" t="s">
        <v>112</v>
      </c>
      <c r="D30">
        <v>160</v>
      </c>
      <c r="E30">
        <v>63.3</v>
      </c>
      <c r="F30" t="s">
        <v>113</v>
      </c>
      <c r="G30">
        <v>106.3</v>
      </c>
      <c r="H30">
        <v>15.7</v>
      </c>
    </row>
    <row r="31" spans="1:8" x14ac:dyDescent="0.2">
      <c r="A31" t="s">
        <v>114</v>
      </c>
      <c r="B31" t="s">
        <v>43</v>
      </c>
      <c r="C31" t="s">
        <v>115</v>
      </c>
      <c r="D31">
        <v>160</v>
      </c>
      <c r="E31">
        <v>53.2</v>
      </c>
      <c r="F31" t="s">
        <v>116</v>
      </c>
      <c r="G31">
        <v>9.1999999999999998E-2</v>
      </c>
      <c r="H31">
        <v>9999</v>
      </c>
    </row>
    <row r="32" spans="1:8" x14ac:dyDescent="0.2">
      <c r="A32" t="s">
        <v>117</v>
      </c>
      <c r="B32" t="s">
        <v>24</v>
      </c>
      <c r="C32" t="s">
        <v>118</v>
      </c>
      <c r="D32">
        <v>120</v>
      </c>
      <c r="E32">
        <v>-99</v>
      </c>
      <c r="F32" t="s">
        <v>119</v>
      </c>
      <c r="G32">
        <v>123.2</v>
      </c>
      <c r="H32">
        <v>16</v>
      </c>
    </row>
    <row r="33" spans="1:8" x14ac:dyDescent="0.2">
      <c r="A33" t="s">
        <v>120</v>
      </c>
      <c r="B33" t="s">
        <v>51</v>
      </c>
      <c r="C33" t="s">
        <v>121</v>
      </c>
      <c r="D33">
        <v>120</v>
      </c>
      <c r="E33">
        <v>60.1</v>
      </c>
      <c r="F33" t="s">
        <v>122</v>
      </c>
      <c r="G33">
        <v>100.1</v>
      </c>
      <c r="H33">
        <v>15.4</v>
      </c>
    </row>
    <row r="34" spans="1:8" x14ac:dyDescent="0.2">
      <c r="A34" t="s">
        <v>123</v>
      </c>
      <c r="B34" t="s">
        <v>32</v>
      </c>
      <c r="C34" t="s">
        <v>79</v>
      </c>
      <c r="D34">
        <v>240</v>
      </c>
      <c r="E34">
        <v>58.6</v>
      </c>
      <c r="F34" t="s">
        <v>124</v>
      </c>
      <c r="G34">
        <v>0.08</v>
      </c>
      <c r="H34">
        <v>15.4</v>
      </c>
    </row>
    <row r="35" spans="1:8" x14ac:dyDescent="0.2">
      <c r="A35" t="s">
        <v>125</v>
      </c>
      <c r="B35" t="s">
        <v>28</v>
      </c>
      <c r="C35" t="s">
        <v>126</v>
      </c>
      <c r="D35">
        <v>120</v>
      </c>
      <c r="E35">
        <v>56.8</v>
      </c>
      <c r="F35" t="s">
        <v>127</v>
      </c>
      <c r="G35">
        <v>131.30000000000001</v>
      </c>
      <c r="H35">
        <v>14.7</v>
      </c>
    </row>
    <row r="36" spans="1:8" x14ac:dyDescent="0.2">
      <c r="A36" t="s">
        <v>128</v>
      </c>
      <c r="B36" t="s">
        <v>32</v>
      </c>
      <c r="C36" t="s">
        <v>61</v>
      </c>
      <c r="D36">
        <v>160</v>
      </c>
      <c r="E36">
        <v>50.1</v>
      </c>
      <c r="F36" t="s">
        <v>129</v>
      </c>
      <c r="G36">
        <v>89.4</v>
      </c>
      <c r="H36">
        <v>11.7</v>
      </c>
    </row>
    <row r="37" spans="1:8" x14ac:dyDescent="0.2">
      <c r="A37" t="s">
        <v>130</v>
      </c>
      <c r="B37" t="s">
        <v>36</v>
      </c>
      <c r="C37" t="s">
        <v>64</v>
      </c>
      <c r="D37">
        <v>160</v>
      </c>
      <c r="E37">
        <v>58.2</v>
      </c>
      <c r="F37" t="s">
        <v>131</v>
      </c>
      <c r="G37">
        <v>0.13</v>
      </c>
      <c r="H37">
        <v>12.9</v>
      </c>
    </row>
    <row r="38" spans="1:8" x14ac:dyDescent="0.2">
      <c r="A38" t="s">
        <v>63</v>
      </c>
      <c r="B38" t="s">
        <v>36</v>
      </c>
      <c r="C38" t="s">
        <v>64</v>
      </c>
      <c r="D38">
        <v>240</v>
      </c>
      <c r="E38">
        <v>62</v>
      </c>
      <c r="F38" t="s">
        <v>65</v>
      </c>
      <c r="G38">
        <v>0.10299999999999999</v>
      </c>
      <c r="H38">
        <v>13.5</v>
      </c>
    </row>
    <row r="39" spans="1:8" x14ac:dyDescent="0.2">
      <c r="A39" t="s">
        <v>106</v>
      </c>
      <c r="B39" t="s">
        <v>32</v>
      </c>
      <c r="C39" t="s">
        <v>74</v>
      </c>
      <c r="D39">
        <v>80</v>
      </c>
      <c r="E39">
        <v>54</v>
      </c>
      <c r="F39" t="s">
        <v>107</v>
      </c>
      <c r="G39">
        <v>0.13</v>
      </c>
      <c r="H39">
        <v>12.2</v>
      </c>
    </row>
    <row r="41" spans="1:8" x14ac:dyDescent="0.2">
      <c r="A41" s="2" t="s">
        <v>132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workbookViewId="0">
      <selection activeCell="A21" sqref="A21"/>
    </sheetView>
  </sheetViews>
  <sheetFormatPr baseColWidth="10" defaultColWidth="8.83203125" defaultRowHeight="15" x14ac:dyDescent="0.2"/>
  <cols>
    <col min="1" max="1" width="34" customWidth="1"/>
    <col min="2" max="2" width="12" customWidth="1"/>
    <col min="3" max="4" width="14" customWidth="1"/>
    <col min="5" max="6" width="12" customWidth="1"/>
  </cols>
  <sheetData>
    <row r="1" spans="1:6" x14ac:dyDescent="0.2">
      <c r="A1" s="1" t="s">
        <v>133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</row>
    <row r="2" spans="1:6" x14ac:dyDescent="0.2">
      <c r="A2" t="s">
        <v>134</v>
      </c>
      <c r="B2">
        <f>COUNT(RawData!D2:D39)</f>
        <v>38</v>
      </c>
      <c r="C2">
        <f>COUNT(RawData!E2:E39)</f>
        <v>38</v>
      </c>
      <c r="D2">
        <f>COUNT(RawData!F2:F39)</f>
        <v>0</v>
      </c>
      <c r="E2">
        <f>COUNT(RawData!G2:G39)</f>
        <v>38</v>
      </c>
      <c r="F2">
        <f>COUNT(RawData!H2:H39)</f>
        <v>35</v>
      </c>
    </row>
    <row r="3" spans="1:6" x14ac:dyDescent="0.2">
      <c r="A3" t="s">
        <v>135</v>
      </c>
      <c r="B3">
        <f>COUNTA(RawData!D2:D39)</f>
        <v>38</v>
      </c>
      <c r="C3">
        <f>COUNTA(RawData!E2:E39)</f>
        <v>38</v>
      </c>
      <c r="D3">
        <f>COUNTA(RawData!F2:F39)</f>
        <v>38</v>
      </c>
      <c r="E3">
        <f>COUNTA(RawData!G2:G39)</f>
        <v>38</v>
      </c>
      <c r="F3">
        <f>COUNTA(RawData!H2:H39)</f>
        <v>37</v>
      </c>
    </row>
    <row r="4" spans="1:6" x14ac:dyDescent="0.2">
      <c r="A4" t="s">
        <v>136</v>
      </c>
      <c r="B4">
        <f>MIN(RawData!D2:D39)</f>
        <v>80</v>
      </c>
      <c r="C4">
        <f>MIN(RawData!E2:E39)</f>
        <v>-99</v>
      </c>
      <c r="D4">
        <f>MIN(RawData!F2:F39)</f>
        <v>0</v>
      </c>
      <c r="E4">
        <f>MIN(RawData!G2:G39)</f>
        <v>0.08</v>
      </c>
      <c r="F4">
        <f>MIN(RawData!H2:H39)</f>
        <v>11.6</v>
      </c>
    </row>
    <row r="5" spans="1:6" x14ac:dyDescent="0.2">
      <c r="A5" t="s">
        <v>137</v>
      </c>
      <c r="B5">
        <f>MAX(RawData!D2:D39)</f>
        <v>320</v>
      </c>
      <c r="C5">
        <f>MAX(RawData!E2:E39)</f>
        <v>1250</v>
      </c>
      <c r="D5">
        <f>MAX(RawData!F2:F39)</f>
        <v>0</v>
      </c>
      <c r="E5">
        <f>MAX(RawData!G2:G39)</f>
        <v>135.9</v>
      </c>
      <c r="F5">
        <f>MAX(RawData!H2:H39)</f>
        <v>9999</v>
      </c>
    </row>
    <row r="6" spans="1:6" x14ac:dyDescent="0.2">
      <c r="A6" t="s">
        <v>138</v>
      </c>
      <c r="B6">
        <f>AVERAGE(RawData!D2:D39)</f>
        <v>183.15789473684211</v>
      </c>
      <c r="C6">
        <f>AVERAGE(RawData!E2:E39)</f>
        <v>74.347368421052622</v>
      </c>
      <c r="D6" t="e">
        <f>AVERAGE(RawData!F2:F39)</f>
        <v>#DIV/0!</v>
      </c>
      <c r="E6">
        <f>AVERAGE(RawData!G2:G39)</f>
        <v>66.610894736842127</v>
      </c>
      <c r="F6">
        <f>AVERAGE(RawData!H2:H39)</f>
        <v>299.29428571428576</v>
      </c>
    </row>
    <row r="7" spans="1:6" x14ac:dyDescent="0.2">
      <c r="A7" t="s">
        <v>139</v>
      </c>
      <c r="B7">
        <f>MEDIAN(RawData!D2:D39)</f>
        <v>160</v>
      </c>
      <c r="C7">
        <f>MEDIAN(RawData!E2:E39)</f>
        <v>55.849999999999994</v>
      </c>
      <c r="D7" t="e">
        <f>MEDIAN(RawData!F2:F39)</f>
        <v>#NUM!</v>
      </c>
      <c r="E7">
        <f>MEDIAN(RawData!G2:G39)</f>
        <v>88.300000000000011</v>
      </c>
      <c r="F7">
        <f>MEDIAN(RawData!H2:H39)</f>
        <v>14.5</v>
      </c>
    </row>
    <row r="10" spans="1:6" x14ac:dyDescent="0.2">
      <c r="A10" s="1" t="s">
        <v>140</v>
      </c>
      <c r="B10" s="1" t="s">
        <v>141</v>
      </c>
    </row>
    <row r="11" spans="1:6" x14ac:dyDescent="0.2">
      <c r="A11" t="str" cm="1">
        <f t="array" ref="A11:A16">_xlfn.UNIQUE(RawData!B2:B39)</f>
        <v>AAC Viewfield</v>
      </c>
      <c r="B11">
        <f>COUNTIF(RawData!B2:B39,A11)</f>
        <v>6</v>
      </c>
    </row>
    <row r="12" spans="1:6" x14ac:dyDescent="0.2">
      <c r="A12" t="str">
        <v>Brandon</v>
      </c>
      <c r="B12">
        <f>COUNTIF(RawData!B2:B39,A12)</f>
        <v>5</v>
      </c>
    </row>
    <row r="13" spans="1:6" x14ac:dyDescent="0.2">
      <c r="A13" t="str">
        <v>CDC Landmark</v>
      </c>
      <c r="B13">
        <f>COUNTIF(RawData!B2:B39,A13)</f>
        <v>13</v>
      </c>
    </row>
    <row r="14" spans="1:6" x14ac:dyDescent="0.2">
      <c r="A14" t="str">
        <v>Brandon AAC</v>
      </c>
      <c r="B14">
        <f>COUNTIF(RawData!B2:B39,A14)</f>
        <v>6</v>
      </c>
    </row>
    <row r="15" spans="1:6" x14ac:dyDescent="0.2">
      <c r="A15" t="str">
        <v>Brndon</v>
      </c>
      <c r="B15">
        <f>COUNTIF(RawData!B2:B39,A15)</f>
        <v>4</v>
      </c>
    </row>
    <row r="16" spans="1:6" x14ac:dyDescent="0.2">
      <c r="A16" t="str">
        <v>AAC Brandon</v>
      </c>
      <c r="B16">
        <f>COUNTIF(RawData!B2:B39,A16)</f>
        <v>4</v>
      </c>
    </row>
    <row r="18" spans="1:2" x14ac:dyDescent="0.2">
      <c r="A18" t="s">
        <v>142</v>
      </c>
      <c r="B18">
        <f>ROWS(RawData!A2:A39)</f>
        <v>38</v>
      </c>
    </row>
    <row r="19" spans="1:2" x14ac:dyDescent="0.2">
      <c r="A19" t="s">
        <v>163</v>
      </c>
      <c r="B19">
        <f>ROWS(_xlfn.UNIQUE(RawData!A2:H39))</f>
        <v>36</v>
      </c>
    </row>
    <row r="20" spans="1:2" x14ac:dyDescent="0.2">
      <c r="A20" t="s">
        <v>164</v>
      </c>
      <c r="B20">
        <f>B18-B19</f>
        <v>2</v>
      </c>
    </row>
    <row r="22" spans="1:2" x14ac:dyDescent="0.2">
      <c r="A22" s="2" t="s">
        <v>143</v>
      </c>
    </row>
    <row r="23" spans="1:2" x14ac:dyDescent="0.2">
      <c r="A23" s="2" t="s">
        <v>144</v>
      </c>
    </row>
    <row r="24" spans="1:2" x14ac:dyDescent="0.2">
      <c r="A24" s="2" t="s">
        <v>145</v>
      </c>
    </row>
    <row r="25" spans="1:2" x14ac:dyDescent="0.2">
      <c r="A25" s="2" t="s">
        <v>146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2"/>
  <sheetViews>
    <sheetView tabSelected="1" workbookViewId="0">
      <selection activeCell="E8" sqref="E8"/>
    </sheetView>
  </sheetViews>
  <sheetFormatPr baseColWidth="10" defaultColWidth="8.83203125" defaultRowHeight="15" x14ac:dyDescent="0.2"/>
  <cols>
    <col min="1" max="1" width="10" customWidth="1"/>
    <col min="2" max="2" width="15" customWidth="1"/>
    <col min="3" max="3" width="13" customWidth="1"/>
    <col min="4" max="4" width="8" customWidth="1"/>
    <col min="5" max="5" width="12" customWidth="1"/>
    <col min="6" max="6" width="10" customWidth="1"/>
    <col min="7" max="8" width="13" customWidth="1"/>
    <col min="9" max="9" width="14" customWidth="1"/>
  </cols>
  <sheetData>
    <row r="1" spans="1:9" x14ac:dyDescent="0.2">
      <c r="A1" s="1" t="s">
        <v>147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155</v>
      </c>
    </row>
    <row r="2" spans="1:9" x14ac:dyDescent="0.2">
      <c r="A2" t="str">
        <f>RawData!A2</f>
        <v>F001</v>
      </c>
      <c r="B2" t="str">
        <f>IF(OR(RawData!B2="Brandon",RawData!B2="Brandon AAC",RawData!B2="Brndon"),"AAC Brandon",RawData!B2)</f>
        <v>AAC Viewfield</v>
      </c>
      <c r="C2" s="3" t="e">
        <f>DATEVALUE(RawData!C2)</f>
        <v>#VALUE!</v>
      </c>
      <c r="D2">
        <f>RawData!D2</f>
        <v>160</v>
      </c>
      <c r="E2">
        <f>IF(OR(RawData!E2=-99,RawData!E2&lt;0,RawData!E2&gt;200),"",RawData!E2)</f>
        <v>67.599999999999994</v>
      </c>
      <c r="F2">
        <f>VALUE(SUBSTITUTE(RawData!F2," t",""))</f>
        <v>297.7</v>
      </c>
      <c r="G2">
        <f>IF(RawData!G2&lt;1,RawData!G2*1000,RawData!G2)</f>
        <v>97.1</v>
      </c>
      <c r="H2">
        <f>IF(OR(RawData!H2="N/A",RawData!H2="missing",RawData!H2="",RawData!H2=9999),"",RawData!H2)</f>
        <v>12.4</v>
      </c>
      <c r="I2" t="b">
        <f>COUNTIF(RawData!$A$2:$A2,RawData!A2)&gt;1</f>
        <v>0</v>
      </c>
    </row>
    <row r="3" spans="1:9" x14ac:dyDescent="0.2">
      <c r="A3" t="str">
        <f>RawData!A3</f>
        <v>F002</v>
      </c>
      <c r="B3" t="str">
        <f>IF(OR(RawData!B3="Brandon",RawData!B3="Brandon AAC",RawData!B3="Brndon"),"AAC Brandon",RawData!B3)</f>
        <v>AAC Brandon</v>
      </c>
      <c r="C3" s="3">
        <f>DATEVALUE(RawData!C3)</f>
        <v>46155</v>
      </c>
      <c r="D3">
        <f>RawData!D3</f>
        <v>320</v>
      </c>
      <c r="E3">
        <f>IF(OR(RawData!E3=-99,RawData!E3&lt;0,RawData!E3&gt;200),"",RawData!E3)</f>
        <v>54.9</v>
      </c>
      <c r="F3">
        <f>VALUE(SUBSTITUTE(RawData!F3," t",""))</f>
        <v>476</v>
      </c>
      <c r="G3">
        <f>IF(RawData!G3&lt;1,RawData!G3*1000,RawData!G3)</f>
        <v>96.2</v>
      </c>
      <c r="H3">
        <f>IF(OR(RawData!H3="N/A",RawData!H3="missing",RawData!H3="",RawData!H3=9999),"",RawData!H3)</f>
        <v>14.7</v>
      </c>
      <c r="I3" t="b">
        <f>COUNTIF(RawData!$A$2:$A3,RawData!A3)&gt;1</f>
        <v>0</v>
      </c>
    </row>
    <row r="4" spans="1:9" x14ac:dyDescent="0.2">
      <c r="A4" t="str">
        <f>RawData!A4</f>
        <v>F003</v>
      </c>
      <c r="B4" t="str">
        <f>IF(OR(RawData!B4="Brandon",RawData!B4="Brandon AAC",RawData!B4="Brndon"),"AAC Brandon",RawData!B4)</f>
        <v>CDC Landmark</v>
      </c>
      <c r="C4" s="3">
        <f>DATEVALUE(RawData!C4)</f>
        <v>46177</v>
      </c>
      <c r="D4">
        <f>RawData!D4</f>
        <v>120</v>
      </c>
      <c r="E4">
        <f>IF(OR(RawData!E4=-99,RawData!E4&lt;0,RawData!E4&gt;200),"",RawData!E4)</f>
        <v>54.4</v>
      </c>
      <c r="F4">
        <f>VALUE(SUBSTITUTE(RawData!F4," t",""))</f>
        <v>172.6</v>
      </c>
      <c r="G4">
        <f>IF(RawData!G4&lt;1,RawData!G4*1000,RawData!G4)</f>
        <v>81</v>
      </c>
      <c r="H4">
        <f>IF(OR(RawData!H4="N/A",RawData!H4="missing",RawData!H4="",RawData!H4=9999),"",RawData!H4)</f>
        <v>12.3</v>
      </c>
      <c r="I4" t="b">
        <f>COUNTIF(RawData!$A$2:$A4,RawData!A4)&gt;1</f>
        <v>0</v>
      </c>
    </row>
    <row r="5" spans="1:9" x14ac:dyDescent="0.2">
      <c r="A5" t="str">
        <f>RawData!A5</f>
        <v>F004</v>
      </c>
      <c r="B5" t="str">
        <f>IF(OR(RawData!B5="Brandon",RawData!B5="Brandon AAC",RawData!B5="Brndon"),"AAC Brandon",RawData!B5)</f>
        <v>AAC Brandon</v>
      </c>
      <c r="C5" s="3" t="e">
        <f>DATEVALUE(RawData!C5)</f>
        <v>#VALUE!</v>
      </c>
      <c r="D5">
        <f>RawData!D5</f>
        <v>320</v>
      </c>
      <c r="E5" t="str">
        <f>IF(OR(RawData!E5=-99,RawData!E5&lt;0,RawData!E5&gt;200),"",RawData!E5)</f>
        <v/>
      </c>
      <c r="F5">
        <f>VALUE(SUBSTITUTE(RawData!F5," t",""))</f>
        <v>642.5</v>
      </c>
      <c r="G5">
        <f>IF(RawData!G5&lt;1,RawData!G5*1000,RawData!G5)</f>
        <v>116.7</v>
      </c>
      <c r="H5">
        <f>IF(OR(RawData!H5="N/A",RawData!H5="missing",RawData!H5="",RawData!H5=9999),"",RawData!H5)</f>
        <v>15.4</v>
      </c>
      <c r="I5" t="b">
        <f>COUNTIF(RawData!$A$2:$A5,RawData!A5)&gt;1</f>
        <v>0</v>
      </c>
    </row>
    <row r="6" spans="1:9" x14ac:dyDescent="0.2">
      <c r="A6" t="str">
        <f>RawData!A6</f>
        <v>F005</v>
      </c>
      <c r="B6" t="str">
        <f>IF(OR(RawData!B6="Brandon",RawData!B6="Brandon AAC",RawData!B6="Brndon"),"AAC Brandon",RawData!B6)</f>
        <v>CDC Landmark</v>
      </c>
      <c r="C6" s="3" t="e">
        <f>DATEVALUE(RawData!C6)</f>
        <v>#VALUE!</v>
      </c>
      <c r="D6">
        <f>RawData!D6</f>
        <v>320</v>
      </c>
      <c r="E6">
        <f>IF(OR(RawData!E6=-99,RawData!E6&lt;0,RawData!E6&gt;200),"",RawData!E6)</f>
        <v>65.8</v>
      </c>
      <c r="F6">
        <f>VALUE(SUBSTITUTE(RawData!F6," t",""))</f>
        <v>561.5</v>
      </c>
      <c r="G6">
        <f>IF(RawData!G6&lt;1,RawData!G6*1000,RawData!G6)</f>
        <v>89.9</v>
      </c>
      <c r="H6">
        <f>IF(OR(RawData!H6="N/A",RawData!H6="missing",RawData!H6="",RawData!H6=9999),"",RawData!H6)</f>
        <v>12.3</v>
      </c>
      <c r="I6" t="b">
        <f>COUNTIF(RawData!$A$2:$A6,RawData!A6)&gt;1</f>
        <v>0</v>
      </c>
    </row>
    <row r="7" spans="1:9" x14ac:dyDescent="0.2">
      <c r="A7" t="str">
        <f>RawData!A7</f>
        <v>F006</v>
      </c>
      <c r="B7" t="str">
        <f>IF(OR(RawData!B7="Brandon",RawData!B7="Brandon AAC",RawData!B7="Brndon"),"AAC Brandon",RawData!B7)</f>
        <v>AAC Brandon</v>
      </c>
      <c r="C7" s="3">
        <f>DATEVALUE(RawData!C7)</f>
        <v>46166</v>
      </c>
      <c r="D7">
        <f>RawData!D7</f>
        <v>160</v>
      </c>
      <c r="E7">
        <f>IF(OR(RawData!E7=-99,RawData!E7&lt;0,RawData!E7&gt;200),"",RawData!E7)</f>
        <v>50.8</v>
      </c>
      <c r="F7">
        <f>VALUE(SUBSTITUTE(RawData!F7," t",""))</f>
        <v>222.8</v>
      </c>
      <c r="G7">
        <f>IF(RawData!G7&lt;1,RawData!G7*1000,RawData!G7)</f>
        <v>113</v>
      </c>
      <c r="H7" t="str">
        <f>IF(OR(RawData!H7="N/A",RawData!H7="missing",RawData!H7="",RawData!H7=9999),"",RawData!H7)</f>
        <v/>
      </c>
      <c r="I7" t="b">
        <f>COUNTIF(RawData!$A$2:$A7,RawData!A7)&gt;1</f>
        <v>0</v>
      </c>
    </row>
    <row r="8" spans="1:9" x14ac:dyDescent="0.2">
      <c r="A8" t="str">
        <f>RawData!A8</f>
        <v>F007</v>
      </c>
      <c r="B8" t="str">
        <f>IF(OR(RawData!B8="Brandon",RawData!B8="Brandon AAC",RawData!B8="Brndon"),"AAC Brandon",RawData!B8)</f>
        <v>AAC Viewfield</v>
      </c>
      <c r="C8" s="3">
        <f>DATEVALUE(RawData!C8)</f>
        <v>46180</v>
      </c>
      <c r="D8">
        <f>RawData!D8</f>
        <v>80</v>
      </c>
      <c r="E8" t="str">
        <f>IF(OR(RawData!E8=-99,RawData!E8&lt;0,RawData!E8&gt;200),"",RawData!E8)</f>
        <v/>
      </c>
      <c r="F8">
        <f>VALUE(SUBSTITUTE(RawData!F8," t",""))</f>
        <v>138.6</v>
      </c>
      <c r="G8">
        <f>IF(RawData!G8&lt;1,RawData!G8*1000,RawData!G8)</f>
        <v>135.9</v>
      </c>
      <c r="H8">
        <f>IF(OR(RawData!H8="N/A",RawData!H8="missing",RawData!H8="",RawData!H8=9999),"",RawData!H8)</f>
        <v>14.5</v>
      </c>
      <c r="I8" t="b">
        <f>COUNTIF(RawData!$A$2:$A8,RawData!A8)&gt;1</f>
        <v>0</v>
      </c>
    </row>
    <row r="9" spans="1:9" x14ac:dyDescent="0.2">
      <c r="A9" t="str">
        <f>RawData!A9</f>
        <v>F008</v>
      </c>
      <c r="B9" t="str">
        <f>IF(OR(RawData!B9="Brandon",RawData!B9="Brandon AAC",RawData!B9="Brndon"),"AAC Brandon",RawData!B9)</f>
        <v>AAC Brandon</v>
      </c>
      <c r="C9" s="3" t="e">
        <f>DATEVALUE(RawData!C9)</f>
        <v>#VALUE!</v>
      </c>
      <c r="D9">
        <f>RawData!D9</f>
        <v>160</v>
      </c>
      <c r="E9">
        <f>IF(OR(RawData!E9=-99,RawData!E9&lt;0,RawData!E9&gt;200),"",RawData!E9)</f>
        <v>60.3</v>
      </c>
      <c r="F9">
        <f>VALUE(SUBSTITUTE(RawData!F9," t",""))</f>
        <v>264</v>
      </c>
      <c r="G9">
        <f>IF(RawData!G9&lt;1,RawData!G9*1000,RawData!G9)</f>
        <v>127.3</v>
      </c>
      <c r="H9">
        <f>IF(OR(RawData!H9="N/A",RawData!H9="missing",RawData!H9="",RawData!H9=9999),"",RawData!H9)</f>
        <v>12.4</v>
      </c>
      <c r="I9" t="b">
        <f>COUNTIF(RawData!$A$2:$A9,RawData!A9)&gt;1</f>
        <v>0</v>
      </c>
    </row>
    <row r="10" spans="1:9" x14ac:dyDescent="0.2">
      <c r="A10" t="str">
        <f>RawData!A10</f>
        <v>F009</v>
      </c>
      <c r="B10" t="str">
        <f>IF(OR(RawData!B10="Brandon",RawData!B10="Brandon AAC",RawData!B10="Brndon"),"AAC Brandon",RawData!B10)</f>
        <v>CDC Landmark</v>
      </c>
      <c r="C10" s="3" t="e">
        <f>DATEVALUE(RawData!C10)</f>
        <v>#VALUE!</v>
      </c>
      <c r="D10">
        <f>RawData!D10</f>
        <v>160</v>
      </c>
      <c r="E10">
        <f>IF(OR(RawData!E10=-99,RawData!E10&lt;0,RawData!E10&gt;200),"",RawData!E10)</f>
        <v>51.5</v>
      </c>
      <c r="F10">
        <f>VALUE(SUBSTITUTE(RawData!F10," t",""))</f>
        <v>226.5</v>
      </c>
      <c r="G10">
        <f>IF(RawData!G10&lt;1,RawData!G10*1000,RawData!G10)</f>
        <v>81</v>
      </c>
      <c r="H10">
        <f>IF(OR(RawData!H10="N/A",RawData!H10="missing",RawData!H10="",RawData!H10=9999),"",RawData!H10)</f>
        <v>13.7</v>
      </c>
      <c r="I10" t="b">
        <f>COUNTIF(RawData!$A$2:$A10,RawData!A10)&gt;1</f>
        <v>0</v>
      </c>
    </row>
    <row r="11" spans="1:9" x14ac:dyDescent="0.2">
      <c r="A11" t="str">
        <f>RawData!A11</f>
        <v>F010</v>
      </c>
      <c r="B11" t="str">
        <f>IF(OR(RawData!B11="Brandon",RawData!B11="Brandon AAC",RawData!B11="Brndon"),"AAC Brandon",RawData!B11)</f>
        <v>AAC Brandon</v>
      </c>
      <c r="C11" s="3">
        <f>DATEVALUE(RawData!C11)</f>
        <v>46161</v>
      </c>
      <c r="D11">
        <f>RawData!D11</f>
        <v>160</v>
      </c>
      <c r="E11">
        <f>IF(OR(RawData!E11=-99,RawData!E11&lt;0,RawData!E11&gt;200),"",RawData!E11)</f>
        <v>58.9</v>
      </c>
      <c r="F11">
        <f>VALUE(SUBSTITUTE(RawData!F11," t",""))</f>
        <v>256.60000000000002</v>
      </c>
      <c r="G11">
        <f>IF(RawData!G11&lt;1,RawData!G11*1000,RawData!G11)</f>
        <v>92.4</v>
      </c>
      <c r="H11">
        <f>IF(OR(RawData!H11="N/A",RawData!H11="missing",RawData!H11="",RawData!H11=9999),"",RawData!H11)</f>
        <v>16.399999999999999</v>
      </c>
      <c r="I11" t="b">
        <f>COUNTIF(RawData!$A$2:$A11,RawData!A11)&gt;1</f>
        <v>0</v>
      </c>
    </row>
    <row r="12" spans="1:9" x14ac:dyDescent="0.2">
      <c r="A12" t="str">
        <f>RawData!A12</f>
        <v>F011</v>
      </c>
      <c r="B12" t="str">
        <f>IF(OR(RawData!B12="Brandon",RawData!B12="Brandon AAC",RawData!B12="Brndon"),"AAC Brandon",RawData!B12)</f>
        <v>CDC Landmark</v>
      </c>
      <c r="C12" s="3">
        <f>DATEVALUE(RawData!C12)</f>
        <v>46160</v>
      </c>
      <c r="D12">
        <f>RawData!D12</f>
        <v>320</v>
      </c>
      <c r="E12">
        <f>IF(OR(RawData!E12=-99,RawData!E12&lt;0,RawData!E12&gt;200),"",RawData!E12)</f>
        <v>54.4</v>
      </c>
      <c r="F12">
        <f>VALUE(SUBSTITUTE(RawData!F12," t",""))</f>
        <v>481.3</v>
      </c>
      <c r="G12">
        <f>IF(RawData!G12&lt;1,RawData!G12*1000,RawData!G12)</f>
        <v>82.9</v>
      </c>
      <c r="H12">
        <f>IF(OR(RawData!H12="N/A",RawData!H12="missing",RawData!H12="",RawData!H12=9999),"",RawData!H12)</f>
        <v>12</v>
      </c>
      <c r="I12" t="b">
        <f>COUNTIF(RawData!$A$2:$A12,RawData!A12)&gt;1</f>
        <v>0</v>
      </c>
    </row>
    <row r="13" spans="1:9" x14ac:dyDescent="0.2">
      <c r="A13" t="str">
        <f>RawData!A13</f>
        <v>F012</v>
      </c>
      <c r="B13" t="str">
        <f>IF(OR(RawData!B13="Brandon",RawData!B13="Brandon AAC",RawData!B13="Brndon"),"AAC Brandon",RawData!B13)</f>
        <v>AAC Brandon</v>
      </c>
      <c r="C13" s="3" t="e">
        <f>DATEVALUE(RawData!C13)</f>
        <v>#VALUE!</v>
      </c>
      <c r="D13">
        <f>RawData!D13</f>
        <v>240</v>
      </c>
      <c r="E13">
        <f>IF(OR(RawData!E13=-99,RawData!E13&lt;0,RawData!E13&gt;200),"",RawData!E13)</f>
        <v>62</v>
      </c>
      <c r="F13">
        <f>VALUE(SUBSTITUTE(RawData!F13," t",""))</f>
        <v>402.2</v>
      </c>
      <c r="G13">
        <f>IF(RawData!G13&lt;1,RawData!G13*1000,RawData!G13)</f>
        <v>103</v>
      </c>
      <c r="H13">
        <f>IF(OR(RawData!H13="N/A",RawData!H13="missing",RawData!H13="",RawData!H13=9999),"",RawData!H13)</f>
        <v>13.5</v>
      </c>
      <c r="I13" t="b">
        <f>COUNTIF(RawData!$A$2:$A13,RawData!A13)&gt;1</f>
        <v>0</v>
      </c>
    </row>
    <row r="14" spans="1:9" x14ac:dyDescent="0.2">
      <c r="A14" t="str">
        <f>RawData!A14</f>
        <v>F013</v>
      </c>
      <c r="B14" t="str">
        <f>IF(OR(RawData!B14="Brandon",RawData!B14="Brandon AAC",RawData!B14="Brndon"),"AAC Brandon",RawData!B14)</f>
        <v>AAC Viewfield</v>
      </c>
      <c r="C14" s="3" t="e">
        <f>DATEVALUE(RawData!C14)</f>
        <v>#VALUE!</v>
      </c>
      <c r="D14">
        <f>RawData!D14</f>
        <v>240</v>
      </c>
      <c r="E14">
        <f>IF(OR(RawData!E14=-99,RawData!E14&lt;0,RawData!E14&gt;200),"",RawData!E14)</f>
        <v>41.5</v>
      </c>
      <c r="F14">
        <f>VALUE(SUBSTITUTE(RawData!F14," t",""))</f>
        <v>269.8</v>
      </c>
      <c r="G14">
        <f>IF(RawData!G14&lt;1,RawData!G14*1000,RawData!G14)</f>
        <v>82.7</v>
      </c>
      <c r="H14">
        <f>IF(OR(RawData!H14="N/A",RawData!H14="missing",RawData!H14="",RawData!H14=9999),"",RawData!H14)</f>
        <v>16.5</v>
      </c>
      <c r="I14" t="b">
        <f>COUNTIF(RawData!$A$2:$A14,RawData!A14)&gt;1</f>
        <v>0</v>
      </c>
    </row>
    <row r="15" spans="1:9" x14ac:dyDescent="0.2">
      <c r="A15" t="str">
        <f>RawData!A15</f>
        <v>F014</v>
      </c>
      <c r="B15" t="str">
        <f>IF(OR(RawData!B15="Brandon",RawData!B15="Brandon AAC",RawData!B15="Brndon"),"AAC Brandon",RawData!B15)</f>
        <v>AAC Brandon</v>
      </c>
      <c r="C15" s="3">
        <f>DATEVALUE(RawData!C15)</f>
        <v>46162</v>
      </c>
      <c r="D15">
        <f>RawData!D15</f>
        <v>160</v>
      </c>
      <c r="E15">
        <f>IF(OR(RawData!E15=-99,RawData!E15&lt;0,RawData!E15&gt;200),"",RawData!E15)</f>
        <v>57.8</v>
      </c>
      <c r="F15">
        <f>VALUE(SUBSTITUTE(RawData!F15," t",""))</f>
        <v>249.6</v>
      </c>
      <c r="G15">
        <f>IF(RawData!G15&lt;1,RawData!G15*1000,RawData!G15)</f>
        <v>134</v>
      </c>
      <c r="H15" t="str">
        <f>IF(OR(RawData!H15="N/A",RawData!H15="missing",RawData!H15="",RawData!H15=9999),"",RawData!H15)</f>
        <v/>
      </c>
      <c r="I15" t="b">
        <f>COUNTIF(RawData!$A$2:$A15,RawData!A15)&gt;1</f>
        <v>0</v>
      </c>
    </row>
    <row r="16" spans="1:9" x14ac:dyDescent="0.2">
      <c r="A16" t="str">
        <f>RawData!A16</f>
        <v>F015</v>
      </c>
      <c r="B16" t="str">
        <f>IF(OR(RawData!B16="Brandon",RawData!B16="Brandon AAC",RawData!B16="Brndon"),"AAC Brandon",RawData!B16)</f>
        <v>CDC Landmark</v>
      </c>
      <c r="C16" s="3">
        <f>DATEVALUE(RawData!C16)</f>
        <v>46157</v>
      </c>
      <c r="D16">
        <f>RawData!D16</f>
        <v>160</v>
      </c>
      <c r="E16">
        <f>IF(OR(RawData!E16=-99,RawData!E16&lt;0,RawData!E16&gt;200),"",RawData!E16)</f>
        <v>54.7</v>
      </c>
      <c r="F16">
        <f>VALUE(SUBSTITUTE(RawData!F16," t",""))</f>
        <v>234.9</v>
      </c>
      <c r="G16">
        <f>IF(RawData!G16&lt;1,RawData!G16*1000,RawData!G16)</f>
        <v>106</v>
      </c>
      <c r="H16">
        <f>IF(OR(RawData!H16="N/A",RawData!H16="missing",RawData!H16="",RawData!H16=9999),"",RawData!H16)</f>
        <v>11.6</v>
      </c>
      <c r="I16" t="b">
        <f>COUNTIF(RawData!$A$2:$A16,RawData!A16)&gt;1</f>
        <v>0</v>
      </c>
    </row>
    <row r="17" spans="1:9" x14ac:dyDescent="0.2">
      <c r="A17" t="str">
        <f>RawData!A17</f>
        <v>F016</v>
      </c>
      <c r="B17" t="str">
        <f>IF(OR(RawData!B17="Brandon",RawData!B17="Brandon AAC",RawData!B17="Brndon"),"AAC Brandon",RawData!B17)</f>
        <v>AAC Brandon</v>
      </c>
      <c r="C17" s="3" t="e">
        <f>DATEVALUE(RawData!C17)</f>
        <v>#VALUE!</v>
      </c>
      <c r="D17">
        <f>RawData!D17</f>
        <v>160</v>
      </c>
      <c r="E17">
        <f>IF(OR(RawData!E17=-99,RawData!E17&lt;0,RawData!E17&gt;200),"",RawData!E17)</f>
        <v>52.9</v>
      </c>
      <c r="F17">
        <f>VALUE(SUBSTITUTE(RawData!F17," t",""))</f>
        <v>225.5</v>
      </c>
      <c r="G17">
        <f>IF(RawData!G17&lt;1,RawData!G17*1000,RawData!G17)</f>
        <v>128.5</v>
      </c>
      <c r="H17">
        <f>IF(OR(RawData!H17="N/A",RawData!H17="missing",RawData!H17="",RawData!H17=9999),"",RawData!H17)</f>
        <v>13</v>
      </c>
      <c r="I17" t="b">
        <f>COUNTIF(RawData!$A$2:$A17,RawData!A17)&gt;1</f>
        <v>0</v>
      </c>
    </row>
    <row r="18" spans="1:9" x14ac:dyDescent="0.2">
      <c r="A18" t="str">
        <f>RawData!A18</f>
        <v>F017</v>
      </c>
      <c r="B18" t="str">
        <f>IF(OR(RawData!B18="Brandon",RawData!B18="Brandon AAC",RawData!B18="Brndon"),"AAC Brandon",RawData!B18)</f>
        <v>CDC Landmark</v>
      </c>
      <c r="C18" s="3" t="e">
        <f>DATEVALUE(RawData!C18)</f>
        <v>#VALUE!</v>
      </c>
      <c r="D18">
        <f>RawData!D18</f>
        <v>240</v>
      </c>
      <c r="E18">
        <f>IF(OR(RawData!E18=-99,RawData!E18&lt;0,RawData!E18&gt;200),"",RawData!E18)</f>
        <v>63</v>
      </c>
      <c r="F18">
        <f>VALUE(SUBSTITUTE(RawData!F18," t",""))</f>
        <v>418.7</v>
      </c>
      <c r="G18">
        <f>IF(RawData!G18&lt;1,RawData!G18*1000,RawData!G18)</f>
        <v>85.4</v>
      </c>
      <c r="H18">
        <f>IF(OR(RawData!H18="N/A",RawData!H18="missing",RawData!H18="",RawData!H18=9999),"",RawData!H18)</f>
        <v>15.5</v>
      </c>
      <c r="I18" t="b">
        <f>COUNTIF(RawData!$A$2:$A18,RawData!A18)&gt;1</f>
        <v>0</v>
      </c>
    </row>
    <row r="19" spans="1:9" x14ac:dyDescent="0.2">
      <c r="A19" t="str">
        <f>RawData!A19</f>
        <v>F018</v>
      </c>
      <c r="B19" t="str">
        <f>IF(OR(RawData!B19="Brandon",RawData!B19="Brandon AAC",RawData!B19="Brndon"),"AAC Brandon",RawData!B19)</f>
        <v>AAC Brandon</v>
      </c>
      <c r="C19" s="3">
        <f>DATEVALUE(RawData!C19)</f>
        <v>46200</v>
      </c>
      <c r="D19">
        <f>RawData!D19</f>
        <v>160</v>
      </c>
      <c r="E19">
        <f>IF(OR(RawData!E19=-99,RawData!E19&lt;0,RawData!E19&gt;200),"",RawData!E19)</f>
        <v>63.6</v>
      </c>
      <c r="F19">
        <f>VALUE(SUBSTITUTE(RawData!F19," t",""))</f>
        <v>283.2</v>
      </c>
      <c r="G19">
        <f>IF(RawData!G19&lt;1,RawData!G19*1000,RawData!G19)</f>
        <v>112</v>
      </c>
      <c r="H19">
        <f>IF(OR(RawData!H19="N/A",RawData!H19="missing",RawData!H19="",RawData!H19=9999),"",RawData!H19)</f>
        <v>15.7</v>
      </c>
      <c r="I19" t="b">
        <f>COUNTIF(RawData!$A$2:$A19,RawData!A19)&gt;1</f>
        <v>0</v>
      </c>
    </row>
    <row r="20" spans="1:9" x14ac:dyDescent="0.2">
      <c r="A20" t="str">
        <f>RawData!A20</f>
        <v>F019</v>
      </c>
      <c r="B20" t="str">
        <f>IF(OR(RawData!B20="Brandon",RawData!B20="Brandon AAC",RawData!B20="Brndon"),"AAC Brandon",RawData!B20)</f>
        <v>AAC Viewfield</v>
      </c>
      <c r="C20" s="3">
        <f>DATEVALUE(RawData!C20)</f>
        <v>46157</v>
      </c>
      <c r="D20">
        <f>RawData!D20</f>
        <v>120</v>
      </c>
      <c r="E20" t="str">
        <f>IF(OR(RawData!E20=-99,RawData!E20&lt;0,RawData!E20&gt;200),"",RawData!E20)</f>
        <v/>
      </c>
      <c r="F20">
        <f>VALUE(SUBSTITUTE(RawData!F20," t",""))</f>
        <v>177.8</v>
      </c>
      <c r="G20">
        <f>IF(RawData!G20&lt;1,RawData!G20*1000,RawData!G20)</f>
        <v>104.1</v>
      </c>
      <c r="H20">
        <f>IF(OR(RawData!H20="N/A",RawData!H20="missing",RawData!H20="",RawData!H20=9999),"",RawData!H20)</f>
        <v>12.6</v>
      </c>
      <c r="I20" t="b">
        <f>COUNTIF(RawData!$A$2:$A20,RawData!A20)&gt;1</f>
        <v>0</v>
      </c>
    </row>
    <row r="21" spans="1:9" x14ac:dyDescent="0.2">
      <c r="A21" t="str">
        <f>RawData!A21</f>
        <v>F020</v>
      </c>
      <c r="B21" t="str">
        <f>IF(OR(RawData!B21="Brandon",RawData!B21="Brandon AAC",RawData!B21="Brndon"),"AAC Brandon",RawData!B21)</f>
        <v>AAC Brandon</v>
      </c>
      <c r="C21" s="3" t="e">
        <f>DATEVALUE(RawData!C21)</f>
        <v>#VALUE!</v>
      </c>
      <c r="D21">
        <f>RawData!D21</f>
        <v>160</v>
      </c>
      <c r="E21">
        <f>IF(OR(RawData!E21=-99,RawData!E21&lt;0,RawData!E21&gt;200),"",RawData!E21)</f>
        <v>76.599999999999994</v>
      </c>
      <c r="F21">
        <f>VALUE(SUBSTITUTE(RawData!F21," t",""))</f>
        <v>323.89999999999998</v>
      </c>
      <c r="G21">
        <f>IF(RawData!G21&lt;1,RawData!G21*1000,RawData!G21)</f>
        <v>84.7</v>
      </c>
      <c r="H21">
        <f>IF(OR(RawData!H21="N/A",RawData!H21="missing",RawData!H21="",RawData!H21=9999),"",RawData!H21)</f>
        <v>13.1</v>
      </c>
      <c r="I21" t="b">
        <f>COUNTIF(RawData!$A$2:$A21,RawData!A21)&gt;1</f>
        <v>0</v>
      </c>
    </row>
    <row r="22" spans="1:9" x14ac:dyDescent="0.2">
      <c r="A22" t="str">
        <f>RawData!A22</f>
        <v>F021</v>
      </c>
      <c r="B22" t="str">
        <f>IF(OR(RawData!B22="Brandon",RawData!B22="Brandon AAC",RawData!B22="Brndon"),"AAC Brandon",RawData!B22)</f>
        <v>CDC Landmark</v>
      </c>
      <c r="C22" s="3" t="e">
        <f>DATEVALUE(RawData!C22)</f>
        <v>#VALUE!</v>
      </c>
      <c r="D22">
        <f>RawData!D22</f>
        <v>240</v>
      </c>
      <c r="E22">
        <f>IF(OR(RawData!E22=-99,RawData!E22&lt;0,RawData!E22&gt;200),"",RawData!E22)</f>
        <v>65.099999999999994</v>
      </c>
      <c r="F22">
        <f>VALUE(SUBSTITUTE(RawData!F22," t",""))</f>
        <v>431.7</v>
      </c>
      <c r="G22">
        <f>IF(RawData!G22&lt;1,RawData!G22*1000,RawData!G22)</f>
        <v>129</v>
      </c>
      <c r="H22">
        <f>IF(OR(RawData!H22="N/A",RawData!H22="missing",RawData!H22="",RawData!H22=9999),"",RawData!H22)</f>
        <v>15.4</v>
      </c>
      <c r="I22" t="b">
        <f>COUNTIF(RawData!$A$2:$A22,RawData!A22)&gt;1</f>
        <v>0</v>
      </c>
    </row>
    <row r="23" spans="1:9" x14ac:dyDescent="0.2">
      <c r="A23" t="str">
        <f>RawData!A23</f>
        <v>F022</v>
      </c>
      <c r="B23" t="str">
        <f>IF(OR(RawData!B23="Brandon",RawData!B23="Brandon AAC",RawData!B23="Brndon"),"AAC Brandon",RawData!B23)</f>
        <v>AAC Brandon</v>
      </c>
      <c r="C23" s="3">
        <f>DATEVALUE(RawData!C23)</f>
        <v>46144</v>
      </c>
      <c r="D23">
        <f>RawData!D23</f>
        <v>320</v>
      </c>
      <c r="E23">
        <f>IF(OR(RawData!E23=-99,RawData!E23&lt;0,RawData!E23&gt;200),"",RawData!E23)</f>
        <v>57.5</v>
      </c>
      <c r="F23">
        <f>VALUE(SUBSTITUTE(RawData!F23," t",""))</f>
        <v>492</v>
      </c>
      <c r="G23">
        <f>IF(RawData!G23&lt;1,RawData!G23*1000,RawData!G23)</f>
        <v>96.8</v>
      </c>
      <c r="H23" t="str">
        <f>IF(OR(RawData!H23="N/A",RawData!H23="missing",RawData!H23="",RawData!H23=9999),"",RawData!H23)</f>
        <v/>
      </c>
      <c r="I23" t="b">
        <f>COUNTIF(RawData!$A$2:$A23,RawData!A23)&gt;1</f>
        <v>0</v>
      </c>
    </row>
    <row r="24" spans="1:9" x14ac:dyDescent="0.2">
      <c r="A24" t="str">
        <f>RawData!A24</f>
        <v>F023</v>
      </c>
      <c r="B24" t="str">
        <f>IF(OR(RawData!B24="Brandon",RawData!B24="Brandon AAC",RawData!B24="Brndon"),"AAC Brandon",RawData!B24)</f>
        <v>CDC Landmark</v>
      </c>
      <c r="C24" s="3">
        <f>DATEVALUE(RawData!C24)</f>
        <v>46151</v>
      </c>
      <c r="D24">
        <f>RawData!D24</f>
        <v>240</v>
      </c>
      <c r="E24" t="str">
        <f>IF(OR(RawData!E24=-99,RawData!E24&lt;0,RawData!E24&gt;200),"",RawData!E24)</f>
        <v/>
      </c>
      <c r="F24">
        <f>VALUE(SUBSTITUTE(RawData!F24," t",""))</f>
        <v>365.8</v>
      </c>
      <c r="G24">
        <f>IF(RawData!G24&lt;1,RawData!G24*1000,RawData!G24)</f>
        <v>87.2</v>
      </c>
      <c r="H24">
        <f>IF(OR(RawData!H24="N/A",RawData!H24="missing",RawData!H24="",RawData!H24=9999),"",RawData!H24)</f>
        <v>16</v>
      </c>
      <c r="I24" t="b">
        <f>COUNTIF(RawData!$A$2:$A24,RawData!A24)&gt;1</f>
        <v>0</v>
      </c>
    </row>
    <row r="25" spans="1:9" x14ac:dyDescent="0.2">
      <c r="A25" t="str">
        <f>RawData!A25</f>
        <v>F024</v>
      </c>
      <c r="B25" t="str">
        <f>IF(OR(RawData!B25="Brandon",RawData!B25="Brandon AAC",RawData!B25="Brndon"),"AAC Brandon",RawData!B25)</f>
        <v>AAC Brandon</v>
      </c>
      <c r="C25" s="3" t="e">
        <f>DATEVALUE(RawData!C25)</f>
        <v>#VALUE!</v>
      </c>
      <c r="D25">
        <f>RawData!D25</f>
        <v>120</v>
      </c>
      <c r="E25">
        <f>IF(OR(RawData!E25=-99,RawData!E25&lt;0,RawData!E25&gt;200),"",RawData!E25)</f>
        <v>46.5</v>
      </c>
      <c r="F25">
        <f>VALUE(SUBSTITUTE(RawData!F25," t",""))</f>
        <v>150.5</v>
      </c>
      <c r="G25">
        <f>IF(RawData!G25&lt;1,RawData!G25*1000,RawData!G25)</f>
        <v>124</v>
      </c>
      <c r="H25">
        <f>IF(OR(RawData!H25="N/A",RawData!H25="missing",RawData!H25="",RawData!H25=9999),"",RawData!H25)</f>
        <v>15.3</v>
      </c>
      <c r="I25" t="b">
        <f>COUNTIF(RawData!$A$2:$A25,RawData!A25)&gt;1</f>
        <v>0</v>
      </c>
    </row>
    <row r="26" spans="1:9" x14ac:dyDescent="0.2">
      <c r="A26" t="str">
        <f>RawData!A26</f>
        <v>F025</v>
      </c>
      <c r="B26" t="str">
        <f>IF(OR(RawData!B26="Brandon",RawData!B26="Brandon AAC",RawData!B26="Brndon"),"AAC Brandon",RawData!B26)</f>
        <v>AAC Viewfield</v>
      </c>
      <c r="C26" s="3" t="e">
        <f>DATEVALUE(RawData!C26)</f>
        <v>#VALUE!</v>
      </c>
      <c r="D26">
        <f>RawData!D26</f>
        <v>160</v>
      </c>
      <c r="E26">
        <f>IF(OR(RawData!E26=-99,RawData!E26&lt;0,RawData!E26&gt;200),"",RawData!E26)</f>
        <v>51.7</v>
      </c>
      <c r="F26">
        <f>VALUE(SUBSTITUTE(RawData!F26," t",""))</f>
        <v>226.1</v>
      </c>
      <c r="G26">
        <f>IF(RawData!G26&lt;1,RawData!G26*1000,RawData!G26)</f>
        <v>100.8</v>
      </c>
      <c r="H26">
        <f>IF(OR(RawData!H26="N/A",RawData!H26="missing",RawData!H26="",RawData!H26=9999),"",RawData!H26)</f>
        <v>11.6</v>
      </c>
      <c r="I26" t="b">
        <f>COUNTIF(RawData!$A$2:$A26,RawData!A26)&gt;1</f>
        <v>0</v>
      </c>
    </row>
    <row r="27" spans="1:9" x14ac:dyDescent="0.2">
      <c r="A27" t="str">
        <f>RawData!A27</f>
        <v>F026</v>
      </c>
      <c r="B27" t="str">
        <f>IF(OR(RawData!B27="Brandon",RawData!B27="Brandon AAC",RawData!B27="Brndon"),"AAC Brandon",RawData!B27)</f>
        <v>AAC Brandon</v>
      </c>
      <c r="C27" s="3">
        <f>DATEVALUE(RawData!C27)</f>
        <v>46165</v>
      </c>
      <c r="D27">
        <f>RawData!D27</f>
        <v>160</v>
      </c>
      <c r="E27">
        <f>IF(OR(RawData!E27=-99,RawData!E27&lt;0,RawData!E27&gt;200),"",RawData!E27)</f>
        <v>59.1</v>
      </c>
      <c r="F27">
        <f>VALUE(SUBSTITUTE(RawData!F27," t",""))</f>
        <v>252.7</v>
      </c>
      <c r="G27">
        <f>IF(RawData!G27&lt;1,RawData!G27*1000,RawData!G27)</f>
        <v>132.9</v>
      </c>
      <c r="H27">
        <f>IF(OR(RawData!H27="N/A",RawData!H27="missing",RawData!H27="",RawData!H27=9999),"",RawData!H27)</f>
        <v>15.7</v>
      </c>
      <c r="I27" t="b">
        <f>COUNTIF(RawData!$A$2:$A27,RawData!A27)&gt;1</f>
        <v>0</v>
      </c>
    </row>
    <row r="28" spans="1:9" x14ac:dyDescent="0.2">
      <c r="A28" t="str">
        <f>RawData!A28</f>
        <v>F027</v>
      </c>
      <c r="B28" t="str">
        <f>IF(OR(RawData!B28="Brandon",RawData!B28="Brandon AAC",RawData!B28="Brndon"),"AAC Brandon",RawData!B28)</f>
        <v>CDC Landmark</v>
      </c>
      <c r="C28" s="3">
        <f>DATEVALUE(RawData!C28)</f>
        <v>46157</v>
      </c>
      <c r="D28">
        <f>RawData!D28</f>
        <v>80</v>
      </c>
      <c r="E28">
        <f>IF(OR(RawData!E28=-99,RawData!E28&lt;0,RawData!E28&gt;200),"",RawData!E28)</f>
        <v>54</v>
      </c>
      <c r="F28">
        <f>VALUE(SUBSTITUTE(RawData!F28," t",""))</f>
        <v>120.3</v>
      </c>
      <c r="G28">
        <f>IF(RawData!G28&lt;1,RawData!G28*1000,RawData!G28)</f>
        <v>130</v>
      </c>
      <c r="H28">
        <f>IF(OR(RawData!H28="N/A",RawData!H28="missing",RawData!H28="",RawData!H28=9999),"",RawData!H28)</f>
        <v>12.2</v>
      </c>
      <c r="I28" t="b">
        <f>COUNTIF(RawData!$A$2:$A28,RawData!A28)&gt;1</f>
        <v>0</v>
      </c>
    </row>
    <row r="29" spans="1:9" x14ac:dyDescent="0.2">
      <c r="A29" t="str">
        <f>RawData!A29</f>
        <v>F028</v>
      </c>
      <c r="B29" t="str">
        <f>IF(OR(RawData!B29="Brandon",RawData!B29="Brandon AAC",RawData!B29="Brndon"),"AAC Brandon",RawData!B29)</f>
        <v>AAC Brandon</v>
      </c>
      <c r="C29" s="3" t="e">
        <f>DATEVALUE(RawData!C29)</f>
        <v>#VALUE!</v>
      </c>
      <c r="D29">
        <f>RawData!D29</f>
        <v>160</v>
      </c>
      <c r="E29">
        <f>IF(OR(RawData!E29=-99,RawData!E29&lt;0,RawData!E29&gt;200),"",RawData!E29)</f>
        <v>43.3</v>
      </c>
      <c r="F29">
        <f>VALUE(SUBSTITUTE(RawData!F29," t",""))</f>
        <v>191.4</v>
      </c>
      <c r="G29">
        <f>IF(RawData!G29&lt;1,RawData!G29*1000,RawData!G29)</f>
        <v>103.9</v>
      </c>
      <c r="H29">
        <f>IF(OR(RawData!H29="N/A",RawData!H29="missing",RawData!H29="",RawData!H29=9999),"",RawData!H29)</f>
        <v>15</v>
      </c>
      <c r="I29" t="b">
        <f>COUNTIF(RawData!$A$2:$A29,RawData!A29)&gt;1</f>
        <v>0</v>
      </c>
    </row>
    <row r="30" spans="1:9" x14ac:dyDescent="0.2">
      <c r="A30" t="str">
        <f>RawData!A30</f>
        <v>F029</v>
      </c>
      <c r="B30" t="str">
        <f>IF(OR(RawData!B30="Brandon",RawData!B30="Brandon AAC",RawData!B30="Brndon"),"AAC Brandon",RawData!B30)</f>
        <v>CDC Landmark</v>
      </c>
      <c r="C30" s="3" t="e">
        <f>DATEVALUE(RawData!C30)</f>
        <v>#VALUE!</v>
      </c>
      <c r="D30">
        <f>RawData!D30</f>
        <v>160</v>
      </c>
      <c r="E30">
        <f>IF(OR(RawData!E30=-99,RawData!E30&lt;0,RawData!E30&gt;200),"",RawData!E30)</f>
        <v>63.3</v>
      </c>
      <c r="F30">
        <f>VALUE(SUBSTITUTE(RawData!F30," t",""))</f>
        <v>268.5</v>
      </c>
      <c r="G30">
        <f>IF(RawData!G30&lt;1,RawData!G30*1000,RawData!G30)</f>
        <v>106.3</v>
      </c>
      <c r="H30">
        <f>IF(OR(RawData!H30="N/A",RawData!H30="missing",RawData!H30="",RawData!H30=9999),"",RawData!H30)</f>
        <v>15.7</v>
      </c>
      <c r="I30" t="b">
        <f>COUNTIF(RawData!$A$2:$A30,RawData!A30)&gt;1</f>
        <v>0</v>
      </c>
    </row>
    <row r="31" spans="1:9" x14ac:dyDescent="0.2">
      <c r="A31" t="str">
        <f>RawData!A31</f>
        <v>F030</v>
      </c>
      <c r="B31" t="str">
        <f>IF(OR(RawData!B31="Brandon",RawData!B31="Brandon AAC",RawData!B31="Brndon"),"AAC Brandon",RawData!B31)</f>
        <v>AAC Brandon</v>
      </c>
      <c r="C31" s="3">
        <f>DATEVALUE(RawData!C31)</f>
        <v>46153</v>
      </c>
      <c r="D31">
        <f>RawData!D31</f>
        <v>160</v>
      </c>
      <c r="E31">
        <f>IF(OR(RawData!E31=-99,RawData!E31&lt;0,RawData!E31&gt;200),"",RawData!E31)</f>
        <v>53.2</v>
      </c>
      <c r="F31">
        <f>VALUE(SUBSTITUTE(RawData!F31," t",""))</f>
        <v>237.8</v>
      </c>
      <c r="G31">
        <f>IF(RawData!G31&lt;1,RawData!G31*1000,RawData!G31)</f>
        <v>92</v>
      </c>
      <c r="H31" t="str">
        <f>IF(OR(RawData!H31="N/A",RawData!H31="missing",RawData!H31="",RawData!H31=9999),"",RawData!H31)</f>
        <v/>
      </c>
      <c r="I31" t="b">
        <f>COUNTIF(RawData!$A$2:$A31,RawData!A31)&gt;1</f>
        <v>0</v>
      </c>
    </row>
    <row r="32" spans="1:9" x14ac:dyDescent="0.2">
      <c r="A32" t="str">
        <f>RawData!A32</f>
        <v>F031</v>
      </c>
      <c r="B32" t="str">
        <f>IF(OR(RawData!B32="Brandon",RawData!B32="Brandon AAC",RawData!B32="Brndon"),"AAC Brandon",RawData!B32)</f>
        <v>AAC Viewfield</v>
      </c>
      <c r="C32" s="3">
        <f>DATEVALUE(RawData!C32)</f>
        <v>46163</v>
      </c>
      <c r="D32">
        <f>RawData!D32</f>
        <v>120</v>
      </c>
      <c r="E32" t="str">
        <f>IF(OR(RawData!E32=-99,RawData!E32&lt;0,RawData!E32&gt;200),"",RawData!E32)</f>
        <v/>
      </c>
      <c r="F32">
        <f>VALUE(SUBSTITUTE(RawData!F32," t",""))</f>
        <v>189.5</v>
      </c>
      <c r="G32">
        <f>IF(RawData!G32&lt;1,RawData!G32*1000,RawData!G32)</f>
        <v>123.2</v>
      </c>
      <c r="H32">
        <f>IF(OR(RawData!H32="N/A",RawData!H32="missing",RawData!H32="",RawData!H32=9999),"",RawData!H32)</f>
        <v>16</v>
      </c>
      <c r="I32" t="b">
        <f>COUNTIF(RawData!$A$2:$A32,RawData!A32)&gt;1</f>
        <v>0</v>
      </c>
    </row>
    <row r="33" spans="1:9" x14ac:dyDescent="0.2">
      <c r="A33" t="str">
        <f>RawData!A33</f>
        <v>F032</v>
      </c>
      <c r="B33" t="str">
        <f>IF(OR(RawData!B33="Brandon",RawData!B33="Brandon AAC",RawData!B33="Brndon"),"AAC Brandon",RawData!B33)</f>
        <v>AAC Brandon</v>
      </c>
      <c r="C33" s="3" t="e">
        <f>DATEVALUE(RawData!C33)</f>
        <v>#VALUE!</v>
      </c>
      <c r="D33">
        <f>RawData!D33</f>
        <v>120</v>
      </c>
      <c r="E33">
        <f>IF(OR(RawData!E33=-99,RawData!E33&lt;0,RawData!E33&gt;200),"",RawData!E33)</f>
        <v>60.1</v>
      </c>
      <c r="F33">
        <f>VALUE(SUBSTITUTE(RawData!F33," t",""))</f>
        <v>195.9</v>
      </c>
      <c r="G33">
        <f>IF(RawData!G33&lt;1,RawData!G33*1000,RawData!G33)</f>
        <v>100.1</v>
      </c>
      <c r="H33">
        <f>IF(OR(RawData!H33="N/A",RawData!H33="missing",RawData!H33="",RawData!H33=9999),"",RawData!H33)</f>
        <v>15.4</v>
      </c>
      <c r="I33" t="b">
        <f>COUNTIF(RawData!$A$2:$A33,RawData!A33)&gt;1</f>
        <v>0</v>
      </c>
    </row>
    <row r="34" spans="1:9" x14ac:dyDescent="0.2">
      <c r="A34" t="str">
        <f>RawData!A34</f>
        <v>F033</v>
      </c>
      <c r="B34" t="str">
        <f>IF(OR(RawData!B34="Brandon",RawData!B34="Brandon AAC",RawData!B34="Brndon"),"AAC Brandon",RawData!B34)</f>
        <v>CDC Landmark</v>
      </c>
      <c r="C34" s="3" t="e">
        <f>DATEVALUE(RawData!C34)</f>
        <v>#VALUE!</v>
      </c>
      <c r="D34">
        <f>RawData!D34</f>
        <v>240</v>
      </c>
      <c r="E34">
        <f>IF(OR(RawData!E34=-99,RawData!E34&lt;0,RawData!E34&gt;200),"",RawData!E34)</f>
        <v>58.6</v>
      </c>
      <c r="F34">
        <f>VALUE(SUBSTITUTE(RawData!F34," t",""))</f>
        <v>386.2</v>
      </c>
      <c r="G34">
        <f>IF(RawData!G34&lt;1,RawData!G34*1000,RawData!G34)</f>
        <v>80</v>
      </c>
      <c r="H34">
        <f>IF(OR(RawData!H34="N/A",RawData!H34="missing",RawData!H34="",RawData!H34=9999),"",RawData!H34)</f>
        <v>15.4</v>
      </c>
      <c r="I34" t="b">
        <f>COUNTIF(RawData!$A$2:$A34,RawData!A34)&gt;1</f>
        <v>0</v>
      </c>
    </row>
    <row r="35" spans="1:9" x14ac:dyDescent="0.2">
      <c r="A35" t="str">
        <f>RawData!A35</f>
        <v>F034</v>
      </c>
      <c r="B35" t="str">
        <f>IF(OR(RawData!B35="Brandon",RawData!B35="Brandon AAC",RawData!B35="Brndon"),"AAC Brandon",RawData!B35)</f>
        <v>AAC Brandon</v>
      </c>
      <c r="C35" s="3">
        <f>DATEVALUE(RawData!C35)</f>
        <v>46174</v>
      </c>
      <c r="D35">
        <f>RawData!D35</f>
        <v>120</v>
      </c>
      <c r="E35">
        <f>IF(OR(RawData!E35=-99,RawData!E35&lt;0,RawData!E35&gt;200),"",RawData!E35)</f>
        <v>56.8</v>
      </c>
      <c r="F35">
        <f>VALUE(SUBSTITUTE(RawData!F35," t",""))</f>
        <v>185.9</v>
      </c>
      <c r="G35">
        <f>IF(RawData!G35&lt;1,RawData!G35*1000,RawData!G35)</f>
        <v>131.30000000000001</v>
      </c>
      <c r="H35">
        <f>IF(OR(RawData!H35="N/A",RawData!H35="missing",RawData!H35="",RawData!H35=9999),"",RawData!H35)</f>
        <v>14.7</v>
      </c>
      <c r="I35" t="b">
        <f>COUNTIF(RawData!$A$2:$A35,RawData!A35)&gt;1</f>
        <v>0</v>
      </c>
    </row>
    <row r="36" spans="1:9" x14ac:dyDescent="0.2">
      <c r="A36" t="str">
        <f>RawData!A36</f>
        <v>F035</v>
      </c>
      <c r="B36" t="str">
        <f>IF(OR(RawData!B36="Brandon",RawData!B36="Brandon AAC",RawData!B36="Brndon"),"AAC Brandon",RawData!B36)</f>
        <v>CDC Landmark</v>
      </c>
      <c r="C36" s="3">
        <f>DATEVALUE(RawData!C36)</f>
        <v>46160</v>
      </c>
      <c r="D36">
        <f>RawData!D36</f>
        <v>160</v>
      </c>
      <c r="E36">
        <f>IF(OR(RawData!E36=-99,RawData!E36&lt;0,RawData!E36&gt;200),"",RawData!E36)</f>
        <v>50.1</v>
      </c>
      <c r="F36">
        <f>VALUE(SUBSTITUTE(RawData!F36," t",""))</f>
        <v>215.8</v>
      </c>
      <c r="G36">
        <f>IF(RawData!G36&lt;1,RawData!G36*1000,RawData!G36)</f>
        <v>89.4</v>
      </c>
      <c r="H36">
        <f>IF(OR(RawData!H36="N/A",RawData!H36="missing",RawData!H36="",RawData!H36=9999),"",RawData!H36)</f>
        <v>11.7</v>
      </c>
      <c r="I36" t="b">
        <f>COUNTIF(RawData!$A$2:$A36,RawData!A36)&gt;1</f>
        <v>0</v>
      </c>
    </row>
    <row r="37" spans="1:9" x14ac:dyDescent="0.2">
      <c r="A37" t="str">
        <f>RawData!A37</f>
        <v>F036</v>
      </c>
      <c r="B37" t="str">
        <f>IF(OR(RawData!B37="Brandon",RawData!B37="Brandon AAC",RawData!B37="Brndon"),"AAC Brandon",RawData!B37)</f>
        <v>AAC Brandon</v>
      </c>
      <c r="C37" s="3" t="e">
        <f>DATEVALUE(RawData!C37)</f>
        <v>#VALUE!</v>
      </c>
      <c r="D37">
        <f>RawData!D37</f>
        <v>160</v>
      </c>
      <c r="E37">
        <f>IF(OR(RawData!E37=-99,RawData!E37&lt;0,RawData!E37&gt;200),"",RawData!E37)</f>
        <v>58.2</v>
      </c>
      <c r="F37">
        <f>VALUE(SUBSTITUTE(RawData!F37," t",""))</f>
        <v>255.6</v>
      </c>
      <c r="G37">
        <f>IF(RawData!G37&lt;1,RawData!G37*1000,RawData!G37)</f>
        <v>130</v>
      </c>
      <c r="H37">
        <f>IF(OR(RawData!H37="N/A",RawData!H37="missing",RawData!H37="",RawData!H37=9999),"",RawData!H37)</f>
        <v>12.9</v>
      </c>
      <c r="I37" t="b">
        <f>COUNTIF(RawData!$A$2:$A37,RawData!A37)&gt;1</f>
        <v>0</v>
      </c>
    </row>
    <row r="38" spans="1:9" x14ac:dyDescent="0.2">
      <c r="A38" t="str">
        <f>RawData!A38</f>
        <v>F012</v>
      </c>
      <c r="B38" t="str">
        <f>IF(OR(RawData!B38="Brandon",RawData!B38="Brandon AAC",RawData!B38="Brndon"),"AAC Brandon",RawData!B38)</f>
        <v>AAC Brandon</v>
      </c>
      <c r="C38" s="3" t="e">
        <f>DATEVALUE(RawData!C38)</f>
        <v>#VALUE!</v>
      </c>
      <c r="D38">
        <f>RawData!D38</f>
        <v>240</v>
      </c>
      <c r="E38">
        <f>IF(OR(RawData!E38=-99,RawData!E38&lt;0,RawData!E38&gt;200),"",RawData!E38)</f>
        <v>62</v>
      </c>
      <c r="F38">
        <f>VALUE(SUBSTITUTE(RawData!F38," t",""))</f>
        <v>402.2</v>
      </c>
      <c r="G38">
        <f>IF(RawData!G38&lt;1,RawData!G38*1000,RawData!G38)</f>
        <v>103</v>
      </c>
      <c r="H38">
        <f>IF(OR(RawData!H38="N/A",RawData!H38="missing",RawData!H38="",RawData!H38=9999),"",RawData!H38)</f>
        <v>13.5</v>
      </c>
      <c r="I38" s="4" t="b">
        <f>COUNTIF(RawData!$A$2:$A38,RawData!A38)&gt;1</f>
        <v>1</v>
      </c>
    </row>
    <row r="39" spans="1:9" x14ac:dyDescent="0.2">
      <c r="A39" t="str">
        <f>RawData!A39</f>
        <v>F027</v>
      </c>
      <c r="B39" t="str">
        <f>IF(OR(RawData!B39="Brandon",RawData!B39="Brandon AAC",RawData!B39="Brndon"),"AAC Brandon",RawData!B39)</f>
        <v>CDC Landmark</v>
      </c>
      <c r="C39" s="3">
        <f>DATEVALUE(RawData!C39)</f>
        <v>46157</v>
      </c>
      <c r="D39">
        <f>RawData!D39</f>
        <v>80</v>
      </c>
      <c r="E39">
        <f>IF(OR(RawData!E39=-99,RawData!E39&lt;0,RawData!E39&gt;200),"",RawData!E39)</f>
        <v>54</v>
      </c>
      <c r="F39">
        <f>VALUE(SUBSTITUTE(RawData!F39," t",""))</f>
        <v>120.3</v>
      </c>
      <c r="G39">
        <f>IF(RawData!G39&lt;1,RawData!G39*1000,RawData!G39)</f>
        <v>130</v>
      </c>
      <c r="H39">
        <f>IF(OR(RawData!H39="N/A",RawData!H39="missing",RawData!H39="",RawData!H39=9999),"",RawData!H39)</f>
        <v>12.2</v>
      </c>
      <c r="I39" s="4" t="b">
        <f>COUNTIF(RawData!$A$2:$A39,RawData!A39)&gt;1</f>
        <v>1</v>
      </c>
    </row>
    <row r="41" spans="1:9" x14ac:dyDescent="0.2">
      <c r="A41" s="1" t="s">
        <v>156</v>
      </c>
    </row>
    <row r="42" spans="1:9" x14ac:dyDescent="0.2">
      <c r="A42" t="s">
        <v>136</v>
      </c>
      <c r="E42">
        <f>MIN(E2:E39)</f>
        <v>41.5</v>
      </c>
      <c r="G42">
        <f>MIN(G2:G39)</f>
        <v>80</v>
      </c>
      <c r="H42">
        <f>MIN(H2:H39)</f>
        <v>11.6</v>
      </c>
    </row>
    <row r="43" spans="1:9" x14ac:dyDescent="0.2">
      <c r="A43" t="s">
        <v>137</v>
      </c>
      <c r="E43">
        <f>MAX(E2:E39)</f>
        <v>76.599999999999994</v>
      </c>
      <c r="G43">
        <f>MAX(G2:G39)</f>
        <v>135.9</v>
      </c>
      <c r="H43">
        <f>MAX(H2:H39)</f>
        <v>16.5</v>
      </c>
    </row>
    <row r="44" spans="1:9" x14ac:dyDescent="0.2">
      <c r="A44" t="s">
        <v>138</v>
      </c>
      <c r="E44">
        <f>AVERAGE(E2:E39)</f>
        <v>57.096969696969687</v>
      </c>
      <c r="G44">
        <f>AVERAGE(G2:G39)</f>
        <v>106.41315789473686</v>
      </c>
      <c r="H44">
        <f>AVERAGE(H2:H39)</f>
        <v>14.008823529411762</v>
      </c>
    </row>
    <row r="45" spans="1:9" x14ac:dyDescent="0.2">
      <c r="A45" t="s">
        <v>139</v>
      </c>
      <c r="E45">
        <f>MEDIAN(E2:E39)</f>
        <v>57.5</v>
      </c>
      <c r="G45">
        <f>MEDIAN(G2:G39)</f>
        <v>103.45</v>
      </c>
      <c r="H45">
        <f>MEDIAN(H2:H39)</f>
        <v>14.1</v>
      </c>
    </row>
    <row r="47" spans="1:9" x14ac:dyDescent="0.2">
      <c r="A47" s="2" t="s">
        <v>157</v>
      </c>
    </row>
    <row r="48" spans="1:9" x14ac:dyDescent="0.2">
      <c r="A48" s="2" t="s">
        <v>158</v>
      </c>
    </row>
    <row r="49" spans="1:1" x14ac:dyDescent="0.2">
      <c r="A49" s="2" t="s">
        <v>159</v>
      </c>
    </row>
    <row r="50" spans="1:1" x14ac:dyDescent="0.2">
      <c r="A50" s="2" t="s">
        <v>160</v>
      </c>
    </row>
    <row r="51" spans="1:1" x14ac:dyDescent="0.2">
      <c r="A51" s="2" t="s">
        <v>161</v>
      </c>
    </row>
    <row r="52" spans="1:1" x14ac:dyDescent="0.2">
      <c r="A52" s="2" t="s">
        <v>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RawData</vt:lpstr>
      <vt:lpstr>DataSummary</vt:lpstr>
      <vt:lpstr>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2026-08-31T21:55:53Z</dcterms:created>
  <dcterms:modified xsi:type="dcterms:W3CDTF">2026-08-31T22:29:00Z</dcterms:modified>
</cp:coreProperties>
</file>