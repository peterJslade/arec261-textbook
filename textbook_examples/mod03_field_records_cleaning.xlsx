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Checks" sheetId="3" state="visible" r:id="rId3"/>
    <sheet xmlns:r="http://schemas.openxmlformats.org/officeDocument/2006/relationships" name="Cle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i val="1"/>
      <color rgb="00555555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Checking and cleaning the field records</t>
        </is>
      </c>
    </row>
    <row r="2">
      <c r="A2" t="inlineStr"/>
    </row>
    <row r="3">
      <c r="A3" t="inlineStr">
        <is>
          <t>Source: field_records_messy.csv -- one season of spring wheat field records, constructed to contain the eight data-quality issues from Module 3.</t>
        </is>
      </c>
    </row>
    <row r="4">
      <c r="A4" t="inlineStr"/>
    </row>
    <row r="5">
      <c r="A5" s="1" t="inlineStr">
        <is>
          <t>Sheets:</t>
        </is>
      </c>
    </row>
    <row r="6">
      <c r="A6" t="inlineStr">
        <is>
          <t xml:space="preserve">  Data    -- the raw file exactly as imported. Never edited.</t>
        </is>
      </c>
    </row>
    <row r="7">
      <c r="A7" t="inlineStr">
        <is>
          <t xml:space="preserve">  Checks  -- summary statistics, a category count and a duplicate count that expose the issues.</t>
        </is>
      </c>
    </row>
    <row r="8">
      <c r="A8" t="inlineStr">
        <is>
          <t xml:space="preserve">  Clean   -- the cleaned dataset, built entirely with formulas from the Data sheet, so every fix is visible and repeatable.</t>
        </is>
      </c>
    </row>
    <row r="9">
      <c r="A9" t="inlineStr"/>
    </row>
    <row r="10">
      <c r="A10" s="1" t="inlineStr">
        <is>
          <t>The eight issues and where they are handled:</t>
        </is>
      </c>
    </row>
    <row r="11">
      <c r="A11" t="inlineStr">
        <is>
          <t xml:space="preserve">  1. Awkward column names        -- renamed in row 1 of Clean</t>
        </is>
      </c>
    </row>
    <row r="12">
      <c r="A12" t="inlineStr">
        <is>
          <t xml:space="preserve">  2. Text in a numeric column    -- harvest weight unit stripped in Clean column E</t>
        </is>
      </c>
    </row>
    <row r="13">
      <c r="A13" t="inlineStr">
        <is>
          <t xml:space="preserve">  3. Duplicate rows              -- counted on Checks; flagged in Clean column H</t>
        </is>
      </c>
    </row>
    <row r="14">
      <c r="A14" t="inlineStr">
        <is>
          <t xml:space="preserve">  4. Missing-value codes         -- -99, N/A, missing, 9999 blanked in Clean columns D and G</t>
        </is>
      </c>
    </row>
    <row r="15">
      <c r="A15" t="inlineStr">
        <is>
          <t xml:space="preserve">  5. Impossible values           -- the -12 and 1250 yields blanked in Clean column D</t>
        </is>
      </c>
    </row>
    <row r="16">
      <c r="A16" t="inlineStr">
        <is>
          <t xml:space="preserve">  6. Mixed units                 -- N rates below 1 converted from t/ha to kg/ha in Clean column F</t>
        </is>
      </c>
    </row>
    <row r="17">
      <c r="A17" t="inlineStr">
        <is>
          <t xml:space="preserve">  7. Inconsistent categories     -- four Brandon spellings unified in Clean column B</t>
        </is>
      </c>
    </row>
    <row r="18">
      <c r="A18" t="inlineStr">
        <is>
          <t xml:space="preserve">  8. Mixed date formats          -- parsed to real dates in Clean column 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3" customWidth="1" min="3" max="3"/>
    <col width="13" customWidth="1" min="4" max="4"/>
    <col width="14" customWidth="1" min="5" max="5"/>
    <col width="9" customWidth="1" min="6" max="6"/>
    <col width="11" customWidth="1" min="7" max="7"/>
  </cols>
  <sheetData>
    <row r="1">
      <c r="A1" s="1" t="inlineStr">
        <is>
          <t>Field ID</t>
        </is>
      </c>
      <c r="B1" s="1" t="inlineStr">
        <is>
          <t>VARIETY_NAME</t>
        </is>
      </c>
      <c r="C1" s="1" t="inlineStr">
        <is>
          <t>SeededDate</t>
        </is>
      </c>
      <c r="D1" s="1" t="inlineStr">
        <is>
          <t>Yield (bu/ac)</t>
        </is>
      </c>
      <c r="E1" s="1" t="inlineStr">
        <is>
          <t>harvest weight</t>
        </is>
      </c>
      <c r="F1" s="1" t="inlineStr">
        <is>
          <t>N rate</t>
        </is>
      </c>
      <c r="G1" s="1" t="inlineStr">
        <is>
          <t>Moisture %</t>
        </is>
      </c>
    </row>
    <row r="2">
      <c r="A2" t="inlineStr">
        <is>
          <t>F001</t>
        </is>
      </c>
      <c r="B2" t="inlineStr">
        <is>
          <t>AAC Viewfield</t>
        </is>
      </c>
      <c r="C2" t="inlineStr">
        <is>
          <t>06-01-2026</t>
        </is>
      </c>
      <c r="D2" t="n">
        <v>59</v>
      </c>
      <c r="E2" t="inlineStr">
        <is>
          <t>230.3 t</t>
        </is>
      </c>
      <c r="F2" t="n">
        <v>118.6</v>
      </c>
      <c r="G2" t="n">
        <v>15.5</v>
      </c>
    </row>
    <row r="3">
      <c r="A3" t="inlineStr">
        <is>
          <t>F002</t>
        </is>
      </c>
      <c r="B3" t="inlineStr">
        <is>
          <t>Brandon</t>
        </is>
      </c>
      <c r="C3" t="inlineStr">
        <is>
          <t>2026-05-13</t>
        </is>
      </c>
      <c r="D3" t="n">
        <v>60</v>
      </c>
      <c r="E3" t="inlineStr">
        <is>
          <t>169.4 t</t>
        </is>
      </c>
      <c r="F3" t="n">
        <v>95.5</v>
      </c>
      <c r="G3" t="n">
        <v>12.4</v>
      </c>
    </row>
    <row r="4">
      <c r="A4" t="inlineStr">
        <is>
          <t>F003</t>
        </is>
      </c>
      <c r="B4" t="inlineStr">
        <is>
          <t>CDC Landmark</t>
        </is>
      </c>
      <c r="C4" t="inlineStr">
        <is>
          <t>2026/05/14</t>
        </is>
      </c>
      <c r="D4" t="n">
        <v>60.3</v>
      </c>
      <c r="E4" t="inlineStr">
        <is>
          <t>128.8 t</t>
        </is>
      </c>
      <c r="F4" t="n">
        <v>0.125</v>
      </c>
      <c r="G4" t="n">
        <v>13.7</v>
      </c>
    </row>
    <row r="5">
      <c r="A5" t="inlineStr">
        <is>
          <t>F004</t>
        </is>
      </c>
      <c r="B5" t="inlineStr">
        <is>
          <t>Brandon AAC</t>
        </is>
      </c>
      <c r="C5" t="inlineStr">
        <is>
          <t>May-23-2026</t>
        </is>
      </c>
      <c r="D5" t="n">
        <v>-99</v>
      </c>
      <c r="E5" t="inlineStr">
        <is>
          <t>174.2 t</t>
        </is>
      </c>
      <c r="F5" t="n">
        <v>134.3</v>
      </c>
      <c r="G5" t="n">
        <v>13.8</v>
      </c>
    </row>
    <row r="6">
      <c r="A6" t="inlineStr">
        <is>
          <t>F005</t>
        </is>
      </c>
      <c r="B6" t="inlineStr">
        <is>
          <t>CDC Landmark</t>
        </is>
      </c>
      <c r="C6" t="inlineStr">
        <is>
          <t>05-19-2026</t>
        </is>
      </c>
      <c r="D6" t="n">
        <v>51.7</v>
      </c>
      <c r="E6" t="inlineStr">
        <is>
          <t>118.6 t</t>
        </is>
      </c>
      <c r="F6" t="n">
        <v>137.2</v>
      </c>
      <c r="G6" t="n">
        <v>14.4</v>
      </c>
    </row>
    <row r="7">
      <c r="A7" t="inlineStr">
        <is>
          <t>F006</t>
        </is>
      </c>
      <c r="B7" t="inlineStr">
        <is>
          <t>Brndon</t>
        </is>
      </c>
      <c r="C7" t="inlineStr">
        <is>
          <t>2026-05-12</t>
        </is>
      </c>
      <c r="D7" t="n">
        <v>55.8</v>
      </c>
      <c r="E7" t="inlineStr">
        <is>
          <t>115.8 t</t>
        </is>
      </c>
      <c r="F7" t="n">
        <v>0.09</v>
      </c>
      <c r="G7" t="inlineStr">
        <is>
          <t>N/A</t>
        </is>
      </c>
    </row>
    <row r="8">
      <c r="A8" t="inlineStr">
        <is>
          <t>F007</t>
        </is>
      </c>
      <c r="B8" t="inlineStr">
        <is>
          <t>AAC Viewfield</t>
        </is>
      </c>
      <c r="C8" t="inlineStr">
        <is>
          <t>2026/05/24</t>
        </is>
      </c>
      <c r="D8" t="n">
        <v>-12</v>
      </c>
      <c r="E8" t="inlineStr">
        <is>
          <t>216.6 t</t>
        </is>
      </c>
      <c r="F8" t="n">
        <v>140.9</v>
      </c>
      <c r="G8" t="n">
        <v>15</v>
      </c>
    </row>
    <row r="9">
      <c r="A9" t="inlineStr">
        <is>
          <t>F008</t>
        </is>
      </c>
      <c r="B9" t="inlineStr">
        <is>
          <t>AAC Brandon</t>
        </is>
      </c>
      <c r="C9" t="inlineStr">
        <is>
          <t>May-02-2026</t>
        </is>
      </c>
      <c r="D9" t="n">
        <v>63.7</v>
      </c>
      <c r="E9" t="inlineStr">
        <is>
          <t>102.8 t</t>
        </is>
      </c>
      <c r="F9" t="n">
        <v>91.8</v>
      </c>
      <c r="G9" t="n">
        <v>15.5</v>
      </c>
    </row>
    <row r="10">
      <c r="A10" t="inlineStr">
        <is>
          <t>F009</t>
        </is>
      </c>
      <c r="B10" t="inlineStr">
        <is>
          <t>CDC Landmark</t>
        </is>
      </c>
      <c r="C10" t="inlineStr">
        <is>
          <t>05-18-2026</t>
        </is>
      </c>
      <c r="D10" t="n">
        <v>57.3</v>
      </c>
      <c r="E10" t="inlineStr">
        <is>
          <t>97.4 t</t>
        </is>
      </c>
      <c r="F10" t="n">
        <v>0.134</v>
      </c>
      <c r="G10" t="n">
        <v>14.5</v>
      </c>
    </row>
    <row r="11">
      <c r="A11" t="inlineStr">
        <is>
          <t>F010</t>
        </is>
      </c>
      <c r="B11" t="inlineStr">
        <is>
          <t>Brandon</t>
        </is>
      </c>
      <c r="C11" t="inlineStr">
        <is>
          <t>2026-05-16</t>
        </is>
      </c>
      <c r="D11" t="n">
        <v>65.7</v>
      </c>
      <c r="E11" t="inlineStr">
        <is>
          <t>214.6 t</t>
        </is>
      </c>
      <c r="F11" t="n">
        <v>92.40000000000001</v>
      </c>
      <c r="G11" t="n">
        <v>14.3</v>
      </c>
    </row>
    <row r="12">
      <c r="A12" t="inlineStr">
        <is>
          <t>F011</t>
        </is>
      </c>
      <c r="B12" t="inlineStr">
        <is>
          <t>CDC Landmark</t>
        </is>
      </c>
      <c r="C12" t="inlineStr">
        <is>
          <t>2026/06/15</t>
        </is>
      </c>
      <c r="D12" t="n">
        <v>57.6</v>
      </c>
      <c r="E12" t="inlineStr">
        <is>
          <t>235.8 t</t>
        </is>
      </c>
      <c r="F12" t="n">
        <v>104</v>
      </c>
      <c r="G12" t="n">
        <v>15.8</v>
      </c>
    </row>
    <row r="13">
      <c r="A13" t="inlineStr">
        <is>
          <t>F012</t>
        </is>
      </c>
      <c r="B13" t="inlineStr">
        <is>
          <t>Brandon AAC</t>
        </is>
      </c>
      <c r="C13" t="inlineStr">
        <is>
          <t>May-07-2026</t>
        </is>
      </c>
      <c r="D13" t="n">
        <v>53.5</v>
      </c>
      <c r="E13" t="inlineStr">
        <is>
          <t>182.9 t</t>
        </is>
      </c>
      <c r="F13" t="n">
        <v>0.127</v>
      </c>
      <c r="G13" t="n">
        <v>13.3</v>
      </c>
    </row>
    <row r="14">
      <c r="A14" t="inlineStr">
        <is>
          <t>F013</t>
        </is>
      </c>
      <c r="B14" t="inlineStr">
        <is>
          <t>AAC Viewfield</t>
        </is>
      </c>
      <c r="C14" t="inlineStr">
        <is>
          <t>05-14-2026</t>
        </is>
      </c>
      <c r="D14" t="n">
        <v>58.2</v>
      </c>
      <c r="E14" t="inlineStr">
        <is>
          <t>107.1 t</t>
        </is>
      </c>
      <c r="F14" t="n">
        <v>102.2</v>
      </c>
      <c r="G14" t="n">
        <v>14</v>
      </c>
    </row>
    <row r="15">
      <c r="A15" t="inlineStr">
        <is>
          <t>F014</t>
        </is>
      </c>
      <c r="B15" t="inlineStr">
        <is>
          <t>Brndon</t>
        </is>
      </c>
      <c r="C15" t="inlineStr">
        <is>
          <t>2026-06-13</t>
        </is>
      </c>
      <c r="D15" t="n">
        <v>55.6</v>
      </c>
      <c r="E15" t="inlineStr">
        <is>
          <t>176.8 t</t>
        </is>
      </c>
      <c r="F15" t="n">
        <v>128.6</v>
      </c>
      <c r="G15" t="inlineStr">
        <is>
          <t>missing</t>
        </is>
      </c>
    </row>
    <row r="16">
      <c r="A16" t="inlineStr">
        <is>
          <t>F015</t>
        </is>
      </c>
      <c r="B16" t="inlineStr">
        <is>
          <t>CDC Landmark</t>
        </is>
      </c>
      <c r="C16" t="inlineStr">
        <is>
          <t>2026/05/18</t>
        </is>
      </c>
      <c r="D16" t="n">
        <v>52.6</v>
      </c>
      <c r="E16" t="inlineStr">
        <is>
          <t>130.2 t</t>
        </is>
      </c>
      <c r="F16" t="n">
        <v>0.106</v>
      </c>
      <c r="G16" t="n">
        <v>14.5</v>
      </c>
    </row>
    <row r="17">
      <c r="A17" t="inlineStr">
        <is>
          <t>F016</t>
        </is>
      </c>
      <c r="B17" t="inlineStr">
        <is>
          <t>AAC Brandon</t>
        </is>
      </c>
      <c r="C17" t="inlineStr">
        <is>
          <t>May-20-2026</t>
        </is>
      </c>
      <c r="D17" t="n">
        <v>62.8</v>
      </c>
      <c r="E17" t="inlineStr">
        <is>
          <t>240.8 t</t>
        </is>
      </c>
      <c r="F17" t="n">
        <v>103.2</v>
      </c>
      <c r="G17" t="n">
        <v>15.7</v>
      </c>
    </row>
    <row r="18">
      <c r="A18" t="inlineStr">
        <is>
          <t>F017</t>
        </is>
      </c>
      <c r="B18" t="inlineStr">
        <is>
          <t>CDC Landmark</t>
        </is>
      </c>
      <c r="C18" t="inlineStr">
        <is>
          <t>05-15-2026</t>
        </is>
      </c>
      <c r="D18" t="n">
        <v>60.1</v>
      </c>
      <c r="E18" t="inlineStr">
        <is>
          <t>179.5 t</t>
        </is>
      </c>
      <c r="F18" t="n">
        <v>113.7</v>
      </c>
      <c r="G18" t="n">
        <v>15.5</v>
      </c>
    </row>
    <row r="19">
      <c r="A19" t="inlineStr">
        <is>
          <t>F018</t>
        </is>
      </c>
      <c r="B19" t="inlineStr">
        <is>
          <t>Brandon</t>
        </is>
      </c>
      <c r="C19" t="inlineStr">
        <is>
          <t>2026-05-17</t>
        </is>
      </c>
      <c r="D19" t="n">
        <v>73.8</v>
      </c>
      <c r="E19" t="inlineStr">
        <is>
          <t>114.6 t</t>
        </is>
      </c>
      <c r="F19" t="n">
        <v>0.141</v>
      </c>
      <c r="G19" t="n">
        <v>12.4</v>
      </c>
    </row>
    <row r="20">
      <c r="A20" t="inlineStr">
        <is>
          <t>F019</t>
        </is>
      </c>
      <c r="B20" t="inlineStr">
        <is>
          <t>AAC Viewfield</t>
        </is>
      </c>
      <c r="C20" t="inlineStr">
        <is>
          <t>2026/05/15</t>
        </is>
      </c>
      <c r="D20" t="n">
        <v>1250</v>
      </c>
      <c r="E20" t="inlineStr">
        <is>
          <t>200.4 t</t>
        </is>
      </c>
      <c r="F20" t="n">
        <v>138</v>
      </c>
      <c r="G20" t="n">
        <v>13.8</v>
      </c>
    </row>
    <row r="21">
      <c r="A21" t="inlineStr">
        <is>
          <t>F020</t>
        </is>
      </c>
      <c r="B21" t="inlineStr">
        <is>
          <t>Brandon AAC</t>
        </is>
      </c>
      <c r="C21" t="inlineStr">
        <is>
          <t>Jun-27-2026</t>
        </is>
      </c>
      <c r="D21" t="n">
        <v>62.8</v>
      </c>
      <c r="E21" t="inlineStr">
        <is>
          <t>143.5 t</t>
        </is>
      </c>
      <c r="F21" t="n">
        <v>140.1</v>
      </c>
      <c r="G21" t="n">
        <v>13.3</v>
      </c>
    </row>
    <row r="22">
      <c r="A22" t="inlineStr">
        <is>
          <t>F021</t>
        </is>
      </c>
      <c r="B22" t="inlineStr">
        <is>
          <t>CDC Landmark</t>
        </is>
      </c>
      <c r="C22" t="inlineStr">
        <is>
          <t>05-15-2026</t>
        </is>
      </c>
      <c r="D22" t="n">
        <v>71</v>
      </c>
      <c r="E22" t="inlineStr">
        <is>
          <t>201.3 t</t>
        </is>
      </c>
      <c r="F22" t="n">
        <v>0.101</v>
      </c>
      <c r="G22" t="n">
        <v>14.7</v>
      </c>
    </row>
    <row r="23">
      <c r="A23" t="inlineStr">
        <is>
          <t>F022</t>
        </is>
      </c>
      <c r="B23" t="inlineStr">
        <is>
          <t>Brndon</t>
        </is>
      </c>
      <c r="C23" t="inlineStr">
        <is>
          <t>2026-06-11</t>
        </is>
      </c>
      <c r="D23" t="n">
        <v>68.3</v>
      </c>
      <c r="E23" t="inlineStr">
        <is>
          <t>253.9 t</t>
        </is>
      </c>
      <c r="F23" t="n">
        <v>99.5</v>
      </c>
      <c r="G23" t="inlineStr"/>
    </row>
    <row r="24">
      <c r="A24" t="inlineStr">
        <is>
          <t>F023</t>
        </is>
      </c>
      <c r="B24" t="inlineStr">
        <is>
          <t>CDC Landmark</t>
        </is>
      </c>
      <c r="C24" t="inlineStr">
        <is>
          <t>2026/05/03</t>
        </is>
      </c>
      <c r="D24" t="n">
        <v>-99</v>
      </c>
      <c r="E24" t="inlineStr">
        <is>
          <t>140.5 t</t>
        </is>
      </c>
      <c r="F24" t="n">
        <v>130.3</v>
      </c>
      <c r="G24" t="n">
        <v>13.6</v>
      </c>
    </row>
    <row r="25">
      <c r="A25" t="inlineStr">
        <is>
          <t>F024</t>
        </is>
      </c>
      <c r="B25" t="inlineStr">
        <is>
          <t>AAC Brandon</t>
        </is>
      </c>
      <c r="C25" t="inlineStr">
        <is>
          <t>Jun-11-2026</t>
        </is>
      </c>
      <c r="D25" t="n">
        <v>61.3</v>
      </c>
      <c r="E25" t="inlineStr">
        <is>
          <t>187.9 t</t>
        </is>
      </c>
      <c r="F25" t="n">
        <v>0.111</v>
      </c>
      <c r="G25" t="n">
        <v>15.8</v>
      </c>
    </row>
    <row r="26">
      <c r="A26" t="inlineStr">
        <is>
          <t>F025</t>
        </is>
      </c>
      <c r="B26" t="inlineStr">
        <is>
          <t>AAC Viewfield</t>
        </is>
      </c>
      <c r="C26" t="inlineStr">
        <is>
          <t>05-02-2026</t>
        </is>
      </c>
      <c r="D26" t="n">
        <v>38.4</v>
      </c>
      <c r="E26" t="inlineStr">
        <is>
          <t>146.0 t</t>
        </is>
      </c>
      <c r="F26" t="n">
        <v>134</v>
      </c>
      <c r="G26" t="n">
        <v>12.8</v>
      </c>
    </row>
    <row r="27">
      <c r="A27" t="inlineStr">
        <is>
          <t>F026</t>
        </is>
      </c>
      <c r="B27" t="inlineStr">
        <is>
          <t>Brandon</t>
        </is>
      </c>
      <c r="C27" t="inlineStr">
        <is>
          <t>2026-05-22</t>
        </is>
      </c>
      <c r="D27" t="n">
        <v>60.4</v>
      </c>
      <c r="E27" t="inlineStr">
        <is>
          <t>124.4 t</t>
        </is>
      </c>
      <c r="F27" t="n">
        <v>140.6</v>
      </c>
      <c r="G27" t="n">
        <v>16.3</v>
      </c>
    </row>
    <row r="28">
      <c r="A28" t="inlineStr">
        <is>
          <t>F027</t>
        </is>
      </c>
      <c r="B28" t="inlineStr">
        <is>
          <t>CDC Landmark</t>
        </is>
      </c>
      <c r="C28" t="inlineStr">
        <is>
          <t>2026/05/13</t>
        </is>
      </c>
      <c r="D28" t="n">
        <v>60</v>
      </c>
      <c r="E28" t="inlineStr">
        <is>
          <t>206.4 t</t>
        </is>
      </c>
      <c r="F28" t="n">
        <v>0.129</v>
      </c>
      <c r="G28" t="n">
        <v>15.6</v>
      </c>
    </row>
    <row r="29">
      <c r="A29" t="inlineStr">
        <is>
          <t>F028</t>
        </is>
      </c>
      <c r="B29" t="inlineStr">
        <is>
          <t>Brandon AAC</t>
        </is>
      </c>
      <c r="C29" t="inlineStr">
        <is>
          <t>Jun-10-2026</t>
        </is>
      </c>
      <c r="D29" t="n">
        <v>50.9</v>
      </c>
      <c r="E29" t="inlineStr">
        <is>
          <t>113.7 t</t>
        </is>
      </c>
      <c r="F29" t="n">
        <v>137.6</v>
      </c>
      <c r="G29" t="n">
        <v>15.9</v>
      </c>
    </row>
    <row r="30">
      <c r="A30" t="inlineStr">
        <is>
          <t>F029</t>
        </is>
      </c>
      <c r="B30" t="inlineStr">
        <is>
          <t>CDC Landmark</t>
        </is>
      </c>
      <c r="C30" t="inlineStr">
        <is>
          <t>05-11-2026</t>
        </is>
      </c>
      <c r="D30" t="n">
        <v>61.8</v>
      </c>
      <c r="E30" t="inlineStr">
        <is>
          <t>186.1 t</t>
        </is>
      </c>
      <c r="F30" t="n">
        <v>125.3</v>
      </c>
      <c r="G30" t="n">
        <v>12.5</v>
      </c>
    </row>
    <row r="31">
      <c r="A31" t="inlineStr">
        <is>
          <t>F030</t>
        </is>
      </c>
      <c r="B31" t="inlineStr">
        <is>
          <t>Brndon</t>
        </is>
      </c>
      <c r="C31" t="inlineStr">
        <is>
          <t>2026-05-15</t>
        </is>
      </c>
      <c r="D31" t="n">
        <v>70.8</v>
      </c>
      <c r="E31" t="inlineStr">
        <is>
          <t>241.3 t</t>
        </is>
      </c>
      <c r="F31" t="n">
        <v>0.126</v>
      </c>
      <c r="G31" t="n">
        <v>9999</v>
      </c>
    </row>
    <row r="32">
      <c r="A32" t="inlineStr">
        <is>
          <t>F031</t>
        </is>
      </c>
      <c r="B32" t="inlineStr">
        <is>
          <t>AAC Viewfield</t>
        </is>
      </c>
      <c r="C32" t="inlineStr">
        <is>
          <t>2026/06/13</t>
        </is>
      </c>
      <c r="D32" t="n">
        <v>-99</v>
      </c>
      <c r="E32" t="inlineStr">
        <is>
          <t>115.9 t</t>
        </is>
      </c>
      <c r="F32" t="n">
        <v>123.1</v>
      </c>
      <c r="G32" t="n">
        <v>15.2</v>
      </c>
    </row>
    <row r="33">
      <c r="A33" t="inlineStr">
        <is>
          <t>F032</t>
        </is>
      </c>
      <c r="B33" t="inlineStr">
        <is>
          <t>AAC Brandon</t>
        </is>
      </c>
      <c r="C33" t="inlineStr">
        <is>
          <t>May-26-2026</t>
        </is>
      </c>
      <c r="D33" t="n">
        <v>53.7</v>
      </c>
      <c r="E33" t="inlineStr">
        <is>
          <t>208.4 t</t>
        </is>
      </c>
      <c r="F33" t="n">
        <v>95.7</v>
      </c>
      <c r="G33" t="n">
        <v>16.1</v>
      </c>
    </row>
    <row r="34">
      <c r="A34" t="inlineStr">
        <is>
          <t>F033</t>
        </is>
      </c>
      <c r="B34" t="inlineStr">
        <is>
          <t>CDC Landmark</t>
        </is>
      </c>
      <c r="C34" t="inlineStr">
        <is>
          <t>05-25-2026</t>
        </is>
      </c>
      <c r="D34" t="n">
        <v>56.6</v>
      </c>
      <c r="E34" t="inlineStr">
        <is>
          <t>158.9 t</t>
        </is>
      </c>
      <c r="F34" t="n">
        <v>0.135</v>
      </c>
      <c r="G34" t="n">
        <v>16.4</v>
      </c>
    </row>
    <row r="35">
      <c r="A35" t="inlineStr">
        <is>
          <t>F034</t>
        </is>
      </c>
      <c r="B35" t="inlineStr">
        <is>
          <t>Brandon</t>
        </is>
      </c>
      <c r="C35" t="inlineStr">
        <is>
          <t>2026-05-17</t>
        </is>
      </c>
      <c r="D35" t="n">
        <v>60.6</v>
      </c>
      <c r="E35" t="inlineStr">
        <is>
          <t>122.2 t</t>
        </is>
      </c>
      <c r="F35" t="n">
        <v>123.4</v>
      </c>
      <c r="G35" t="n">
        <v>12.5</v>
      </c>
    </row>
    <row r="36">
      <c r="A36" t="inlineStr">
        <is>
          <t>F035</t>
        </is>
      </c>
      <c r="B36" t="inlineStr">
        <is>
          <t>CDC Landmark</t>
        </is>
      </c>
      <c r="C36" t="inlineStr">
        <is>
          <t>2026/05/21</t>
        </is>
      </c>
      <c r="D36" t="n">
        <v>55.3</v>
      </c>
      <c r="E36" t="inlineStr">
        <is>
          <t>115.2 t</t>
        </is>
      </c>
      <c r="F36" t="n">
        <v>86</v>
      </c>
      <c r="G36" t="n">
        <v>12.4</v>
      </c>
    </row>
    <row r="37">
      <c r="A37" t="inlineStr">
        <is>
          <t>F036</t>
        </is>
      </c>
      <c r="B37" t="inlineStr">
        <is>
          <t>Brandon AAC</t>
        </is>
      </c>
      <c r="C37" t="inlineStr">
        <is>
          <t>May-17-2026</t>
        </is>
      </c>
      <c r="D37" t="n">
        <v>55.7</v>
      </c>
      <c r="E37" t="inlineStr">
        <is>
          <t>148.7 t</t>
        </is>
      </c>
      <c r="F37" t="n">
        <v>0.08500000000000001</v>
      </c>
      <c r="G37" t="n">
        <v>12.9</v>
      </c>
    </row>
    <row r="38">
      <c r="A38" t="inlineStr">
        <is>
          <t>F012</t>
        </is>
      </c>
      <c r="B38" t="inlineStr">
        <is>
          <t>Brandon AAC</t>
        </is>
      </c>
      <c r="C38" t="inlineStr">
        <is>
          <t>May-07-2026</t>
        </is>
      </c>
      <c r="D38" t="n">
        <v>53.5</v>
      </c>
      <c r="E38" t="inlineStr">
        <is>
          <t>182.9 t</t>
        </is>
      </c>
      <c r="F38" t="n">
        <v>0.127</v>
      </c>
      <c r="G38" t="n">
        <v>13.3</v>
      </c>
    </row>
    <row r="39">
      <c r="A39" t="inlineStr">
        <is>
          <t>F027</t>
        </is>
      </c>
      <c r="B39" t="inlineStr">
        <is>
          <t>CDC Landmark</t>
        </is>
      </c>
      <c r="C39" t="inlineStr">
        <is>
          <t>2026/05/13</t>
        </is>
      </c>
      <c r="D39" t="n">
        <v>60</v>
      </c>
      <c r="E39" t="inlineStr">
        <is>
          <t>206.4 t</t>
        </is>
      </c>
      <c r="F39" t="n">
        <v>0.129</v>
      </c>
      <c r="G39" t="n">
        <v>15.6</v>
      </c>
    </row>
    <row r="41">
      <c r="A41" s="2" t="inlineStr">
        <is>
          <t>The raw import. Do not edit this sheet -- all checking and cleaning happens on the other sheets, so the original stays intact.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Statistic</t>
        </is>
      </c>
      <c r="B1" s="1" t="inlineStr">
        <is>
          <t>Yield (bu/ac)</t>
        </is>
      </c>
      <c r="C1" s="1" t="inlineStr">
        <is>
          <t>harvest weight</t>
        </is>
      </c>
      <c r="D1" s="1" t="inlineStr">
        <is>
          <t>N rate</t>
        </is>
      </c>
      <c r="E1" s="1" t="inlineStr">
        <is>
          <t>Moisture %</t>
        </is>
      </c>
    </row>
    <row r="2">
      <c r="A2" t="inlineStr">
        <is>
          <t>Count (numbers)</t>
        </is>
      </c>
      <c r="B2">
        <f>COUNT(Data!D2:D39)</f>
        <v/>
      </c>
      <c r="C2">
        <f>COUNT(Data!E2:E39)</f>
        <v/>
      </c>
      <c r="D2">
        <f>COUNT(Data!F2:F39)</f>
        <v/>
      </c>
      <c r="E2">
        <f>COUNT(Data!G2:G39)</f>
        <v/>
      </c>
    </row>
    <row r="3">
      <c r="A3" t="inlineStr">
        <is>
          <t>Count (non-empty)</t>
        </is>
      </c>
      <c r="B3">
        <f>COUNTA(Data!D2:D39)</f>
        <v/>
      </c>
      <c r="C3">
        <f>COUNTA(Data!E2:E39)</f>
        <v/>
      </c>
      <c r="D3">
        <f>COUNTA(Data!F2:F39)</f>
        <v/>
      </c>
      <c r="E3">
        <f>COUNTA(Data!G2:G39)</f>
        <v/>
      </c>
    </row>
    <row r="4">
      <c r="A4" t="inlineStr">
        <is>
          <t>Minimum</t>
        </is>
      </c>
      <c r="B4">
        <f>MIN(Data!D2:D39)</f>
        <v/>
      </c>
      <c r="C4">
        <f>MIN(Data!E2:E39)</f>
        <v/>
      </c>
      <c r="D4">
        <f>MIN(Data!F2:F39)</f>
        <v/>
      </c>
      <c r="E4">
        <f>MIN(Data!G2:G39)</f>
        <v/>
      </c>
    </row>
    <row r="5">
      <c r="A5" t="inlineStr">
        <is>
          <t>Maximum</t>
        </is>
      </c>
      <c r="B5">
        <f>MAX(Data!D2:D39)</f>
        <v/>
      </c>
      <c r="C5">
        <f>MAX(Data!E2:E39)</f>
        <v/>
      </c>
      <c r="D5">
        <f>MAX(Data!F2:F39)</f>
        <v/>
      </c>
      <c r="E5">
        <f>MAX(Data!G2:G39)</f>
        <v/>
      </c>
    </row>
    <row r="6">
      <c r="A6" t="inlineStr">
        <is>
          <t>Mean</t>
        </is>
      </c>
      <c r="B6">
        <f>AVERAGE(Data!D2:D39)</f>
        <v/>
      </c>
      <c r="C6">
        <f>AVERAGE(Data!E2:E39)</f>
        <v/>
      </c>
      <c r="D6">
        <f>AVERAGE(Data!F2:F39)</f>
        <v/>
      </c>
      <c r="E6">
        <f>AVERAGE(Data!G2:G39)</f>
        <v/>
      </c>
    </row>
    <row r="7">
      <c r="A7" t="inlineStr">
        <is>
          <t>Median</t>
        </is>
      </c>
      <c r="B7">
        <f>MEDIAN(Data!D2:D39)</f>
        <v/>
      </c>
      <c r="C7">
        <f>MEDIAN(Data!E2:E39)</f>
        <v/>
      </c>
      <c r="D7">
        <f>MEDIAN(Data!F2:F39)</f>
        <v/>
      </c>
      <c r="E7">
        <f>MEDIAN(Data!G2:G39)</f>
        <v/>
      </c>
    </row>
    <row r="10">
      <c r="A10" s="1" t="inlineStr">
        <is>
          <t>Variety</t>
        </is>
      </c>
      <c r="B10" s="1" t="inlineStr">
        <is>
          <t>Count</t>
        </is>
      </c>
    </row>
    <row r="11">
      <c r="A11" t="inlineStr">
        <is>
          <t>AAC Brandon</t>
        </is>
      </c>
      <c r="B11">
        <f>COUNTIF(Data!B2:B39,A11)</f>
        <v/>
      </c>
    </row>
    <row r="12">
      <c r="A12" t="inlineStr">
        <is>
          <t>Brandon</t>
        </is>
      </c>
      <c r="B12">
        <f>COUNTIF(Data!B2:B39,A12)</f>
        <v/>
      </c>
    </row>
    <row r="13">
      <c r="A13" t="inlineStr">
        <is>
          <t>Brandon AAC</t>
        </is>
      </c>
      <c r="B13">
        <f>COUNTIF(Data!B2:B39,A13)</f>
        <v/>
      </c>
    </row>
    <row r="14">
      <c r="A14" t="inlineStr">
        <is>
          <t>Brndon</t>
        </is>
      </c>
      <c r="B14">
        <f>COUNTIF(Data!B2:B39,A14)</f>
        <v/>
      </c>
    </row>
    <row r="15">
      <c r="A15" t="inlineStr">
        <is>
          <t>AAC Viewfield</t>
        </is>
      </c>
      <c r="B15">
        <f>COUNTIF(Data!B2:B39,A15)</f>
        <v/>
      </c>
    </row>
    <row r="16">
      <c r="A16" t="inlineStr">
        <is>
          <t>CDC Landmark</t>
        </is>
      </c>
      <c r="B16">
        <f>COUNTIF(Data!B2:B39,A16)</f>
        <v/>
      </c>
    </row>
    <row r="18">
      <c r="A18" t="inlineStr">
        <is>
          <t>Rows</t>
        </is>
      </c>
      <c r="B18">
        <f>COUNTA(Data!A2:A39)</f>
        <v/>
      </c>
    </row>
    <row r="19">
      <c r="A19" t="inlineStr">
        <is>
          <t>Distinct field IDs</t>
        </is>
      </c>
      <c r="B19">
        <f>SUMPRODUCT(1/COUNTIF(Data!A2:A39,Data!A2:A39))</f>
        <v/>
      </c>
    </row>
    <row r="22">
      <c r="A22" s="2" t="inlineStr">
        <is>
          <t>Count (numbers) vs Count (non-empty): a gap means the column holds text -- the weight unit suffix and the moisture codes stop Excel from treating them as numbers.</t>
        </is>
      </c>
    </row>
    <row r="23">
      <c r="A23" s="2" t="inlineStr">
        <is>
          <t>The yield minimum is a missing-value code and the maximum is twenty times a real yield; together they drag the mean above the median.</t>
        </is>
      </c>
    </row>
    <row r="24">
      <c r="A24" s="2" t="inlineStr">
        <is>
          <t>The N rate minimum and maximum are in different units: below 1 is t/ha, near 100 is kg/ha.</t>
        </is>
      </c>
    </row>
    <row r="25">
      <c r="A25" s="2" t="inlineStr">
        <is>
          <t>Four of the variety spellings are the same variety. Rows minus distinct field IDs gives the number of duplicated rows.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3" customWidth="1" min="3" max="3"/>
    <col width="12" customWidth="1" min="4" max="4"/>
    <col width="10" customWidth="1" min="5" max="5"/>
    <col width="13" customWidth="1" min="6" max="6"/>
    <col width="13" customWidth="1" min="7" max="7"/>
    <col width="14" customWidth="1" min="8" max="8"/>
  </cols>
  <sheetData>
    <row r="1">
      <c r="A1" s="1" t="inlineStr">
        <is>
          <t>field_id</t>
        </is>
      </c>
      <c r="B1" s="1" t="inlineStr">
        <is>
          <t>variety</t>
        </is>
      </c>
      <c r="C1" s="1" t="inlineStr">
        <is>
          <t>seeded_date</t>
        </is>
      </c>
      <c r="D1" s="1" t="inlineStr">
        <is>
          <t>yield_bu_ac</t>
        </is>
      </c>
      <c r="E1" s="1" t="inlineStr">
        <is>
          <t>weight_t</t>
        </is>
      </c>
      <c r="F1" s="1" t="inlineStr">
        <is>
          <t>n_rate_kg_ha</t>
        </is>
      </c>
      <c r="G1" s="1" t="inlineStr">
        <is>
          <t>moisture_pct</t>
        </is>
      </c>
      <c r="H1" s="1" t="inlineStr">
        <is>
          <t>duplicate_flag</t>
        </is>
      </c>
    </row>
    <row r="2">
      <c r="A2">
        <f>Data!A2</f>
        <v/>
      </c>
      <c r="B2">
        <f>IF(OR(Data!B2="Brandon",Data!B2="Brandon AAC",Data!B2="Brndon"),"AAC Brandon",Data!B2)</f>
        <v/>
      </c>
      <c r="C2" s="3">
        <f>DATEVALUE(Data!C2)</f>
        <v/>
      </c>
      <c r="D2">
        <f>IF(OR(Data!D2=-99,Data!D2&lt;0,Data!D2&gt;200),"",Data!D2)</f>
        <v/>
      </c>
      <c r="E2">
        <f>VALUE(SUBSTITUTE(Data!E2," t",""))</f>
        <v/>
      </c>
      <c r="F2">
        <f>IF(Data!F2&lt;1,Data!F2*1000,Data!F2)</f>
        <v/>
      </c>
      <c r="G2">
        <f>IF(OR(Data!G2="N/A",Data!G2="missing",Data!G2="",Data!G2=9999),"",Data!G2)</f>
        <v/>
      </c>
      <c r="H2">
        <f>COUNTIF(Data!$A$2:$A2,Data!A2)&gt;1</f>
        <v/>
      </c>
    </row>
    <row r="3">
      <c r="A3">
        <f>Data!A3</f>
        <v/>
      </c>
      <c r="B3">
        <f>IF(OR(Data!B3="Brandon",Data!B3="Brandon AAC",Data!B3="Brndon"),"AAC Brandon",Data!B3)</f>
        <v/>
      </c>
      <c r="C3" s="3">
        <f>DATEVALUE(Data!C3)</f>
        <v/>
      </c>
      <c r="D3">
        <f>IF(OR(Data!D3=-99,Data!D3&lt;0,Data!D3&gt;200),"",Data!D3)</f>
        <v/>
      </c>
      <c r="E3">
        <f>VALUE(SUBSTITUTE(Data!E3," t",""))</f>
        <v/>
      </c>
      <c r="F3">
        <f>IF(Data!F3&lt;1,Data!F3*1000,Data!F3)</f>
        <v/>
      </c>
      <c r="G3">
        <f>IF(OR(Data!G3="N/A",Data!G3="missing",Data!G3="",Data!G3=9999),"",Data!G3)</f>
        <v/>
      </c>
      <c r="H3">
        <f>COUNTIF(Data!$A$2:$A3,Data!A3)&gt;1</f>
        <v/>
      </c>
    </row>
    <row r="4">
      <c r="A4">
        <f>Data!A4</f>
        <v/>
      </c>
      <c r="B4">
        <f>IF(OR(Data!B4="Brandon",Data!B4="Brandon AAC",Data!B4="Brndon"),"AAC Brandon",Data!B4)</f>
        <v/>
      </c>
      <c r="C4" s="3">
        <f>DATEVALUE(Data!C4)</f>
        <v/>
      </c>
      <c r="D4">
        <f>IF(OR(Data!D4=-99,Data!D4&lt;0,Data!D4&gt;200),"",Data!D4)</f>
        <v/>
      </c>
      <c r="E4">
        <f>VALUE(SUBSTITUTE(Data!E4," t",""))</f>
        <v/>
      </c>
      <c r="F4">
        <f>IF(Data!F4&lt;1,Data!F4*1000,Data!F4)</f>
        <v/>
      </c>
      <c r="G4">
        <f>IF(OR(Data!G4="N/A",Data!G4="missing",Data!G4="",Data!G4=9999),"",Data!G4)</f>
        <v/>
      </c>
      <c r="H4">
        <f>COUNTIF(Data!$A$2:$A4,Data!A4)&gt;1</f>
        <v/>
      </c>
    </row>
    <row r="5">
      <c r="A5">
        <f>Data!A5</f>
        <v/>
      </c>
      <c r="B5">
        <f>IF(OR(Data!B5="Brandon",Data!B5="Brandon AAC",Data!B5="Brndon"),"AAC Brandon",Data!B5)</f>
        <v/>
      </c>
      <c r="C5" s="3">
        <f>DATEVALUE(Data!C5)</f>
        <v/>
      </c>
      <c r="D5">
        <f>IF(OR(Data!D5=-99,Data!D5&lt;0,Data!D5&gt;200),"",Data!D5)</f>
        <v/>
      </c>
      <c r="E5">
        <f>VALUE(SUBSTITUTE(Data!E5," t",""))</f>
        <v/>
      </c>
      <c r="F5">
        <f>IF(Data!F5&lt;1,Data!F5*1000,Data!F5)</f>
        <v/>
      </c>
      <c r="G5">
        <f>IF(OR(Data!G5="N/A",Data!G5="missing",Data!G5="",Data!G5=9999),"",Data!G5)</f>
        <v/>
      </c>
      <c r="H5">
        <f>COUNTIF(Data!$A$2:$A5,Data!A5)&gt;1</f>
        <v/>
      </c>
    </row>
    <row r="6">
      <c r="A6">
        <f>Data!A6</f>
        <v/>
      </c>
      <c r="B6">
        <f>IF(OR(Data!B6="Brandon",Data!B6="Brandon AAC",Data!B6="Brndon"),"AAC Brandon",Data!B6)</f>
        <v/>
      </c>
      <c r="C6" s="3">
        <f>DATEVALUE(Data!C6)</f>
        <v/>
      </c>
      <c r="D6">
        <f>IF(OR(Data!D6=-99,Data!D6&lt;0,Data!D6&gt;200),"",Data!D6)</f>
        <v/>
      </c>
      <c r="E6">
        <f>VALUE(SUBSTITUTE(Data!E6," t",""))</f>
        <v/>
      </c>
      <c r="F6">
        <f>IF(Data!F6&lt;1,Data!F6*1000,Data!F6)</f>
        <v/>
      </c>
      <c r="G6">
        <f>IF(OR(Data!G6="N/A",Data!G6="missing",Data!G6="",Data!G6=9999),"",Data!G6)</f>
        <v/>
      </c>
      <c r="H6">
        <f>COUNTIF(Data!$A$2:$A6,Data!A6)&gt;1</f>
        <v/>
      </c>
    </row>
    <row r="7">
      <c r="A7">
        <f>Data!A7</f>
        <v/>
      </c>
      <c r="B7">
        <f>IF(OR(Data!B7="Brandon",Data!B7="Brandon AAC",Data!B7="Brndon"),"AAC Brandon",Data!B7)</f>
        <v/>
      </c>
      <c r="C7" s="3">
        <f>DATEVALUE(Data!C7)</f>
        <v/>
      </c>
      <c r="D7">
        <f>IF(OR(Data!D7=-99,Data!D7&lt;0,Data!D7&gt;200),"",Data!D7)</f>
        <v/>
      </c>
      <c r="E7">
        <f>VALUE(SUBSTITUTE(Data!E7," t",""))</f>
        <v/>
      </c>
      <c r="F7">
        <f>IF(Data!F7&lt;1,Data!F7*1000,Data!F7)</f>
        <v/>
      </c>
      <c r="G7">
        <f>IF(OR(Data!G7="N/A",Data!G7="missing",Data!G7="",Data!G7=9999),"",Data!G7)</f>
        <v/>
      </c>
      <c r="H7">
        <f>COUNTIF(Data!$A$2:$A7,Data!A7)&gt;1</f>
        <v/>
      </c>
    </row>
    <row r="8">
      <c r="A8">
        <f>Data!A8</f>
        <v/>
      </c>
      <c r="B8">
        <f>IF(OR(Data!B8="Brandon",Data!B8="Brandon AAC",Data!B8="Brndon"),"AAC Brandon",Data!B8)</f>
        <v/>
      </c>
      <c r="C8" s="3">
        <f>DATEVALUE(Data!C8)</f>
        <v/>
      </c>
      <c r="D8">
        <f>IF(OR(Data!D8=-99,Data!D8&lt;0,Data!D8&gt;200),"",Data!D8)</f>
        <v/>
      </c>
      <c r="E8">
        <f>VALUE(SUBSTITUTE(Data!E8," t",""))</f>
        <v/>
      </c>
      <c r="F8">
        <f>IF(Data!F8&lt;1,Data!F8*1000,Data!F8)</f>
        <v/>
      </c>
      <c r="G8">
        <f>IF(OR(Data!G8="N/A",Data!G8="missing",Data!G8="",Data!G8=9999),"",Data!G8)</f>
        <v/>
      </c>
      <c r="H8">
        <f>COUNTIF(Data!$A$2:$A8,Data!A8)&gt;1</f>
        <v/>
      </c>
    </row>
    <row r="9">
      <c r="A9">
        <f>Data!A9</f>
        <v/>
      </c>
      <c r="B9">
        <f>IF(OR(Data!B9="Brandon",Data!B9="Brandon AAC",Data!B9="Brndon"),"AAC Brandon",Data!B9)</f>
        <v/>
      </c>
      <c r="C9" s="3">
        <f>DATEVALUE(Data!C9)</f>
        <v/>
      </c>
      <c r="D9">
        <f>IF(OR(Data!D9=-99,Data!D9&lt;0,Data!D9&gt;200),"",Data!D9)</f>
        <v/>
      </c>
      <c r="E9">
        <f>VALUE(SUBSTITUTE(Data!E9," t",""))</f>
        <v/>
      </c>
      <c r="F9">
        <f>IF(Data!F9&lt;1,Data!F9*1000,Data!F9)</f>
        <v/>
      </c>
      <c r="G9">
        <f>IF(OR(Data!G9="N/A",Data!G9="missing",Data!G9="",Data!G9=9999),"",Data!G9)</f>
        <v/>
      </c>
      <c r="H9">
        <f>COUNTIF(Data!$A$2:$A9,Data!A9)&gt;1</f>
        <v/>
      </c>
    </row>
    <row r="10">
      <c r="A10">
        <f>Data!A10</f>
        <v/>
      </c>
      <c r="B10">
        <f>IF(OR(Data!B10="Brandon",Data!B10="Brandon AAC",Data!B10="Brndon"),"AAC Brandon",Data!B10)</f>
        <v/>
      </c>
      <c r="C10" s="3">
        <f>DATEVALUE(Data!C10)</f>
        <v/>
      </c>
      <c r="D10">
        <f>IF(OR(Data!D10=-99,Data!D10&lt;0,Data!D10&gt;200),"",Data!D10)</f>
        <v/>
      </c>
      <c r="E10">
        <f>VALUE(SUBSTITUTE(Data!E10," t",""))</f>
        <v/>
      </c>
      <c r="F10">
        <f>IF(Data!F10&lt;1,Data!F10*1000,Data!F10)</f>
        <v/>
      </c>
      <c r="G10">
        <f>IF(OR(Data!G10="N/A",Data!G10="missing",Data!G10="",Data!G10=9999),"",Data!G10)</f>
        <v/>
      </c>
      <c r="H10">
        <f>COUNTIF(Data!$A$2:$A10,Data!A10)&gt;1</f>
        <v/>
      </c>
    </row>
    <row r="11">
      <c r="A11">
        <f>Data!A11</f>
        <v/>
      </c>
      <c r="B11">
        <f>IF(OR(Data!B11="Brandon",Data!B11="Brandon AAC",Data!B11="Brndon"),"AAC Brandon",Data!B11)</f>
        <v/>
      </c>
      <c r="C11" s="3">
        <f>DATEVALUE(Data!C11)</f>
        <v/>
      </c>
      <c r="D11">
        <f>IF(OR(Data!D11=-99,Data!D11&lt;0,Data!D11&gt;200),"",Data!D11)</f>
        <v/>
      </c>
      <c r="E11">
        <f>VALUE(SUBSTITUTE(Data!E11," t",""))</f>
        <v/>
      </c>
      <c r="F11">
        <f>IF(Data!F11&lt;1,Data!F11*1000,Data!F11)</f>
        <v/>
      </c>
      <c r="G11">
        <f>IF(OR(Data!G11="N/A",Data!G11="missing",Data!G11="",Data!G11=9999),"",Data!G11)</f>
        <v/>
      </c>
      <c r="H11">
        <f>COUNTIF(Data!$A$2:$A11,Data!A11)&gt;1</f>
        <v/>
      </c>
    </row>
    <row r="12">
      <c r="A12">
        <f>Data!A12</f>
        <v/>
      </c>
      <c r="B12">
        <f>IF(OR(Data!B12="Brandon",Data!B12="Brandon AAC",Data!B12="Brndon"),"AAC Brandon",Data!B12)</f>
        <v/>
      </c>
      <c r="C12" s="3">
        <f>DATEVALUE(Data!C12)</f>
        <v/>
      </c>
      <c r="D12">
        <f>IF(OR(Data!D12=-99,Data!D12&lt;0,Data!D12&gt;200),"",Data!D12)</f>
        <v/>
      </c>
      <c r="E12">
        <f>VALUE(SUBSTITUTE(Data!E12," t",""))</f>
        <v/>
      </c>
      <c r="F12">
        <f>IF(Data!F12&lt;1,Data!F12*1000,Data!F12)</f>
        <v/>
      </c>
      <c r="G12">
        <f>IF(OR(Data!G12="N/A",Data!G12="missing",Data!G12="",Data!G12=9999),"",Data!G12)</f>
        <v/>
      </c>
      <c r="H12">
        <f>COUNTIF(Data!$A$2:$A12,Data!A12)&gt;1</f>
        <v/>
      </c>
    </row>
    <row r="13">
      <c r="A13">
        <f>Data!A13</f>
        <v/>
      </c>
      <c r="B13">
        <f>IF(OR(Data!B13="Brandon",Data!B13="Brandon AAC",Data!B13="Brndon"),"AAC Brandon",Data!B13)</f>
        <v/>
      </c>
      <c r="C13" s="3">
        <f>DATEVALUE(Data!C13)</f>
        <v/>
      </c>
      <c r="D13">
        <f>IF(OR(Data!D13=-99,Data!D13&lt;0,Data!D13&gt;200),"",Data!D13)</f>
        <v/>
      </c>
      <c r="E13">
        <f>VALUE(SUBSTITUTE(Data!E13," t",""))</f>
        <v/>
      </c>
      <c r="F13">
        <f>IF(Data!F13&lt;1,Data!F13*1000,Data!F13)</f>
        <v/>
      </c>
      <c r="G13">
        <f>IF(OR(Data!G13="N/A",Data!G13="missing",Data!G13="",Data!G13=9999),"",Data!G13)</f>
        <v/>
      </c>
      <c r="H13">
        <f>COUNTIF(Data!$A$2:$A13,Data!A13)&gt;1</f>
        <v/>
      </c>
    </row>
    <row r="14">
      <c r="A14">
        <f>Data!A14</f>
        <v/>
      </c>
      <c r="B14">
        <f>IF(OR(Data!B14="Brandon",Data!B14="Brandon AAC",Data!B14="Brndon"),"AAC Brandon",Data!B14)</f>
        <v/>
      </c>
      <c r="C14" s="3">
        <f>DATEVALUE(Data!C14)</f>
        <v/>
      </c>
      <c r="D14">
        <f>IF(OR(Data!D14=-99,Data!D14&lt;0,Data!D14&gt;200),"",Data!D14)</f>
        <v/>
      </c>
      <c r="E14">
        <f>VALUE(SUBSTITUTE(Data!E14," t",""))</f>
        <v/>
      </c>
      <c r="F14">
        <f>IF(Data!F14&lt;1,Data!F14*1000,Data!F14)</f>
        <v/>
      </c>
      <c r="G14">
        <f>IF(OR(Data!G14="N/A",Data!G14="missing",Data!G14="",Data!G14=9999),"",Data!G14)</f>
        <v/>
      </c>
      <c r="H14">
        <f>COUNTIF(Data!$A$2:$A14,Data!A14)&gt;1</f>
        <v/>
      </c>
    </row>
    <row r="15">
      <c r="A15">
        <f>Data!A15</f>
        <v/>
      </c>
      <c r="B15">
        <f>IF(OR(Data!B15="Brandon",Data!B15="Brandon AAC",Data!B15="Brndon"),"AAC Brandon",Data!B15)</f>
        <v/>
      </c>
      <c r="C15" s="3">
        <f>DATEVALUE(Data!C15)</f>
        <v/>
      </c>
      <c r="D15">
        <f>IF(OR(Data!D15=-99,Data!D15&lt;0,Data!D15&gt;200),"",Data!D15)</f>
        <v/>
      </c>
      <c r="E15">
        <f>VALUE(SUBSTITUTE(Data!E15," t",""))</f>
        <v/>
      </c>
      <c r="F15">
        <f>IF(Data!F15&lt;1,Data!F15*1000,Data!F15)</f>
        <v/>
      </c>
      <c r="G15">
        <f>IF(OR(Data!G15="N/A",Data!G15="missing",Data!G15="",Data!G15=9999),"",Data!G15)</f>
        <v/>
      </c>
      <c r="H15">
        <f>COUNTIF(Data!$A$2:$A15,Data!A15)&gt;1</f>
        <v/>
      </c>
    </row>
    <row r="16">
      <c r="A16">
        <f>Data!A16</f>
        <v/>
      </c>
      <c r="B16">
        <f>IF(OR(Data!B16="Brandon",Data!B16="Brandon AAC",Data!B16="Brndon"),"AAC Brandon",Data!B16)</f>
        <v/>
      </c>
      <c r="C16" s="3">
        <f>DATEVALUE(Data!C16)</f>
        <v/>
      </c>
      <c r="D16">
        <f>IF(OR(Data!D16=-99,Data!D16&lt;0,Data!D16&gt;200),"",Data!D16)</f>
        <v/>
      </c>
      <c r="E16">
        <f>VALUE(SUBSTITUTE(Data!E16," t",""))</f>
        <v/>
      </c>
      <c r="F16">
        <f>IF(Data!F16&lt;1,Data!F16*1000,Data!F16)</f>
        <v/>
      </c>
      <c r="G16">
        <f>IF(OR(Data!G16="N/A",Data!G16="missing",Data!G16="",Data!G16=9999),"",Data!G16)</f>
        <v/>
      </c>
      <c r="H16">
        <f>COUNTIF(Data!$A$2:$A16,Data!A16)&gt;1</f>
        <v/>
      </c>
    </row>
    <row r="17">
      <c r="A17">
        <f>Data!A17</f>
        <v/>
      </c>
      <c r="B17">
        <f>IF(OR(Data!B17="Brandon",Data!B17="Brandon AAC",Data!B17="Brndon"),"AAC Brandon",Data!B17)</f>
        <v/>
      </c>
      <c r="C17" s="3">
        <f>DATEVALUE(Data!C17)</f>
        <v/>
      </c>
      <c r="D17">
        <f>IF(OR(Data!D17=-99,Data!D17&lt;0,Data!D17&gt;200),"",Data!D17)</f>
        <v/>
      </c>
      <c r="E17">
        <f>VALUE(SUBSTITUTE(Data!E17," t",""))</f>
        <v/>
      </c>
      <c r="F17">
        <f>IF(Data!F17&lt;1,Data!F17*1000,Data!F17)</f>
        <v/>
      </c>
      <c r="G17">
        <f>IF(OR(Data!G17="N/A",Data!G17="missing",Data!G17="",Data!G17=9999),"",Data!G17)</f>
        <v/>
      </c>
      <c r="H17">
        <f>COUNTIF(Data!$A$2:$A17,Data!A17)&gt;1</f>
        <v/>
      </c>
    </row>
    <row r="18">
      <c r="A18">
        <f>Data!A18</f>
        <v/>
      </c>
      <c r="B18">
        <f>IF(OR(Data!B18="Brandon",Data!B18="Brandon AAC",Data!B18="Brndon"),"AAC Brandon",Data!B18)</f>
        <v/>
      </c>
      <c r="C18" s="3">
        <f>DATEVALUE(Data!C18)</f>
        <v/>
      </c>
      <c r="D18">
        <f>IF(OR(Data!D18=-99,Data!D18&lt;0,Data!D18&gt;200),"",Data!D18)</f>
        <v/>
      </c>
      <c r="E18">
        <f>VALUE(SUBSTITUTE(Data!E18," t",""))</f>
        <v/>
      </c>
      <c r="F18">
        <f>IF(Data!F18&lt;1,Data!F18*1000,Data!F18)</f>
        <v/>
      </c>
      <c r="G18">
        <f>IF(OR(Data!G18="N/A",Data!G18="missing",Data!G18="",Data!G18=9999),"",Data!G18)</f>
        <v/>
      </c>
      <c r="H18">
        <f>COUNTIF(Data!$A$2:$A18,Data!A18)&gt;1</f>
        <v/>
      </c>
    </row>
    <row r="19">
      <c r="A19">
        <f>Data!A19</f>
        <v/>
      </c>
      <c r="B19">
        <f>IF(OR(Data!B19="Brandon",Data!B19="Brandon AAC",Data!B19="Brndon"),"AAC Brandon",Data!B19)</f>
        <v/>
      </c>
      <c r="C19" s="3">
        <f>DATEVALUE(Data!C19)</f>
        <v/>
      </c>
      <c r="D19">
        <f>IF(OR(Data!D19=-99,Data!D19&lt;0,Data!D19&gt;200),"",Data!D19)</f>
        <v/>
      </c>
      <c r="E19">
        <f>VALUE(SUBSTITUTE(Data!E19," t",""))</f>
        <v/>
      </c>
      <c r="F19">
        <f>IF(Data!F19&lt;1,Data!F19*1000,Data!F19)</f>
        <v/>
      </c>
      <c r="G19">
        <f>IF(OR(Data!G19="N/A",Data!G19="missing",Data!G19="",Data!G19=9999),"",Data!G19)</f>
        <v/>
      </c>
      <c r="H19">
        <f>COUNTIF(Data!$A$2:$A19,Data!A19)&gt;1</f>
        <v/>
      </c>
    </row>
    <row r="20">
      <c r="A20">
        <f>Data!A20</f>
        <v/>
      </c>
      <c r="B20">
        <f>IF(OR(Data!B20="Brandon",Data!B20="Brandon AAC",Data!B20="Brndon"),"AAC Brandon",Data!B20)</f>
        <v/>
      </c>
      <c r="C20" s="3">
        <f>DATEVALUE(Data!C20)</f>
        <v/>
      </c>
      <c r="D20">
        <f>IF(OR(Data!D20=-99,Data!D20&lt;0,Data!D20&gt;200),"",Data!D20)</f>
        <v/>
      </c>
      <c r="E20">
        <f>VALUE(SUBSTITUTE(Data!E20," t",""))</f>
        <v/>
      </c>
      <c r="F20">
        <f>IF(Data!F20&lt;1,Data!F20*1000,Data!F20)</f>
        <v/>
      </c>
      <c r="G20">
        <f>IF(OR(Data!G20="N/A",Data!G20="missing",Data!G20="",Data!G20=9999),"",Data!G20)</f>
        <v/>
      </c>
      <c r="H20">
        <f>COUNTIF(Data!$A$2:$A20,Data!A20)&gt;1</f>
        <v/>
      </c>
    </row>
    <row r="21">
      <c r="A21">
        <f>Data!A21</f>
        <v/>
      </c>
      <c r="B21">
        <f>IF(OR(Data!B21="Brandon",Data!B21="Brandon AAC",Data!B21="Brndon"),"AAC Brandon",Data!B21)</f>
        <v/>
      </c>
      <c r="C21" s="3">
        <f>DATEVALUE(Data!C21)</f>
        <v/>
      </c>
      <c r="D21">
        <f>IF(OR(Data!D21=-99,Data!D21&lt;0,Data!D21&gt;200),"",Data!D21)</f>
        <v/>
      </c>
      <c r="E21">
        <f>VALUE(SUBSTITUTE(Data!E21," t",""))</f>
        <v/>
      </c>
      <c r="F21">
        <f>IF(Data!F21&lt;1,Data!F21*1000,Data!F21)</f>
        <v/>
      </c>
      <c r="G21">
        <f>IF(OR(Data!G21="N/A",Data!G21="missing",Data!G21="",Data!G21=9999),"",Data!G21)</f>
        <v/>
      </c>
      <c r="H21">
        <f>COUNTIF(Data!$A$2:$A21,Data!A21)&gt;1</f>
        <v/>
      </c>
    </row>
    <row r="22">
      <c r="A22">
        <f>Data!A22</f>
        <v/>
      </c>
      <c r="B22">
        <f>IF(OR(Data!B22="Brandon",Data!B22="Brandon AAC",Data!B22="Brndon"),"AAC Brandon",Data!B22)</f>
        <v/>
      </c>
      <c r="C22" s="3">
        <f>DATEVALUE(Data!C22)</f>
        <v/>
      </c>
      <c r="D22">
        <f>IF(OR(Data!D22=-99,Data!D22&lt;0,Data!D22&gt;200),"",Data!D22)</f>
        <v/>
      </c>
      <c r="E22">
        <f>VALUE(SUBSTITUTE(Data!E22," t",""))</f>
        <v/>
      </c>
      <c r="F22">
        <f>IF(Data!F22&lt;1,Data!F22*1000,Data!F22)</f>
        <v/>
      </c>
      <c r="G22">
        <f>IF(OR(Data!G22="N/A",Data!G22="missing",Data!G22="",Data!G22=9999),"",Data!G22)</f>
        <v/>
      </c>
      <c r="H22">
        <f>COUNTIF(Data!$A$2:$A22,Data!A22)&gt;1</f>
        <v/>
      </c>
    </row>
    <row r="23">
      <c r="A23">
        <f>Data!A23</f>
        <v/>
      </c>
      <c r="B23">
        <f>IF(OR(Data!B23="Brandon",Data!B23="Brandon AAC",Data!B23="Brndon"),"AAC Brandon",Data!B23)</f>
        <v/>
      </c>
      <c r="C23" s="3">
        <f>DATEVALUE(Data!C23)</f>
        <v/>
      </c>
      <c r="D23">
        <f>IF(OR(Data!D23=-99,Data!D23&lt;0,Data!D23&gt;200),"",Data!D23)</f>
        <v/>
      </c>
      <c r="E23">
        <f>VALUE(SUBSTITUTE(Data!E23," t",""))</f>
        <v/>
      </c>
      <c r="F23">
        <f>IF(Data!F23&lt;1,Data!F23*1000,Data!F23)</f>
        <v/>
      </c>
      <c r="G23">
        <f>IF(OR(Data!G23="N/A",Data!G23="missing",Data!G23="",Data!G23=9999),"",Data!G23)</f>
        <v/>
      </c>
      <c r="H23">
        <f>COUNTIF(Data!$A$2:$A23,Data!A23)&gt;1</f>
        <v/>
      </c>
    </row>
    <row r="24">
      <c r="A24">
        <f>Data!A24</f>
        <v/>
      </c>
      <c r="B24">
        <f>IF(OR(Data!B24="Brandon",Data!B24="Brandon AAC",Data!B24="Brndon"),"AAC Brandon",Data!B24)</f>
        <v/>
      </c>
      <c r="C24" s="3">
        <f>DATEVALUE(Data!C24)</f>
        <v/>
      </c>
      <c r="D24">
        <f>IF(OR(Data!D24=-99,Data!D24&lt;0,Data!D24&gt;200),"",Data!D24)</f>
        <v/>
      </c>
      <c r="E24">
        <f>VALUE(SUBSTITUTE(Data!E24," t",""))</f>
        <v/>
      </c>
      <c r="F24">
        <f>IF(Data!F24&lt;1,Data!F24*1000,Data!F24)</f>
        <v/>
      </c>
      <c r="G24">
        <f>IF(OR(Data!G24="N/A",Data!G24="missing",Data!G24="",Data!G24=9999),"",Data!G24)</f>
        <v/>
      </c>
      <c r="H24">
        <f>COUNTIF(Data!$A$2:$A24,Data!A24)&gt;1</f>
        <v/>
      </c>
    </row>
    <row r="25">
      <c r="A25">
        <f>Data!A25</f>
        <v/>
      </c>
      <c r="B25">
        <f>IF(OR(Data!B25="Brandon",Data!B25="Brandon AAC",Data!B25="Brndon"),"AAC Brandon",Data!B25)</f>
        <v/>
      </c>
      <c r="C25" s="3">
        <f>DATEVALUE(Data!C25)</f>
        <v/>
      </c>
      <c r="D25">
        <f>IF(OR(Data!D25=-99,Data!D25&lt;0,Data!D25&gt;200),"",Data!D25)</f>
        <v/>
      </c>
      <c r="E25">
        <f>VALUE(SUBSTITUTE(Data!E25," t",""))</f>
        <v/>
      </c>
      <c r="F25">
        <f>IF(Data!F25&lt;1,Data!F25*1000,Data!F25)</f>
        <v/>
      </c>
      <c r="G25">
        <f>IF(OR(Data!G25="N/A",Data!G25="missing",Data!G25="",Data!G25=9999),"",Data!G25)</f>
        <v/>
      </c>
      <c r="H25">
        <f>COUNTIF(Data!$A$2:$A25,Data!A25)&gt;1</f>
        <v/>
      </c>
    </row>
    <row r="26">
      <c r="A26">
        <f>Data!A26</f>
        <v/>
      </c>
      <c r="B26">
        <f>IF(OR(Data!B26="Brandon",Data!B26="Brandon AAC",Data!B26="Brndon"),"AAC Brandon",Data!B26)</f>
        <v/>
      </c>
      <c r="C26" s="3">
        <f>DATEVALUE(Data!C26)</f>
        <v/>
      </c>
      <c r="D26">
        <f>IF(OR(Data!D26=-99,Data!D26&lt;0,Data!D26&gt;200),"",Data!D26)</f>
        <v/>
      </c>
      <c r="E26">
        <f>VALUE(SUBSTITUTE(Data!E26," t",""))</f>
        <v/>
      </c>
      <c r="F26">
        <f>IF(Data!F26&lt;1,Data!F26*1000,Data!F26)</f>
        <v/>
      </c>
      <c r="G26">
        <f>IF(OR(Data!G26="N/A",Data!G26="missing",Data!G26="",Data!G26=9999),"",Data!G26)</f>
        <v/>
      </c>
      <c r="H26">
        <f>COUNTIF(Data!$A$2:$A26,Data!A26)&gt;1</f>
        <v/>
      </c>
    </row>
    <row r="27">
      <c r="A27">
        <f>Data!A27</f>
        <v/>
      </c>
      <c r="B27">
        <f>IF(OR(Data!B27="Brandon",Data!B27="Brandon AAC",Data!B27="Brndon"),"AAC Brandon",Data!B27)</f>
        <v/>
      </c>
      <c r="C27" s="3">
        <f>DATEVALUE(Data!C27)</f>
        <v/>
      </c>
      <c r="D27">
        <f>IF(OR(Data!D27=-99,Data!D27&lt;0,Data!D27&gt;200),"",Data!D27)</f>
        <v/>
      </c>
      <c r="E27">
        <f>VALUE(SUBSTITUTE(Data!E27," t",""))</f>
        <v/>
      </c>
      <c r="F27">
        <f>IF(Data!F27&lt;1,Data!F27*1000,Data!F27)</f>
        <v/>
      </c>
      <c r="G27">
        <f>IF(OR(Data!G27="N/A",Data!G27="missing",Data!G27="",Data!G27=9999),"",Data!G27)</f>
        <v/>
      </c>
      <c r="H27">
        <f>COUNTIF(Data!$A$2:$A27,Data!A27)&gt;1</f>
        <v/>
      </c>
    </row>
    <row r="28">
      <c r="A28">
        <f>Data!A28</f>
        <v/>
      </c>
      <c r="B28">
        <f>IF(OR(Data!B28="Brandon",Data!B28="Brandon AAC",Data!B28="Brndon"),"AAC Brandon",Data!B28)</f>
        <v/>
      </c>
      <c r="C28" s="3">
        <f>DATEVALUE(Data!C28)</f>
        <v/>
      </c>
      <c r="D28">
        <f>IF(OR(Data!D28=-99,Data!D28&lt;0,Data!D28&gt;200),"",Data!D28)</f>
        <v/>
      </c>
      <c r="E28">
        <f>VALUE(SUBSTITUTE(Data!E28," t",""))</f>
        <v/>
      </c>
      <c r="F28">
        <f>IF(Data!F28&lt;1,Data!F28*1000,Data!F28)</f>
        <v/>
      </c>
      <c r="G28">
        <f>IF(OR(Data!G28="N/A",Data!G28="missing",Data!G28="",Data!G28=9999),"",Data!G28)</f>
        <v/>
      </c>
      <c r="H28">
        <f>COUNTIF(Data!$A$2:$A28,Data!A28)&gt;1</f>
        <v/>
      </c>
    </row>
    <row r="29">
      <c r="A29">
        <f>Data!A29</f>
        <v/>
      </c>
      <c r="B29">
        <f>IF(OR(Data!B29="Brandon",Data!B29="Brandon AAC",Data!B29="Brndon"),"AAC Brandon",Data!B29)</f>
        <v/>
      </c>
      <c r="C29" s="3">
        <f>DATEVALUE(Data!C29)</f>
        <v/>
      </c>
      <c r="D29">
        <f>IF(OR(Data!D29=-99,Data!D29&lt;0,Data!D29&gt;200),"",Data!D29)</f>
        <v/>
      </c>
      <c r="E29">
        <f>VALUE(SUBSTITUTE(Data!E29," t",""))</f>
        <v/>
      </c>
      <c r="F29">
        <f>IF(Data!F29&lt;1,Data!F29*1000,Data!F29)</f>
        <v/>
      </c>
      <c r="G29">
        <f>IF(OR(Data!G29="N/A",Data!G29="missing",Data!G29="",Data!G29=9999),"",Data!G29)</f>
        <v/>
      </c>
      <c r="H29">
        <f>COUNTIF(Data!$A$2:$A29,Data!A29)&gt;1</f>
        <v/>
      </c>
    </row>
    <row r="30">
      <c r="A30">
        <f>Data!A30</f>
        <v/>
      </c>
      <c r="B30">
        <f>IF(OR(Data!B30="Brandon",Data!B30="Brandon AAC",Data!B30="Brndon"),"AAC Brandon",Data!B30)</f>
        <v/>
      </c>
      <c r="C30" s="3">
        <f>DATEVALUE(Data!C30)</f>
        <v/>
      </c>
      <c r="D30">
        <f>IF(OR(Data!D30=-99,Data!D30&lt;0,Data!D30&gt;200),"",Data!D30)</f>
        <v/>
      </c>
      <c r="E30">
        <f>VALUE(SUBSTITUTE(Data!E30," t",""))</f>
        <v/>
      </c>
      <c r="F30">
        <f>IF(Data!F30&lt;1,Data!F30*1000,Data!F30)</f>
        <v/>
      </c>
      <c r="G30">
        <f>IF(OR(Data!G30="N/A",Data!G30="missing",Data!G30="",Data!G30=9999),"",Data!G30)</f>
        <v/>
      </c>
      <c r="H30">
        <f>COUNTIF(Data!$A$2:$A30,Data!A30)&gt;1</f>
        <v/>
      </c>
    </row>
    <row r="31">
      <c r="A31">
        <f>Data!A31</f>
        <v/>
      </c>
      <c r="B31">
        <f>IF(OR(Data!B31="Brandon",Data!B31="Brandon AAC",Data!B31="Brndon"),"AAC Brandon",Data!B31)</f>
        <v/>
      </c>
      <c r="C31" s="3">
        <f>DATEVALUE(Data!C31)</f>
        <v/>
      </c>
      <c r="D31">
        <f>IF(OR(Data!D31=-99,Data!D31&lt;0,Data!D31&gt;200),"",Data!D31)</f>
        <v/>
      </c>
      <c r="E31">
        <f>VALUE(SUBSTITUTE(Data!E31," t",""))</f>
        <v/>
      </c>
      <c r="F31">
        <f>IF(Data!F31&lt;1,Data!F31*1000,Data!F31)</f>
        <v/>
      </c>
      <c r="G31">
        <f>IF(OR(Data!G31="N/A",Data!G31="missing",Data!G31="",Data!G31=9999),"",Data!G31)</f>
        <v/>
      </c>
      <c r="H31">
        <f>COUNTIF(Data!$A$2:$A31,Data!A31)&gt;1</f>
        <v/>
      </c>
    </row>
    <row r="32">
      <c r="A32">
        <f>Data!A32</f>
        <v/>
      </c>
      <c r="B32">
        <f>IF(OR(Data!B32="Brandon",Data!B32="Brandon AAC",Data!B32="Brndon"),"AAC Brandon",Data!B32)</f>
        <v/>
      </c>
      <c r="C32" s="3">
        <f>DATEVALUE(Data!C32)</f>
        <v/>
      </c>
      <c r="D32">
        <f>IF(OR(Data!D32=-99,Data!D32&lt;0,Data!D32&gt;200),"",Data!D32)</f>
        <v/>
      </c>
      <c r="E32">
        <f>VALUE(SUBSTITUTE(Data!E32," t",""))</f>
        <v/>
      </c>
      <c r="F32">
        <f>IF(Data!F32&lt;1,Data!F32*1000,Data!F32)</f>
        <v/>
      </c>
      <c r="G32">
        <f>IF(OR(Data!G32="N/A",Data!G32="missing",Data!G32="",Data!G32=9999),"",Data!G32)</f>
        <v/>
      </c>
      <c r="H32">
        <f>COUNTIF(Data!$A$2:$A32,Data!A32)&gt;1</f>
        <v/>
      </c>
    </row>
    <row r="33">
      <c r="A33">
        <f>Data!A33</f>
        <v/>
      </c>
      <c r="B33">
        <f>IF(OR(Data!B33="Brandon",Data!B33="Brandon AAC",Data!B33="Brndon"),"AAC Brandon",Data!B33)</f>
        <v/>
      </c>
      <c r="C33" s="3">
        <f>DATEVALUE(Data!C33)</f>
        <v/>
      </c>
      <c r="D33">
        <f>IF(OR(Data!D33=-99,Data!D33&lt;0,Data!D33&gt;200),"",Data!D33)</f>
        <v/>
      </c>
      <c r="E33">
        <f>VALUE(SUBSTITUTE(Data!E33," t",""))</f>
        <v/>
      </c>
      <c r="F33">
        <f>IF(Data!F33&lt;1,Data!F33*1000,Data!F33)</f>
        <v/>
      </c>
      <c r="G33">
        <f>IF(OR(Data!G33="N/A",Data!G33="missing",Data!G33="",Data!G33=9999),"",Data!G33)</f>
        <v/>
      </c>
      <c r="H33">
        <f>COUNTIF(Data!$A$2:$A33,Data!A33)&gt;1</f>
        <v/>
      </c>
    </row>
    <row r="34">
      <c r="A34">
        <f>Data!A34</f>
        <v/>
      </c>
      <c r="B34">
        <f>IF(OR(Data!B34="Brandon",Data!B34="Brandon AAC",Data!B34="Brndon"),"AAC Brandon",Data!B34)</f>
        <v/>
      </c>
      <c r="C34" s="3">
        <f>DATEVALUE(Data!C34)</f>
        <v/>
      </c>
      <c r="D34">
        <f>IF(OR(Data!D34=-99,Data!D34&lt;0,Data!D34&gt;200),"",Data!D34)</f>
        <v/>
      </c>
      <c r="E34">
        <f>VALUE(SUBSTITUTE(Data!E34," t",""))</f>
        <v/>
      </c>
      <c r="F34">
        <f>IF(Data!F34&lt;1,Data!F34*1000,Data!F34)</f>
        <v/>
      </c>
      <c r="G34">
        <f>IF(OR(Data!G34="N/A",Data!G34="missing",Data!G34="",Data!G34=9999),"",Data!G34)</f>
        <v/>
      </c>
      <c r="H34">
        <f>COUNTIF(Data!$A$2:$A34,Data!A34)&gt;1</f>
        <v/>
      </c>
    </row>
    <row r="35">
      <c r="A35">
        <f>Data!A35</f>
        <v/>
      </c>
      <c r="B35">
        <f>IF(OR(Data!B35="Brandon",Data!B35="Brandon AAC",Data!B35="Brndon"),"AAC Brandon",Data!B35)</f>
        <v/>
      </c>
      <c r="C35" s="3">
        <f>DATEVALUE(Data!C35)</f>
        <v/>
      </c>
      <c r="D35">
        <f>IF(OR(Data!D35=-99,Data!D35&lt;0,Data!D35&gt;200),"",Data!D35)</f>
        <v/>
      </c>
      <c r="E35">
        <f>VALUE(SUBSTITUTE(Data!E35," t",""))</f>
        <v/>
      </c>
      <c r="F35">
        <f>IF(Data!F35&lt;1,Data!F35*1000,Data!F35)</f>
        <v/>
      </c>
      <c r="G35">
        <f>IF(OR(Data!G35="N/A",Data!G35="missing",Data!G35="",Data!G35=9999),"",Data!G35)</f>
        <v/>
      </c>
      <c r="H35">
        <f>COUNTIF(Data!$A$2:$A35,Data!A35)&gt;1</f>
        <v/>
      </c>
    </row>
    <row r="36">
      <c r="A36">
        <f>Data!A36</f>
        <v/>
      </c>
      <c r="B36">
        <f>IF(OR(Data!B36="Brandon",Data!B36="Brandon AAC",Data!B36="Brndon"),"AAC Brandon",Data!B36)</f>
        <v/>
      </c>
      <c r="C36" s="3">
        <f>DATEVALUE(Data!C36)</f>
        <v/>
      </c>
      <c r="D36">
        <f>IF(OR(Data!D36=-99,Data!D36&lt;0,Data!D36&gt;200),"",Data!D36)</f>
        <v/>
      </c>
      <c r="E36">
        <f>VALUE(SUBSTITUTE(Data!E36," t",""))</f>
        <v/>
      </c>
      <c r="F36">
        <f>IF(Data!F36&lt;1,Data!F36*1000,Data!F36)</f>
        <v/>
      </c>
      <c r="G36">
        <f>IF(OR(Data!G36="N/A",Data!G36="missing",Data!G36="",Data!G36=9999),"",Data!G36)</f>
        <v/>
      </c>
      <c r="H36">
        <f>COUNTIF(Data!$A$2:$A36,Data!A36)&gt;1</f>
        <v/>
      </c>
    </row>
    <row r="37">
      <c r="A37">
        <f>Data!A37</f>
        <v/>
      </c>
      <c r="B37">
        <f>IF(OR(Data!B37="Brandon",Data!B37="Brandon AAC",Data!B37="Brndon"),"AAC Brandon",Data!B37)</f>
        <v/>
      </c>
      <c r="C37" s="3">
        <f>DATEVALUE(Data!C37)</f>
        <v/>
      </c>
      <c r="D37">
        <f>IF(OR(Data!D37=-99,Data!D37&lt;0,Data!D37&gt;200),"",Data!D37)</f>
        <v/>
      </c>
      <c r="E37">
        <f>VALUE(SUBSTITUTE(Data!E37," t",""))</f>
        <v/>
      </c>
      <c r="F37">
        <f>IF(Data!F37&lt;1,Data!F37*1000,Data!F37)</f>
        <v/>
      </c>
      <c r="G37">
        <f>IF(OR(Data!G37="N/A",Data!G37="missing",Data!G37="",Data!G37=9999),"",Data!G37)</f>
        <v/>
      </c>
      <c r="H37">
        <f>COUNTIF(Data!$A$2:$A37,Data!A37)&gt;1</f>
        <v/>
      </c>
    </row>
    <row r="38">
      <c r="A38">
        <f>Data!A38</f>
        <v/>
      </c>
      <c r="B38">
        <f>IF(OR(Data!B38="Brandon",Data!B38="Brandon AAC",Data!B38="Brndon"),"AAC Brandon",Data!B38)</f>
        <v/>
      </c>
      <c r="C38" s="3">
        <f>DATEVALUE(Data!C38)</f>
        <v/>
      </c>
      <c r="D38">
        <f>IF(OR(Data!D38=-99,Data!D38&lt;0,Data!D38&gt;200),"",Data!D38)</f>
        <v/>
      </c>
      <c r="E38">
        <f>VALUE(SUBSTITUTE(Data!E38," t",""))</f>
        <v/>
      </c>
      <c r="F38">
        <f>IF(Data!F38&lt;1,Data!F38*1000,Data!F38)</f>
        <v/>
      </c>
      <c r="G38">
        <f>IF(OR(Data!G38="N/A",Data!G38="missing",Data!G38="",Data!G38=9999),"",Data!G38)</f>
        <v/>
      </c>
      <c r="H38">
        <f>COUNTIF(Data!$A$2:$A38,Data!A38)&gt;1</f>
        <v/>
      </c>
    </row>
    <row r="39">
      <c r="A39">
        <f>Data!A39</f>
        <v/>
      </c>
      <c r="B39">
        <f>IF(OR(Data!B39="Brandon",Data!B39="Brandon AAC",Data!B39="Brndon"),"AAC Brandon",Data!B39)</f>
        <v/>
      </c>
      <c r="C39" s="3">
        <f>DATEVALUE(Data!C39)</f>
        <v/>
      </c>
      <c r="D39">
        <f>IF(OR(Data!D39=-99,Data!D39&lt;0,Data!D39&gt;200),"",Data!D39)</f>
        <v/>
      </c>
      <c r="E39">
        <f>VALUE(SUBSTITUTE(Data!E39," t",""))</f>
        <v/>
      </c>
      <c r="F39">
        <f>IF(Data!F39&lt;1,Data!F39*1000,Data!F39)</f>
        <v/>
      </c>
      <c r="G39">
        <f>IF(OR(Data!G39="N/A",Data!G39="missing",Data!G39="",Data!G39=9999),"",Data!G39)</f>
        <v/>
      </c>
      <c r="H39">
        <f>COUNTIF(Data!$A$2:$A39,Data!A39)&gt;1</f>
        <v/>
      </c>
    </row>
    <row r="41">
      <c r="A41" s="1" t="inlineStr">
        <is>
          <t>After cleaning</t>
        </is>
      </c>
    </row>
    <row r="42">
      <c r="A42" t="inlineStr">
        <is>
          <t>Minimum</t>
        </is>
      </c>
      <c r="D42">
        <f>MIN(D2:D39)</f>
        <v/>
      </c>
      <c r="F42">
        <f>MIN(F2:F39)</f>
        <v/>
      </c>
      <c r="G42">
        <f>MIN(G2:G39)</f>
        <v/>
      </c>
    </row>
    <row r="43">
      <c r="A43" t="inlineStr">
        <is>
          <t>Maximum</t>
        </is>
      </c>
      <c r="D43">
        <f>MAX(D2:D39)</f>
        <v/>
      </c>
      <c r="F43">
        <f>MAX(F2:F39)</f>
        <v/>
      </c>
      <c r="G43">
        <f>MAX(G2:G39)</f>
        <v/>
      </c>
    </row>
    <row r="44">
      <c r="A44" t="inlineStr">
        <is>
          <t>Mean</t>
        </is>
      </c>
      <c r="D44">
        <f>AVERAGE(D2:D39)</f>
        <v/>
      </c>
      <c r="F44">
        <f>AVERAGE(F2:F39)</f>
        <v/>
      </c>
      <c r="G44">
        <f>AVERAGE(G2:G39)</f>
        <v/>
      </c>
    </row>
    <row r="45">
      <c r="A45" t="inlineStr">
        <is>
          <t>Median</t>
        </is>
      </c>
      <c r="D45">
        <f>MEDIAN(D2:D39)</f>
        <v/>
      </c>
      <c r="F45">
        <f>MEDIAN(F2:F39)</f>
        <v/>
      </c>
      <c r="G45">
        <f>MEDIAN(G2:G39)</f>
        <v/>
      </c>
    </row>
    <row r="47">
      <c r="A47" s="2" t="inlineStr">
        <is>
          <t>Every cell is a formula pointing at Data, so the cleaning is visible and rerunnable: change the raw sheet and this one follows.</t>
        </is>
      </c>
    </row>
    <row r="48">
      <c r="A48" s="2" t="inlineStr">
        <is>
          <t>variety: the three stray Brandon spellings map to AAC Brandon. seeded_date: DATEVALUE parses all four formats; check a few rows, since month-day order is a guess Excel makes.</t>
        </is>
      </c>
    </row>
    <row r="49">
      <c r="A49" s="2" t="inlineStr">
        <is>
          <t>yield_bu_ac: the -99 code, the negative and the 1250 are blanked, not corrected -- there is nothing defensible to replace them with.</t>
        </is>
      </c>
    </row>
    <row r="50">
      <c r="A50" s="2" t="inlineStr">
        <is>
          <t>weight_t: the text unit is stripped so the column is numeric. n_rate_kg_ha: values below 1 were t/ha and are multiplied by 1000. moisture_pct: the four missing codes are blanked.</t>
        </is>
      </c>
    </row>
    <row r="51">
      <c r="A51" s="2" t="inlineStr">
        <is>
          <t>duplicate_flag: TRUE marks the second appearance of a field ID. Filter on TRUE and delete those rows when saving a final copy.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2026-08-31T21:24:04Z</dcterms:created>
  <dcterms:modified xmlns:dcterms="http://purl.org/dc/terms/" xmlns:xsi="http://www.w3.org/2001/XMLSchema-instance" xsi:type="dcterms:W3CDTF">2026-08-31T21:24:04Z</dcterms:modified>
</cp:coreProperties>
</file>