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Cle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i val="1"/>
      <color rgb="00555555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Checking and cleaning the field records</t>
        </is>
      </c>
    </row>
    <row r="2">
      <c r="A2" t="inlineStr"/>
    </row>
    <row r="3">
      <c r="A3" t="inlineStr">
        <is>
          <t>Source: field_records_messy.csv -- one season of spring wheat field records, constructed to contain the eight data-quality issues from Module 3. Harvest weights are consistent with yield x acres, so the columns can be checked against each other.</t>
        </is>
      </c>
    </row>
    <row r="4">
      <c r="A4" t="inlineStr"/>
    </row>
    <row r="5">
      <c r="A5" s="1" t="inlineStr">
        <is>
          <t>Sheets:</t>
        </is>
      </c>
    </row>
    <row r="6">
      <c r="A6" t="inlineStr">
        <is>
          <t xml:space="preserve">  Data    -- the raw file exactly as imported. Never edited.</t>
        </is>
      </c>
    </row>
    <row r="7">
      <c r="A7" t="inlineStr">
        <is>
          <t xml:space="preserve">  Checks  -- summary statistics, a category count and a duplicate count that expose the issues.</t>
        </is>
      </c>
    </row>
    <row r="8">
      <c r="A8" t="inlineStr">
        <is>
          <t xml:space="preserve">  Clean   -- the cleaned dataset, built entirely with formulas from the Data sheet, so every fix is visible and repeatable.</t>
        </is>
      </c>
    </row>
    <row r="9">
      <c r="A9" t="inlineStr"/>
    </row>
    <row r="10">
      <c r="A10" s="1" t="inlineStr">
        <is>
          <t>The eight issues and where they are handled:</t>
        </is>
      </c>
    </row>
    <row r="11">
      <c r="A11" t="inlineStr">
        <is>
          <t xml:space="preserve">  1. Awkward column names        -- renamed in row 1 of Clean</t>
        </is>
      </c>
    </row>
    <row r="12">
      <c r="A12" t="inlineStr">
        <is>
          <t xml:space="preserve">  2. Text in a numeric column    -- harvest weight unit stripped in Clean column F</t>
        </is>
      </c>
    </row>
    <row r="13">
      <c r="A13" t="inlineStr">
        <is>
          <t xml:space="preserve">  3. Duplicate rows              -- counted on Checks; flagged in Clean column I</t>
        </is>
      </c>
    </row>
    <row r="14">
      <c r="A14" t="inlineStr">
        <is>
          <t xml:space="preserve">  4. Missing-value codes         -- -99, N/A, missing, 9999 blanked in Clean columns E and H</t>
        </is>
      </c>
    </row>
    <row r="15">
      <c r="A15" t="inlineStr">
        <is>
          <t xml:space="preserve">  5. Impossible values           -- the -12 and 1250 yields blanked in Clean column E</t>
        </is>
      </c>
    </row>
    <row r="16">
      <c r="A16" t="inlineStr">
        <is>
          <t xml:space="preserve">  6. Mixed units                 -- N rates below 1 converted from t/ha to kg/ha in Clean column G</t>
        </is>
      </c>
    </row>
    <row r="17">
      <c r="A17" t="inlineStr">
        <is>
          <t xml:space="preserve">  7. Inconsistent categories     -- four Brandon spellings unified in Clean column B</t>
        </is>
      </c>
    </row>
    <row r="18">
      <c r="A18" t="inlineStr">
        <is>
          <t xml:space="preserve">  8. Mixed date formats          -- parsed to real dates in Clean column 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8" customWidth="1" min="4" max="4"/>
    <col width="13" customWidth="1" min="5" max="5"/>
    <col width="14" customWidth="1" min="6" max="6"/>
    <col width="9" customWidth="1" min="7" max="7"/>
    <col width="11" customWidth="1" min="8" max="8"/>
  </cols>
  <sheetData>
    <row r="1">
      <c r="A1" s="1" t="inlineStr">
        <is>
          <t>Field ID</t>
        </is>
      </c>
      <c r="B1" s="1" t="inlineStr">
        <is>
          <t>VARIETY_NAME</t>
        </is>
      </c>
      <c r="C1" s="1" t="inlineStr">
        <is>
          <t>SeededDate</t>
        </is>
      </c>
      <c r="D1" s="1" t="inlineStr">
        <is>
          <t>Acres</t>
        </is>
      </c>
      <c r="E1" s="1" t="inlineStr">
        <is>
          <t>Yield (bu/ac)</t>
        </is>
      </c>
      <c r="F1" s="1" t="inlineStr">
        <is>
          <t>harvest weight</t>
        </is>
      </c>
      <c r="G1" s="1" t="inlineStr">
        <is>
          <t>N rate</t>
        </is>
      </c>
      <c r="H1" s="1" t="inlineStr">
        <is>
          <t>Moisture %</t>
        </is>
      </c>
    </row>
    <row r="2">
      <c r="A2" t="inlineStr">
        <is>
          <t>F001</t>
        </is>
      </c>
      <c r="B2" t="inlineStr">
        <is>
          <t>AAC Viewfield</t>
        </is>
      </c>
      <c r="C2" t="inlineStr">
        <is>
          <t>06-01-2026</t>
        </is>
      </c>
      <c r="D2" t="n">
        <v>160</v>
      </c>
      <c r="E2" t="n">
        <v>67.59999999999999</v>
      </c>
      <c r="F2" t="inlineStr">
        <is>
          <t>297.7 t</t>
        </is>
      </c>
      <c r="G2" t="n">
        <v>97.09999999999999</v>
      </c>
      <c r="H2" t="n">
        <v>12.4</v>
      </c>
    </row>
    <row r="3">
      <c r="A3" t="inlineStr">
        <is>
          <t>F002</t>
        </is>
      </c>
      <c r="B3" t="inlineStr">
        <is>
          <t>Brandon</t>
        </is>
      </c>
      <c r="C3" t="inlineStr">
        <is>
          <t>2026-05-13</t>
        </is>
      </c>
      <c r="D3" t="n">
        <v>320</v>
      </c>
      <c r="E3" t="n">
        <v>54.9</v>
      </c>
      <c r="F3" t="inlineStr">
        <is>
          <t>476.0 t</t>
        </is>
      </c>
      <c r="G3" t="n">
        <v>96.2</v>
      </c>
      <c r="H3" t="n">
        <v>14.7</v>
      </c>
    </row>
    <row r="4">
      <c r="A4" t="inlineStr">
        <is>
          <t>F003</t>
        </is>
      </c>
      <c r="B4" t="inlineStr">
        <is>
          <t>CDC Landmark</t>
        </is>
      </c>
      <c r="C4" t="inlineStr">
        <is>
          <t>2026/06/04</t>
        </is>
      </c>
      <c r="D4" t="n">
        <v>120</v>
      </c>
      <c r="E4" t="n">
        <v>54.4</v>
      </c>
      <c r="F4" t="inlineStr">
        <is>
          <t>172.6 t</t>
        </is>
      </c>
      <c r="G4" t="n">
        <v>0.081</v>
      </c>
      <c r="H4" t="n">
        <v>12.3</v>
      </c>
    </row>
    <row r="5">
      <c r="A5" t="inlineStr">
        <is>
          <t>F004</t>
        </is>
      </c>
      <c r="B5" t="inlineStr">
        <is>
          <t>Brandon AAC</t>
        </is>
      </c>
      <c r="C5" t="inlineStr">
        <is>
          <t>Jun-18-2026</t>
        </is>
      </c>
      <c r="D5" t="n">
        <v>320</v>
      </c>
      <c r="E5" t="n">
        <v>-99</v>
      </c>
      <c r="F5" t="inlineStr">
        <is>
          <t>642.5 t</t>
        </is>
      </c>
      <c r="G5" t="n">
        <v>116.7</v>
      </c>
      <c r="H5" t="n">
        <v>15.4</v>
      </c>
    </row>
    <row r="6">
      <c r="A6" t="inlineStr">
        <is>
          <t>F005</t>
        </is>
      </c>
      <c r="B6" t="inlineStr">
        <is>
          <t>CDC Landmark</t>
        </is>
      </c>
      <c r="C6" t="inlineStr">
        <is>
          <t>06-06-2026</t>
        </is>
      </c>
      <c r="D6" t="n">
        <v>320</v>
      </c>
      <c r="E6" t="n">
        <v>65.8</v>
      </c>
      <c r="F6" t="inlineStr">
        <is>
          <t>561.5 t</t>
        </is>
      </c>
      <c r="G6" t="n">
        <v>89.90000000000001</v>
      </c>
      <c r="H6" t="n">
        <v>12.3</v>
      </c>
    </row>
    <row r="7">
      <c r="A7" t="inlineStr">
        <is>
          <t>F006</t>
        </is>
      </c>
      <c r="B7" t="inlineStr">
        <is>
          <t>Brndon</t>
        </is>
      </c>
      <c r="C7" t="inlineStr">
        <is>
          <t>2026-05-24</t>
        </is>
      </c>
      <c r="D7" t="n">
        <v>160</v>
      </c>
      <c r="E7" t="n">
        <v>50.8</v>
      </c>
      <c r="F7" t="inlineStr">
        <is>
          <t>222.8 t</t>
        </is>
      </c>
      <c r="G7" t="n">
        <v>0.113</v>
      </c>
      <c r="H7" t="inlineStr">
        <is>
          <t>N/A</t>
        </is>
      </c>
    </row>
    <row r="8">
      <c r="A8" t="inlineStr">
        <is>
          <t>F007</t>
        </is>
      </c>
      <c r="B8" t="inlineStr">
        <is>
          <t>AAC Viewfield</t>
        </is>
      </c>
      <c r="C8" t="inlineStr">
        <is>
          <t>2026/06/07</t>
        </is>
      </c>
      <c r="D8" t="n">
        <v>80</v>
      </c>
      <c r="E8" t="n">
        <v>-12</v>
      </c>
      <c r="F8" t="inlineStr">
        <is>
          <t>138.6 t</t>
        </is>
      </c>
      <c r="G8" t="n">
        <v>135.9</v>
      </c>
      <c r="H8" t="n">
        <v>14.5</v>
      </c>
    </row>
    <row r="9">
      <c r="A9" t="inlineStr">
        <is>
          <t>F008</t>
        </is>
      </c>
      <c r="B9" t="inlineStr">
        <is>
          <t>AAC Brandon</t>
        </is>
      </c>
      <c r="C9" t="inlineStr">
        <is>
          <t>May-18-2026</t>
        </is>
      </c>
      <c r="D9" t="n">
        <v>160</v>
      </c>
      <c r="E9" t="n">
        <v>60.3</v>
      </c>
      <c r="F9" t="inlineStr">
        <is>
          <t>264.0 t</t>
        </is>
      </c>
      <c r="G9" t="n">
        <v>127.3</v>
      </c>
      <c r="H9" t="n">
        <v>12.4</v>
      </c>
    </row>
    <row r="10">
      <c r="A10" t="inlineStr">
        <is>
          <t>F009</t>
        </is>
      </c>
      <c r="B10" t="inlineStr">
        <is>
          <t>CDC Landmark</t>
        </is>
      </c>
      <c r="C10" t="inlineStr">
        <is>
          <t>05-20-2026</t>
        </is>
      </c>
      <c r="D10" t="n">
        <v>160</v>
      </c>
      <c r="E10" t="n">
        <v>51.5</v>
      </c>
      <c r="F10" t="inlineStr">
        <is>
          <t>226.5 t</t>
        </is>
      </c>
      <c r="G10" t="n">
        <v>0.081</v>
      </c>
      <c r="H10" t="n">
        <v>13.7</v>
      </c>
    </row>
    <row r="11">
      <c r="A11" t="inlineStr">
        <is>
          <t>F010</t>
        </is>
      </c>
      <c r="B11" t="inlineStr">
        <is>
          <t>Brandon</t>
        </is>
      </c>
      <c r="C11" t="inlineStr">
        <is>
          <t>2026-05-19</t>
        </is>
      </c>
      <c r="D11" t="n">
        <v>160</v>
      </c>
      <c r="E11" t="n">
        <v>58.9</v>
      </c>
      <c r="F11" t="inlineStr">
        <is>
          <t>256.6 t</t>
        </is>
      </c>
      <c r="G11" t="n">
        <v>92.40000000000001</v>
      </c>
      <c r="H11" t="n">
        <v>16.4</v>
      </c>
    </row>
    <row r="12">
      <c r="A12" t="inlineStr">
        <is>
          <t>F011</t>
        </is>
      </c>
      <c r="B12" t="inlineStr">
        <is>
          <t>CDC Landmark</t>
        </is>
      </c>
      <c r="C12" t="inlineStr">
        <is>
          <t>2026/05/18</t>
        </is>
      </c>
      <c r="D12" t="n">
        <v>320</v>
      </c>
      <c r="E12" t="n">
        <v>54.4</v>
      </c>
      <c r="F12" t="inlineStr">
        <is>
          <t>481.3 t</t>
        </is>
      </c>
      <c r="G12" t="n">
        <v>82.90000000000001</v>
      </c>
      <c r="H12" t="n">
        <v>12</v>
      </c>
    </row>
    <row r="13">
      <c r="A13" t="inlineStr">
        <is>
          <t>F012</t>
        </is>
      </c>
      <c r="B13" t="inlineStr">
        <is>
          <t>Brandon AAC</t>
        </is>
      </c>
      <c r="C13" t="inlineStr">
        <is>
          <t>May-17-2026</t>
        </is>
      </c>
      <c r="D13" t="n">
        <v>240</v>
      </c>
      <c r="E13" t="n">
        <v>62</v>
      </c>
      <c r="F13" t="inlineStr">
        <is>
          <t>402.2 t</t>
        </is>
      </c>
      <c r="G13" t="n">
        <v>0.103</v>
      </c>
      <c r="H13" t="n">
        <v>13.5</v>
      </c>
    </row>
    <row r="14">
      <c r="A14" t="inlineStr">
        <is>
          <t>F013</t>
        </is>
      </c>
      <c r="B14" t="inlineStr">
        <is>
          <t>AAC Viewfield</t>
        </is>
      </c>
      <c r="C14" t="inlineStr">
        <is>
          <t>05-18-2026</t>
        </is>
      </c>
      <c r="D14" t="n">
        <v>240</v>
      </c>
      <c r="E14" t="n">
        <v>41.5</v>
      </c>
      <c r="F14" t="inlineStr">
        <is>
          <t>269.8 t</t>
        </is>
      </c>
      <c r="G14" t="n">
        <v>82.7</v>
      </c>
      <c r="H14" t="n">
        <v>16.5</v>
      </c>
    </row>
    <row r="15">
      <c r="A15" t="inlineStr">
        <is>
          <t>F014</t>
        </is>
      </c>
      <c r="B15" t="inlineStr">
        <is>
          <t>Brndon</t>
        </is>
      </c>
      <c r="C15" t="inlineStr">
        <is>
          <t>2026-05-20</t>
        </is>
      </c>
      <c r="D15" t="n">
        <v>160</v>
      </c>
      <c r="E15" t="n">
        <v>57.8</v>
      </c>
      <c r="F15" t="inlineStr">
        <is>
          <t>249.6 t</t>
        </is>
      </c>
      <c r="G15" t="n">
        <v>134</v>
      </c>
      <c r="H15" t="inlineStr">
        <is>
          <t>missing</t>
        </is>
      </c>
    </row>
    <row r="16">
      <c r="A16" t="inlineStr">
        <is>
          <t>F015</t>
        </is>
      </c>
      <c r="B16" t="inlineStr">
        <is>
          <t>CDC Landmark</t>
        </is>
      </c>
      <c r="C16" t="inlineStr">
        <is>
          <t>2026/05/15</t>
        </is>
      </c>
      <c r="D16" t="n">
        <v>160</v>
      </c>
      <c r="E16" t="n">
        <v>54.7</v>
      </c>
      <c r="F16" t="inlineStr">
        <is>
          <t>234.9 t</t>
        </is>
      </c>
      <c r="G16" t="n">
        <v>0.106</v>
      </c>
      <c r="H16" t="n">
        <v>11.6</v>
      </c>
    </row>
    <row r="17">
      <c r="A17" t="inlineStr">
        <is>
          <t>F016</t>
        </is>
      </c>
      <c r="B17" t="inlineStr">
        <is>
          <t>AAC Brandon</t>
        </is>
      </c>
      <c r="C17" t="inlineStr">
        <is>
          <t>May-17-2026</t>
        </is>
      </c>
      <c r="D17" t="n">
        <v>160</v>
      </c>
      <c r="E17" t="n">
        <v>52.9</v>
      </c>
      <c r="F17" t="inlineStr">
        <is>
          <t>225.5 t</t>
        </is>
      </c>
      <c r="G17" t="n">
        <v>128.5</v>
      </c>
      <c r="H17" t="n">
        <v>13</v>
      </c>
    </row>
    <row r="18">
      <c r="A18" t="inlineStr">
        <is>
          <t>F017</t>
        </is>
      </c>
      <c r="B18" t="inlineStr">
        <is>
          <t>CDC Landmark</t>
        </is>
      </c>
      <c r="C18" t="inlineStr">
        <is>
          <t>05-15-2026</t>
        </is>
      </c>
      <c r="D18" t="n">
        <v>240</v>
      </c>
      <c r="E18" t="n">
        <v>63</v>
      </c>
      <c r="F18" t="inlineStr">
        <is>
          <t>418.7 t</t>
        </is>
      </c>
      <c r="G18" t="n">
        <v>85.40000000000001</v>
      </c>
      <c r="H18" t="n">
        <v>15.5</v>
      </c>
    </row>
    <row r="19">
      <c r="A19" t="inlineStr">
        <is>
          <t>F018</t>
        </is>
      </c>
      <c r="B19" t="inlineStr">
        <is>
          <t>Brandon</t>
        </is>
      </c>
      <c r="C19" t="inlineStr">
        <is>
          <t>2026-06-27</t>
        </is>
      </c>
      <c r="D19" t="n">
        <v>160</v>
      </c>
      <c r="E19" t="n">
        <v>63.6</v>
      </c>
      <c r="F19" t="inlineStr">
        <is>
          <t>283.2 t</t>
        </is>
      </c>
      <c r="G19" t="n">
        <v>0.112</v>
      </c>
      <c r="H19" t="n">
        <v>15.7</v>
      </c>
    </row>
    <row r="20">
      <c r="A20" t="inlineStr">
        <is>
          <t>F019</t>
        </is>
      </c>
      <c r="B20" t="inlineStr">
        <is>
          <t>AAC Viewfield</t>
        </is>
      </c>
      <c r="C20" t="inlineStr">
        <is>
          <t>2026/05/15</t>
        </is>
      </c>
      <c r="D20" t="n">
        <v>120</v>
      </c>
      <c r="E20" t="n">
        <v>1250</v>
      </c>
      <c r="F20" t="inlineStr">
        <is>
          <t>177.8 t</t>
        </is>
      </c>
      <c r="G20" t="n">
        <v>104.1</v>
      </c>
      <c r="H20" t="n">
        <v>12.6</v>
      </c>
    </row>
    <row r="21">
      <c r="A21" t="inlineStr">
        <is>
          <t>F020</t>
        </is>
      </c>
      <c r="B21" t="inlineStr">
        <is>
          <t>Brandon AAC</t>
        </is>
      </c>
      <c r="C21" t="inlineStr">
        <is>
          <t>Jun-11-2026</t>
        </is>
      </c>
      <c r="D21" t="n">
        <v>160</v>
      </c>
      <c r="E21" t="n">
        <v>76.59999999999999</v>
      </c>
      <c r="F21" t="inlineStr">
        <is>
          <t>323.9 t</t>
        </is>
      </c>
      <c r="G21" t="n">
        <v>84.7</v>
      </c>
      <c r="H21" t="n">
        <v>13.1</v>
      </c>
    </row>
    <row r="22">
      <c r="A22" t="inlineStr">
        <is>
          <t>F021</t>
        </is>
      </c>
      <c r="B22" t="inlineStr">
        <is>
          <t>CDC Landmark</t>
        </is>
      </c>
      <c r="C22" t="inlineStr">
        <is>
          <t>06-10-2026</t>
        </is>
      </c>
      <c r="D22" t="n">
        <v>240</v>
      </c>
      <c r="E22" t="n">
        <v>65.09999999999999</v>
      </c>
      <c r="F22" t="inlineStr">
        <is>
          <t>431.7 t</t>
        </is>
      </c>
      <c r="G22" t="n">
        <v>0.129</v>
      </c>
      <c r="H22" t="n">
        <v>15.4</v>
      </c>
    </row>
    <row r="23">
      <c r="A23" t="inlineStr">
        <is>
          <t>F022</t>
        </is>
      </c>
      <c r="B23" t="inlineStr">
        <is>
          <t>Brndon</t>
        </is>
      </c>
      <c r="C23" t="inlineStr">
        <is>
          <t>2026-05-02</t>
        </is>
      </c>
      <c r="D23" t="n">
        <v>320</v>
      </c>
      <c r="E23" t="n">
        <v>57.5</v>
      </c>
      <c r="F23" t="inlineStr">
        <is>
          <t>492.0 t</t>
        </is>
      </c>
      <c r="G23" t="n">
        <v>96.8</v>
      </c>
      <c r="H23" t="inlineStr"/>
    </row>
    <row r="24">
      <c r="A24" t="inlineStr">
        <is>
          <t>F023</t>
        </is>
      </c>
      <c r="B24" t="inlineStr">
        <is>
          <t>CDC Landmark</t>
        </is>
      </c>
      <c r="C24" t="inlineStr">
        <is>
          <t>2026/05/09</t>
        </is>
      </c>
      <c r="D24" t="n">
        <v>240</v>
      </c>
      <c r="E24" t="n">
        <v>-99</v>
      </c>
      <c r="F24" t="inlineStr">
        <is>
          <t>365.8 t</t>
        </is>
      </c>
      <c r="G24" t="n">
        <v>87.2</v>
      </c>
      <c r="H24" t="n">
        <v>16</v>
      </c>
    </row>
    <row r="25">
      <c r="A25" t="inlineStr">
        <is>
          <t>F024</t>
        </is>
      </c>
      <c r="B25" t="inlineStr">
        <is>
          <t>AAC Brandon</t>
        </is>
      </c>
      <c r="C25" t="inlineStr">
        <is>
          <t>Jun-26-2026</t>
        </is>
      </c>
      <c r="D25" t="n">
        <v>120</v>
      </c>
      <c r="E25" t="n">
        <v>46.5</v>
      </c>
      <c r="F25" t="inlineStr">
        <is>
          <t>150.5 t</t>
        </is>
      </c>
      <c r="G25" t="n">
        <v>0.124</v>
      </c>
      <c r="H25" t="n">
        <v>15.3</v>
      </c>
    </row>
    <row r="26">
      <c r="A26" t="inlineStr">
        <is>
          <t>F025</t>
        </is>
      </c>
      <c r="B26" t="inlineStr">
        <is>
          <t>AAC Viewfield</t>
        </is>
      </c>
      <c r="C26" t="inlineStr">
        <is>
          <t>06-10-2026</t>
        </is>
      </c>
      <c r="D26" t="n">
        <v>160</v>
      </c>
      <c r="E26" t="n">
        <v>51.7</v>
      </c>
      <c r="F26" t="inlineStr">
        <is>
          <t>226.1 t</t>
        </is>
      </c>
      <c r="G26" t="n">
        <v>100.8</v>
      </c>
      <c r="H26" t="n">
        <v>11.6</v>
      </c>
    </row>
    <row r="27">
      <c r="A27" t="inlineStr">
        <is>
          <t>F026</t>
        </is>
      </c>
      <c r="B27" t="inlineStr">
        <is>
          <t>Brandon</t>
        </is>
      </c>
      <c r="C27" t="inlineStr">
        <is>
          <t>2026-05-23</t>
        </is>
      </c>
      <c r="D27" t="n">
        <v>160</v>
      </c>
      <c r="E27" t="n">
        <v>59.1</v>
      </c>
      <c r="F27" t="inlineStr">
        <is>
          <t>252.7 t</t>
        </is>
      </c>
      <c r="G27" t="n">
        <v>132.9</v>
      </c>
      <c r="H27" t="n">
        <v>15.7</v>
      </c>
    </row>
    <row r="28">
      <c r="A28" t="inlineStr">
        <is>
          <t>F027</t>
        </is>
      </c>
      <c r="B28" t="inlineStr">
        <is>
          <t>CDC Landmark</t>
        </is>
      </c>
      <c r="C28" t="inlineStr">
        <is>
          <t>2026/05/15</t>
        </is>
      </c>
      <c r="D28" t="n">
        <v>80</v>
      </c>
      <c r="E28" t="n">
        <v>54</v>
      </c>
      <c r="F28" t="inlineStr">
        <is>
          <t>120.3 t</t>
        </is>
      </c>
      <c r="G28" t="n">
        <v>0.13</v>
      </c>
      <c r="H28" t="n">
        <v>12.2</v>
      </c>
    </row>
    <row r="29">
      <c r="A29" t="inlineStr">
        <is>
          <t>F028</t>
        </is>
      </c>
      <c r="B29" t="inlineStr">
        <is>
          <t>Brandon AAC</t>
        </is>
      </c>
      <c r="C29" t="inlineStr">
        <is>
          <t>May-22-2026</t>
        </is>
      </c>
      <c r="D29" t="n">
        <v>160</v>
      </c>
      <c r="E29" t="n">
        <v>43.3</v>
      </c>
      <c r="F29" t="inlineStr">
        <is>
          <t>191.4 t</t>
        </is>
      </c>
      <c r="G29" t="n">
        <v>103.9</v>
      </c>
      <c r="H29" t="n">
        <v>15</v>
      </c>
    </row>
    <row r="30">
      <c r="A30" t="inlineStr">
        <is>
          <t>F029</t>
        </is>
      </c>
      <c r="B30" t="inlineStr">
        <is>
          <t>CDC Landmark</t>
        </is>
      </c>
      <c r="C30" t="inlineStr">
        <is>
          <t>05-04-2026</t>
        </is>
      </c>
      <c r="D30" t="n">
        <v>160</v>
      </c>
      <c r="E30" t="n">
        <v>63.3</v>
      </c>
      <c r="F30" t="inlineStr">
        <is>
          <t>268.5 t</t>
        </is>
      </c>
      <c r="G30" t="n">
        <v>106.3</v>
      </c>
      <c r="H30" t="n">
        <v>15.7</v>
      </c>
    </row>
    <row r="31">
      <c r="A31" t="inlineStr">
        <is>
          <t>F030</t>
        </is>
      </c>
      <c r="B31" t="inlineStr">
        <is>
          <t>Brndon</t>
        </is>
      </c>
      <c r="C31" t="inlineStr">
        <is>
          <t>2026-05-11</t>
        </is>
      </c>
      <c r="D31" t="n">
        <v>160</v>
      </c>
      <c r="E31" t="n">
        <v>53.2</v>
      </c>
      <c r="F31" t="inlineStr">
        <is>
          <t>237.8 t</t>
        </is>
      </c>
      <c r="G31" t="n">
        <v>0.092</v>
      </c>
      <c r="H31" t="n">
        <v>9999</v>
      </c>
    </row>
    <row r="32">
      <c r="A32" t="inlineStr">
        <is>
          <t>F031</t>
        </is>
      </c>
      <c r="B32" t="inlineStr">
        <is>
          <t>AAC Viewfield</t>
        </is>
      </c>
      <c r="C32" t="inlineStr">
        <is>
          <t>2026/05/21</t>
        </is>
      </c>
      <c r="D32" t="n">
        <v>120</v>
      </c>
      <c r="E32" t="n">
        <v>-99</v>
      </c>
      <c r="F32" t="inlineStr">
        <is>
          <t>189.5 t</t>
        </is>
      </c>
      <c r="G32" t="n">
        <v>123.2</v>
      </c>
      <c r="H32" t="n">
        <v>16</v>
      </c>
    </row>
    <row r="33">
      <c r="A33" t="inlineStr">
        <is>
          <t>F032</t>
        </is>
      </c>
      <c r="B33" t="inlineStr">
        <is>
          <t>AAC Brandon</t>
        </is>
      </c>
      <c r="C33" t="inlineStr">
        <is>
          <t>May-15-2026</t>
        </is>
      </c>
      <c r="D33" t="n">
        <v>120</v>
      </c>
      <c r="E33" t="n">
        <v>60.1</v>
      </c>
      <c r="F33" t="inlineStr">
        <is>
          <t>195.9 t</t>
        </is>
      </c>
      <c r="G33" t="n">
        <v>100.1</v>
      </c>
      <c r="H33" t="n">
        <v>15.4</v>
      </c>
    </row>
    <row r="34">
      <c r="A34" t="inlineStr">
        <is>
          <t>F033</t>
        </is>
      </c>
      <c r="B34" t="inlineStr">
        <is>
          <t>CDC Landmark</t>
        </is>
      </c>
      <c r="C34" t="inlineStr">
        <is>
          <t>05-15-2026</t>
        </is>
      </c>
      <c r="D34" t="n">
        <v>240</v>
      </c>
      <c r="E34" t="n">
        <v>58.6</v>
      </c>
      <c r="F34" t="inlineStr">
        <is>
          <t>386.2 t</t>
        </is>
      </c>
      <c r="G34" t="n">
        <v>0.08</v>
      </c>
      <c r="H34" t="n">
        <v>15.4</v>
      </c>
    </row>
    <row r="35">
      <c r="A35" t="inlineStr">
        <is>
          <t>F034</t>
        </is>
      </c>
      <c r="B35" t="inlineStr">
        <is>
          <t>Brandon</t>
        </is>
      </c>
      <c r="C35" t="inlineStr">
        <is>
          <t>2026-06-01</t>
        </is>
      </c>
      <c r="D35" t="n">
        <v>120</v>
      </c>
      <c r="E35" t="n">
        <v>56.8</v>
      </c>
      <c r="F35" t="inlineStr">
        <is>
          <t>185.9 t</t>
        </is>
      </c>
      <c r="G35" t="n">
        <v>131.3</v>
      </c>
      <c r="H35" t="n">
        <v>14.7</v>
      </c>
    </row>
    <row r="36">
      <c r="A36" t="inlineStr">
        <is>
          <t>F035</t>
        </is>
      </c>
      <c r="B36" t="inlineStr">
        <is>
          <t>CDC Landmark</t>
        </is>
      </c>
      <c r="C36" t="inlineStr">
        <is>
          <t>2026/05/18</t>
        </is>
      </c>
      <c r="D36" t="n">
        <v>160</v>
      </c>
      <c r="E36" t="n">
        <v>50.1</v>
      </c>
      <c r="F36" t="inlineStr">
        <is>
          <t>215.8 t</t>
        </is>
      </c>
      <c r="G36" t="n">
        <v>89.40000000000001</v>
      </c>
      <c r="H36" t="n">
        <v>11.7</v>
      </c>
    </row>
    <row r="37">
      <c r="A37" t="inlineStr">
        <is>
          <t>F036</t>
        </is>
      </c>
      <c r="B37" t="inlineStr">
        <is>
          <t>Brandon AAC</t>
        </is>
      </c>
      <c r="C37" t="inlineStr">
        <is>
          <t>May-17-2026</t>
        </is>
      </c>
      <c r="D37" t="n">
        <v>160</v>
      </c>
      <c r="E37" t="n">
        <v>58.2</v>
      </c>
      <c r="F37" t="inlineStr">
        <is>
          <t>255.6 t</t>
        </is>
      </c>
      <c r="G37" t="n">
        <v>0.13</v>
      </c>
      <c r="H37" t="n">
        <v>12.9</v>
      </c>
    </row>
    <row r="38">
      <c r="A38" t="inlineStr">
        <is>
          <t>F012</t>
        </is>
      </c>
      <c r="B38" t="inlineStr">
        <is>
          <t>Brandon AAC</t>
        </is>
      </c>
      <c r="C38" t="inlineStr">
        <is>
          <t>May-17-2026</t>
        </is>
      </c>
      <c r="D38" t="n">
        <v>240</v>
      </c>
      <c r="E38" t="n">
        <v>62</v>
      </c>
      <c r="F38" t="inlineStr">
        <is>
          <t>402.2 t</t>
        </is>
      </c>
      <c r="G38" t="n">
        <v>0.103</v>
      </c>
      <c r="H38" t="n">
        <v>13.5</v>
      </c>
    </row>
    <row r="39">
      <c r="A39" t="inlineStr">
        <is>
          <t>F027</t>
        </is>
      </c>
      <c r="B39" t="inlineStr">
        <is>
          <t>CDC Landmark</t>
        </is>
      </c>
      <c r="C39" t="inlineStr">
        <is>
          <t>2026/05/15</t>
        </is>
      </c>
      <c r="D39" t="n">
        <v>80</v>
      </c>
      <c r="E39" t="n">
        <v>54</v>
      </c>
      <c r="F39" t="inlineStr">
        <is>
          <t>120.3 t</t>
        </is>
      </c>
      <c r="G39" t="n">
        <v>0.13</v>
      </c>
      <c r="H39" t="n">
        <v>12.2</v>
      </c>
    </row>
    <row r="41">
      <c r="A41" s="2" t="inlineStr">
        <is>
          <t>The raw import. Do not edit this sheet -- all checking and cleaning happens on the other sheets, so the original stays intact.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Statistic</t>
        </is>
      </c>
      <c r="B1" s="1" t="inlineStr">
        <is>
          <t>Acres</t>
        </is>
      </c>
      <c r="C1" s="1" t="inlineStr">
        <is>
          <t>Yield (bu/ac)</t>
        </is>
      </c>
      <c r="D1" s="1" t="inlineStr">
        <is>
          <t>harvest weight</t>
        </is>
      </c>
      <c r="E1" s="1" t="inlineStr">
        <is>
          <t>N rate</t>
        </is>
      </c>
      <c r="F1" s="1" t="inlineStr">
        <is>
          <t>Moisture %</t>
        </is>
      </c>
    </row>
    <row r="2">
      <c r="A2" t="inlineStr">
        <is>
          <t>Count (numbers)</t>
        </is>
      </c>
      <c r="B2">
        <f>COUNT(Data!D2:D39)</f>
        <v/>
      </c>
      <c r="C2">
        <f>COUNT(Data!E2:E39)</f>
        <v/>
      </c>
      <c r="D2">
        <f>COUNT(Data!F2:F39)</f>
        <v/>
      </c>
      <c r="E2">
        <f>COUNT(Data!G2:G39)</f>
        <v/>
      </c>
      <c r="F2">
        <f>COUNT(Data!H2:H39)</f>
        <v/>
      </c>
    </row>
    <row r="3">
      <c r="A3" t="inlineStr">
        <is>
          <t>Count (non-empty)</t>
        </is>
      </c>
      <c r="B3">
        <f>COUNTA(Data!D2:D39)</f>
        <v/>
      </c>
      <c r="C3">
        <f>COUNTA(Data!E2:E39)</f>
        <v/>
      </c>
      <c r="D3">
        <f>COUNTA(Data!F2:F39)</f>
        <v/>
      </c>
      <c r="E3">
        <f>COUNTA(Data!G2:G39)</f>
        <v/>
      </c>
      <c r="F3">
        <f>COUNTA(Data!H2:H39)</f>
        <v/>
      </c>
    </row>
    <row r="4">
      <c r="A4" t="inlineStr">
        <is>
          <t>Minimum</t>
        </is>
      </c>
      <c r="B4">
        <f>MIN(Data!D2:D39)</f>
        <v/>
      </c>
      <c r="C4">
        <f>MIN(Data!E2:E39)</f>
        <v/>
      </c>
      <c r="D4">
        <f>MIN(Data!F2:F39)</f>
        <v/>
      </c>
      <c r="E4">
        <f>MIN(Data!G2:G39)</f>
        <v/>
      </c>
      <c r="F4">
        <f>MIN(Data!H2:H39)</f>
        <v/>
      </c>
    </row>
    <row r="5">
      <c r="A5" t="inlineStr">
        <is>
          <t>Maximum</t>
        </is>
      </c>
      <c r="B5">
        <f>MAX(Data!D2:D39)</f>
        <v/>
      </c>
      <c r="C5">
        <f>MAX(Data!E2:E39)</f>
        <v/>
      </c>
      <c r="D5">
        <f>MAX(Data!F2:F39)</f>
        <v/>
      </c>
      <c r="E5">
        <f>MAX(Data!G2:G39)</f>
        <v/>
      </c>
      <c r="F5">
        <f>MAX(Data!H2:H39)</f>
        <v/>
      </c>
    </row>
    <row r="6">
      <c r="A6" t="inlineStr">
        <is>
          <t>Mean</t>
        </is>
      </c>
      <c r="B6">
        <f>AVERAGE(Data!D2:D39)</f>
        <v/>
      </c>
      <c r="C6">
        <f>AVERAGE(Data!E2:E39)</f>
        <v/>
      </c>
      <c r="D6">
        <f>AVERAGE(Data!F2:F39)</f>
        <v/>
      </c>
      <c r="E6">
        <f>AVERAGE(Data!G2:G39)</f>
        <v/>
      </c>
      <c r="F6">
        <f>AVERAGE(Data!H2:H39)</f>
        <v/>
      </c>
    </row>
    <row r="7">
      <c r="A7" t="inlineStr">
        <is>
          <t>Median</t>
        </is>
      </c>
      <c r="B7">
        <f>MEDIAN(Data!D2:D39)</f>
        <v/>
      </c>
      <c r="C7">
        <f>MEDIAN(Data!E2:E39)</f>
        <v/>
      </c>
      <c r="D7">
        <f>MEDIAN(Data!F2:F39)</f>
        <v/>
      </c>
      <c r="E7">
        <f>MEDIAN(Data!G2:G39)</f>
        <v/>
      </c>
      <c r="F7">
        <f>MEDIAN(Data!H2:H39)</f>
        <v/>
      </c>
    </row>
    <row r="10">
      <c r="A10" s="1" t="inlineStr">
        <is>
          <t>Variety</t>
        </is>
      </c>
      <c r="B10" s="1" t="inlineStr">
        <is>
          <t>Count</t>
        </is>
      </c>
    </row>
    <row r="11">
      <c r="A11" t="inlineStr">
        <is>
          <t>AAC Brandon</t>
        </is>
      </c>
      <c r="B11">
        <f>COUNTIF(Data!B2:B39,A11)</f>
        <v/>
      </c>
    </row>
    <row r="12">
      <c r="A12" t="inlineStr">
        <is>
          <t>Brandon</t>
        </is>
      </c>
      <c r="B12">
        <f>COUNTIF(Data!B2:B39,A12)</f>
        <v/>
      </c>
    </row>
    <row r="13">
      <c r="A13" t="inlineStr">
        <is>
          <t>Brandon AAC</t>
        </is>
      </c>
      <c r="B13">
        <f>COUNTIF(Data!B2:B39,A13)</f>
        <v/>
      </c>
    </row>
    <row r="14">
      <c r="A14" t="inlineStr">
        <is>
          <t>Brndon</t>
        </is>
      </c>
      <c r="B14">
        <f>COUNTIF(Data!B2:B39,A14)</f>
        <v/>
      </c>
    </row>
    <row r="15">
      <c r="A15" t="inlineStr">
        <is>
          <t>AAC Viewfield</t>
        </is>
      </c>
      <c r="B15">
        <f>COUNTIF(Data!B2:B39,A15)</f>
        <v/>
      </c>
    </row>
    <row r="16">
      <c r="A16" t="inlineStr">
        <is>
          <t>CDC Landmark</t>
        </is>
      </c>
      <c r="B16">
        <f>COUNTIF(Data!B2:B39,A16)</f>
        <v/>
      </c>
    </row>
    <row r="18">
      <c r="A18" t="inlineStr">
        <is>
          <t>Rows</t>
        </is>
      </c>
      <c r="B18">
        <f>COUNTA(Data!A2:A39)</f>
        <v/>
      </c>
    </row>
    <row r="19">
      <c r="A19" t="inlineStr">
        <is>
          <t>Distinct field IDs</t>
        </is>
      </c>
      <c r="B19">
        <f>SUMPRODUCT(1/COUNTIF(Data!A2:A39,Data!A2:A39))</f>
        <v/>
      </c>
    </row>
    <row r="22">
      <c r="A22" s="2" t="inlineStr">
        <is>
          <t>Count (numbers) vs Count (non-empty): a gap means the column holds text -- the weight unit suffix and the moisture codes stop Excel from treating them as numbers.</t>
        </is>
      </c>
    </row>
    <row r="23">
      <c r="A23" s="2" t="inlineStr">
        <is>
          <t>The yield minimum is a missing-value code and the maximum is twenty times a real yield; together they drag the mean above the median.</t>
        </is>
      </c>
    </row>
    <row r="24">
      <c r="A24" s="2" t="inlineStr">
        <is>
          <t>The N rate minimum and maximum are in different units: below 1 is t/ha, near 100 is kg/ha.</t>
        </is>
      </c>
    </row>
    <row r="25">
      <c r="A25" s="2" t="inlineStr">
        <is>
          <t>Four of the variety spellings are the same variety. Rows minus distinct field IDs gives the number of duplicated rows.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8" customWidth="1" min="4" max="4"/>
    <col width="12" customWidth="1" min="5" max="5"/>
    <col width="10" customWidth="1" min="6" max="6"/>
    <col width="13" customWidth="1" min="7" max="7"/>
    <col width="13" customWidth="1" min="8" max="8"/>
    <col width="14" customWidth="1" min="9" max="9"/>
  </cols>
  <sheetData>
    <row r="1">
      <c r="A1" s="1" t="inlineStr">
        <is>
          <t>field_id</t>
        </is>
      </c>
      <c r="B1" s="1" t="inlineStr">
        <is>
          <t>variety</t>
        </is>
      </c>
      <c r="C1" s="1" t="inlineStr">
        <is>
          <t>seeded_date</t>
        </is>
      </c>
      <c r="D1" s="1" t="inlineStr">
        <is>
          <t>acres</t>
        </is>
      </c>
      <c r="E1" s="1" t="inlineStr">
        <is>
          <t>yield_bu_ac</t>
        </is>
      </c>
      <c r="F1" s="1" t="inlineStr">
        <is>
          <t>weight_t</t>
        </is>
      </c>
      <c r="G1" s="1" t="inlineStr">
        <is>
          <t>n_rate_kg_ha</t>
        </is>
      </c>
      <c r="H1" s="1" t="inlineStr">
        <is>
          <t>moisture_pct</t>
        </is>
      </c>
      <c r="I1" s="1" t="inlineStr">
        <is>
          <t>duplicate_flag</t>
        </is>
      </c>
    </row>
    <row r="2">
      <c r="A2">
        <f>Data!A2</f>
        <v/>
      </c>
      <c r="B2">
        <f>IF(OR(Data!B2="Brandon",Data!B2="Brandon AAC",Data!B2="Brndon"),"AAC Brandon",Data!B2)</f>
        <v/>
      </c>
      <c r="C2" s="3">
        <f>DATEVALUE(Data!C2)</f>
        <v/>
      </c>
      <c r="D2">
        <f>Data!D2</f>
        <v/>
      </c>
      <c r="E2">
        <f>IF(OR(Data!E2=-99,Data!E2&lt;0,Data!E2&gt;200),"",Data!E2)</f>
        <v/>
      </c>
      <c r="F2">
        <f>VALUE(SUBSTITUTE(Data!F2," t",""))</f>
        <v/>
      </c>
      <c r="G2">
        <f>IF(Data!G2&lt;1,Data!G2*1000,Data!G2)</f>
        <v/>
      </c>
      <c r="H2">
        <f>IF(OR(Data!H2="N/A",Data!H2="missing",Data!H2="",Data!H2=9999),"",Data!H2)</f>
        <v/>
      </c>
      <c r="I2">
        <f>COUNTIF(Data!$A$2:$A2,Data!A2)&gt;1</f>
        <v/>
      </c>
    </row>
    <row r="3">
      <c r="A3">
        <f>Data!A3</f>
        <v/>
      </c>
      <c r="B3">
        <f>IF(OR(Data!B3="Brandon",Data!B3="Brandon AAC",Data!B3="Brndon"),"AAC Brandon",Data!B3)</f>
        <v/>
      </c>
      <c r="C3" s="3">
        <f>DATEVALUE(Data!C3)</f>
        <v/>
      </c>
      <c r="D3">
        <f>Data!D3</f>
        <v/>
      </c>
      <c r="E3">
        <f>IF(OR(Data!E3=-99,Data!E3&lt;0,Data!E3&gt;200),"",Data!E3)</f>
        <v/>
      </c>
      <c r="F3">
        <f>VALUE(SUBSTITUTE(Data!F3," t",""))</f>
        <v/>
      </c>
      <c r="G3">
        <f>IF(Data!G3&lt;1,Data!G3*1000,Data!G3)</f>
        <v/>
      </c>
      <c r="H3">
        <f>IF(OR(Data!H3="N/A",Data!H3="missing",Data!H3="",Data!H3=9999),"",Data!H3)</f>
        <v/>
      </c>
      <c r="I3">
        <f>COUNTIF(Data!$A$2:$A3,Data!A3)&gt;1</f>
        <v/>
      </c>
    </row>
    <row r="4">
      <c r="A4">
        <f>Data!A4</f>
        <v/>
      </c>
      <c r="B4">
        <f>IF(OR(Data!B4="Brandon",Data!B4="Brandon AAC",Data!B4="Brndon"),"AAC Brandon",Data!B4)</f>
        <v/>
      </c>
      <c r="C4" s="3">
        <f>DATEVALUE(Data!C4)</f>
        <v/>
      </c>
      <c r="D4">
        <f>Data!D4</f>
        <v/>
      </c>
      <c r="E4">
        <f>IF(OR(Data!E4=-99,Data!E4&lt;0,Data!E4&gt;200),"",Data!E4)</f>
        <v/>
      </c>
      <c r="F4">
        <f>VALUE(SUBSTITUTE(Data!F4," t",""))</f>
        <v/>
      </c>
      <c r="G4">
        <f>IF(Data!G4&lt;1,Data!G4*1000,Data!G4)</f>
        <v/>
      </c>
      <c r="H4">
        <f>IF(OR(Data!H4="N/A",Data!H4="missing",Data!H4="",Data!H4=9999),"",Data!H4)</f>
        <v/>
      </c>
      <c r="I4">
        <f>COUNTIF(Data!$A$2:$A4,Data!A4)&gt;1</f>
        <v/>
      </c>
    </row>
    <row r="5">
      <c r="A5">
        <f>Data!A5</f>
        <v/>
      </c>
      <c r="B5">
        <f>IF(OR(Data!B5="Brandon",Data!B5="Brandon AAC",Data!B5="Brndon"),"AAC Brandon",Data!B5)</f>
        <v/>
      </c>
      <c r="C5" s="3">
        <f>DATEVALUE(Data!C5)</f>
        <v/>
      </c>
      <c r="D5">
        <f>Data!D5</f>
        <v/>
      </c>
      <c r="E5">
        <f>IF(OR(Data!E5=-99,Data!E5&lt;0,Data!E5&gt;200),"",Data!E5)</f>
        <v/>
      </c>
      <c r="F5">
        <f>VALUE(SUBSTITUTE(Data!F5," t",""))</f>
        <v/>
      </c>
      <c r="G5">
        <f>IF(Data!G5&lt;1,Data!G5*1000,Data!G5)</f>
        <v/>
      </c>
      <c r="H5">
        <f>IF(OR(Data!H5="N/A",Data!H5="missing",Data!H5="",Data!H5=9999),"",Data!H5)</f>
        <v/>
      </c>
      <c r="I5">
        <f>COUNTIF(Data!$A$2:$A5,Data!A5)&gt;1</f>
        <v/>
      </c>
    </row>
    <row r="6">
      <c r="A6">
        <f>Data!A6</f>
        <v/>
      </c>
      <c r="B6">
        <f>IF(OR(Data!B6="Brandon",Data!B6="Brandon AAC",Data!B6="Brndon"),"AAC Brandon",Data!B6)</f>
        <v/>
      </c>
      <c r="C6" s="3">
        <f>DATEVALUE(Data!C6)</f>
        <v/>
      </c>
      <c r="D6">
        <f>Data!D6</f>
        <v/>
      </c>
      <c r="E6">
        <f>IF(OR(Data!E6=-99,Data!E6&lt;0,Data!E6&gt;200),"",Data!E6)</f>
        <v/>
      </c>
      <c r="F6">
        <f>VALUE(SUBSTITUTE(Data!F6," t",""))</f>
        <v/>
      </c>
      <c r="G6">
        <f>IF(Data!G6&lt;1,Data!G6*1000,Data!G6)</f>
        <v/>
      </c>
      <c r="H6">
        <f>IF(OR(Data!H6="N/A",Data!H6="missing",Data!H6="",Data!H6=9999),"",Data!H6)</f>
        <v/>
      </c>
      <c r="I6">
        <f>COUNTIF(Data!$A$2:$A6,Data!A6)&gt;1</f>
        <v/>
      </c>
    </row>
    <row r="7">
      <c r="A7">
        <f>Data!A7</f>
        <v/>
      </c>
      <c r="B7">
        <f>IF(OR(Data!B7="Brandon",Data!B7="Brandon AAC",Data!B7="Brndon"),"AAC Brandon",Data!B7)</f>
        <v/>
      </c>
      <c r="C7" s="3">
        <f>DATEVALUE(Data!C7)</f>
        <v/>
      </c>
      <c r="D7">
        <f>Data!D7</f>
        <v/>
      </c>
      <c r="E7">
        <f>IF(OR(Data!E7=-99,Data!E7&lt;0,Data!E7&gt;200),"",Data!E7)</f>
        <v/>
      </c>
      <c r="F7">
        <f>VALUE(SUBSTITUTE(Data!F7," t",""))</f>
        <v/>
      </c>
      <c r="G7">
        <f>IF(Data!G7&lt;1,Data!G7*1000,Data!G7)</f>
        <v/>
      </c>
      <c r="H7">
        <f>IF(OR(Data!H7="N/A",Data!H7="missing",Data!H7="",Data!H7=9999),"",Data!H7)</f>
        <v/>
      </c>
      <c r="I7">
        <f>COUNTIF(Data!$A$2:$A7,Data!A7)&gt;1</f>
        <v/>
      </c>
    </row>
    <row r="8">
      <c r="A8">
        <f>Data!A8</f>
        <v/>
      </c>
      <c r="B8">
        <f>IF(OR(Data!B8="Brandon",Data!B8="Brandon AAC",Data!B8="Brndon"),"AAC Brandon",Data!B8)</f>
        <v/>
      </c>
      <c r="C8" s="3">
        <f>DATEVALUE(Data!C8)</f>
        <v/>
      </c>
      <c r="D8">
        <f>Data!D8</f>
        <v/>
      </c>
      <c r="E8">
        <f>IF(OR(Data!E8=-99,Data!E8&lt;0,Data!E8&gt;200),"",Data!E8)</f>
        <v/>
      </c>
      <c r="F8">
        <f>VALUE(SUBSTITUTE(Data!F8," t",""))</f>
        <v/>
      </c>
      <c r="G8">
        <f>IF(Data!G8&lt;1,Data!G8*1000,Data!G8)</f>
        <v/>
      </c>
      <c r="H8">
        <f>IF(OR(Data!H8="N/A",Data!H8="missing",Data!H8="",Data!H8=9999),"",Data!H8)</f>
        <v/>
      </c>
      <c r="I8">
        <f>COUNTIF(Data!$A$2:$A8,Data!A8)&gt;1</f>
        <v/>
      </c>
    </row>
    <row r="9">
      <c r="A9">
        <f>Data!A9</f>
        <v/>
      </c>
      <c r="B9">
        <f>IF(OR(Data!B9="Brandon",Data!B9="Brandon AAC",Data!B9="Brndon"),"AAC Brandon",Data!B9)</f>
        <v/>
      </c>
      <c r="C9" s="3">
        <f>DATEVALUE(Data!C9)</f>
        <v/>
      </c>
      <c r="D9">
        <f>Data!D9</f>
        <v/>
      </c>
      <c r="E9">
        <f>IF(OR(Data!E9=-99,Data!E9&lt;0,Data!E9&gt;200),"",Data!E9)</f>
        <v/>
      </c>
      <c r="F9">
        <f>VALUE(SUBSTITUTE(Data!F9," t",""))</f>
        <v/>
      </c>
      <c r="G9">
        <f>IF(Data!G9&lt;1,Data!G9*1000,Data!G9)</f>
        <v/>
      </c>
      <c r="H9">
        <f>IF(OR(Data!H9="N/A",Data!H9="missing",Data!H9="",Data!H9=9999),"",Data!H9)</f>
        <v/>
      </c>
      <c r="I9">
        <f>COUNTIF(Data!$A$2:$A9,Data!A9)&gt;1</f>
        <v/>
      </c>
    </row>
    <row r="10">
      <c r="A10">
        <f>Data!A10</f>
        <v/>
      </c>
      <c r="B10">
        <f>IF(OR(Data!B10="Brandon",Data!B10="Brandon AAC",Data!B10="Brndon"),"AAC Brandon",Data!B10)</f>
        <v/>
      </c>
      <c r="C10" s="3">
        <f>DATEVALUE(Data!C10)</f>
        <v/>
      </c>
      <c r="D10">
        <f>Data!D10</f>
        <v/>
      </c>
      <c r="E10">
        <f>IF(OR(Data!E10=-99,Data!E10&lt;0,Data!E10&gt;200),"",Data!E10)</f>
        <v/>
      </c>
      <c r="F10">
        <f>VALUE(SUBSTITUTE(Data!F10," t",""))</f>
        <v/>
      </c>
      <c r="G10">
        <f>IF(Data!G10&lt;1,Data!G10*1000,Data!G10)</f>
        <v/>
      </c>
      <c r="H10">
        <f>IF(OR(Data!H10="N/A",Data!H10="missing",Data!H10="",Data!H10=9999),"",Data!H10)</f>
        <v/>
      </c>
      <c r="I10">
        <f>COUNTIF(Data!$A$2:$A10,Data!A10)&gt;1</f>
        <v/>
      </c>
    </row>
    <row r="11">
      <c r="A11">
        <f>Data!A11</f>
        <v/>
      </c>
      <c r="B11">
        <f>IF(OR(Data!B11="Brandon",Data!B11="Brandon AAC",Data!B11="Brndon"),"AAC Brandon",Data!B11)</f>
        <v/>
      </c>
      <c r="C11" s="3">
        <f>DATEVALUE(Data!C11)</f>
        <v/>
      </c>
      <c r="D11">
        <f>Data!D11</f>
        <v/>
      </c>
      <c r="E11">
        <f>IF(OR(Data!E11=-99,Data!E11&lt;0,Data!E11&gt;200),"",Data!E11)</f>
        <v/>
      </c>
      <c r="F11">
        <f>VALUE(SUBSTITUTE(Data!F11," t",""))</f>
        <v/>
      </c>
      <c r="G11">
        <f>IF(Data!G11&lt;1,Data!G11*1000,Data!G11)</f>
        <v/>
      </c>
      <c r="H11">
        <f>IF(OR(Data!H11="N/A",Data!H11="missing",Data!H11="",Data!H11=9999),"",Data!H11)</f>
        <v/>
      </c>
      <c r="I11">
        <f>COUNTIF(Data!$A$2:$A11,Data!A11)&gt;1</f>
        <v/>
      </c>
    </row>
    <row r="12">
      <c r="A12">
        <f>Data!A12</f>
        <v/>
      </c>
      <c r="B12">
        <f>IF(OR(Data!B12="Brandon",Data!B12="Brandon AAC",Data!B12="Brndon"),"AAC Brandon",Data!B12)</f>
        <v/>
      </c>
      <c r="C12" s="3">
        <f>DATEVALUE(Data!C12)</f>
        <v/>
      </c>
      <c r="D12">
        <f>Data!D12</f>
        <v/>
      </c>
      <c r="E12">
        <f>IF(OR(Data!E12=-99,Data!E12&lt;0,Data!E12&gt;200),"",Data!E12)</f>
        <v/>
      </c>
      <c r="F12">
        <f>VALUE(SUBSTITUTE(Data!F12," t",""))</f>
        <v/>
      </c>
      <c r="G12">
        <f>IF(Data!G12&lt;1,Data!G12*1000,Data!G12)</f>
        <v/>
      </c>
      <c r="H12">
        <f>IF(OR(Data!H12="N/A",Data!H12="missing",Data!H12="",Data!H12=9999),"",Data!H12)</f>
        <v/>
      </c>
      <c r="I12">
        <f>COUNTIF(Data!$A$2:$A12,Data!A12)&gt;1</f>
        <v/>
      </c>
    </row>
    <row r="13">
      <c r="A13">
        <f>Data!A13</f>
        <v/>
      </c>
      <c r="B13">
        <f>IF(OR(Data!B13="Brandon",Data!B13="Brandon AAC",Data!B13="Brndon"),"AAC Brandon",Data!B13)</f>
        <v/>
      </c>
      <c r="C13" s="3">
        <f>DATEVALUE(Data!C13)</f>
        <v/>
      </c>
      <c r="D13">
        <f>Data!D13</f>
        <v/>
      </c>
      <c r="E13">
        <f>IF(OR(Data!E13=-99,Data!E13&lt;0,Data!E13&gt;200),"",Data!E13)</f>
        <v/>
      </c>
      <c r="F13">
        <f>VALUE(SUBSTITUTE(Data!F13," t",""))</f>
        <v/>
      </c>
      <c r="G13">
        <f>IF(Data!G13&lt;1,Data!G13*1000,Data!G13)</f>
        <v/>
      </c>
      <c r="H13">
        <f>IF(OR(Data!H13="N/A",Data!H13="missing",Data!H13="",Data!H13=9999),"",Data!H13)</f>
        <v/>
      </c>
      <c r="I13">
        <f>COUNTIF(Data!$A$2:$A13,Data!A13)&gt;1</f>
        <v/>
      </c>
    </row>
    <row r="14">
      <c r="A14">
        <f>Data!A14</f>
        <v/>
      </c>
      <c r="B14">
        <f>IF(OR(Data!B14="Brandon",Data!B14="Brandon AAC",Data!B14="Brndon"),"AAC Brandon",Data!B14)</f>
        <v/>
      </c>
      <c r="C14" s="3">
        <f>DATEVALUE(Data!C14)</f>
        <v/>
      </c>
      <c r="D14">
        <f>Data!D14</f>
        <v/>
      </c>
      <c r="E14">
        <f>IF(OR(Data!E14=-99,Data!E14&lt;0,Data!E14&gt;200),"",Data!E14)</f>
        <v/>
      </c>
      <c r="F14">
        <f>VALUE(SUBSTITUTE(Data!F14," t",""))</f>
        <v/>
      </c>
      <c r="G14">
        <f>IF(Data!G14&lt;1,Data!G14*1000,Data!G14)</f>
        <v/>
      </c>
      <c r="H14">
        <f>IF(OR(Data!H14="N/A",Data!H14="missing",Data!H14="",Data!H14=9999),"",Data!H14)</f>
        <v/>
      </c>
      <c r="I14">
        <f>COUNTIF(Data!$A$2:$A14,Data!A14)&gt;1</f>
        <v/>
      </c>
    </row>
    <row r="15">
      <c r="A15">
        <f>Data!A15</f>
        <v/>
      </c>
      <c r="B15">
        <f>IF(OR(Data!B15="Brandon",Data!B15="Brandon AAC",Data!B15="Brndon"),"AAC Brandon",Data!B15)</f>
        <v/>
      </c>
      <c r="C15" s="3">
        <f>DATEVALUE(Data!C15)</f>
        <v/>
      </c>
      <c r="D15">
        <f>Data!D15</f>
        <v/>
      </c>
      <c r="E15">
        <f>IF(OR(Data!E15=-99,Data!E15&lt;0,Data!E15&gt;200),"",Data!E15)</f>
        <v/>
      </c>
      <c r="F15">
        <f>VALUE(SUBSTITUTE(Data!F15," t",""))</f>
        <v/>
      </c>
      <c r="G15">
        <f>IF(Data!G15&lt;1,Data!G15*1000,Data!G15)</f>
        <v/>
      </c>
      <c r="H15">
        <f>IF(OR(Data!H15="N/A",Data!H15="missing",Data!H15="",Data!H15=9999),"",Data!H15)</f>
        <v/>
      </c>
      <c r="I15">
        <f>COUNTIF(Data!$A$2:$A15,Data!A15)&gt;1</f>
        <v/>
      </c>
    </row>
    <row r="16">
      <c r="A16">
        <f>Data!A16</f>
        <v/>
      </c>
      <c r="B16">
        <f>IF(OR(Data!B16="Brandon",Data!B16="Brandon AAC",Data!B16="Brndon"),"AAC Brandon",Data!B16)</f>
        <v/>
      </c>
      <c r="C16" s="3">
        <f>DATEVALUE(Data!C16)</f>
        <v/>
      </c>
      <c r="D16">
        <f>Data!D16</f>
        <v/>
      </c>
      <c r="E16">
        <f>IF(OR(Data!E16=-99,Data!E16&lt;0,Data!E16&gt;200),"",Data!E16)</f>
        <v/>
      </c>
      <c r="F16">
        <f>VALUE(SUBSTITUTE(Data!F16," t",""))</f>
        <v/>
      </c>
      <c r="G16">
        <f>IF(Data!G16&lt;1,Data!G16*1000,Data!G16)</f>
        <v/>
      </c>
      <c r="H16">
        <f>IF(OR(Data!H16="N/A",Data!H16="missing",Data!H16="",Data!H16=9999),"",Data!H16)</f>
        <v/>
      </c>
      <c r="I16">
        <f>COUNTIF(Data!$A$2:$A16,Data!A16)&gt;1</f>
        <v/>
      </c>
    </row>
    <row r="17">
      <c r="A17">
        <f>Data!A17</f>
        <v/>
      </c>
      <c r="B17">
        <f>IF(OR(Data!B17="Brandon",Data!B17="Brandon AAC",Data!B17="Brndon"),"AAC Brandon",Data!B17)</f>
        <v/>
      </c>
      <c r="C17" s="3">
        <f>DATEVALUE(Data!C17)</f>
        <v/>
      </c>
      <c r="D17">
        <f>Data!D17</f>
        <v/>
      </c>
      <c r="E17">
        <f>IF(OR(Data!E17=-99,Data!E17&lt;0,Data!E17&gt;200),"",Data!E17)</f>
        <v/>
      </c>
      <c r="F17">
        <f>VALUE(SUBSTITUTE(Data!F17," t",""))</f>
        <v/>
      </c>
      <c r="G17">
        <f>IF(Data!G17&lt;1,Data!G17*1000,Data!G17)</f>
        <v/>
      </c>
      <c r="H17">
        <f>IF(OR(Data!H17="N/A",Data!H17="missing",Data!H17="",Data!H17=9999),"",Data!H17)</f>
        <v/>
      </c>
      <c r="I17">
        <f>COUNTIF(Data!$A$2:$A17,Data!A17)&gt;1</f>
        <v/>
      </c>
    </row>
    <row r="18">
      <c r="A18">
        <f>Data!A18</f>
        <v/>
      </c>
      <c r="B18">
        <f>IF(OR(Data!B18="Brandon",Data!B18="Brandon AAC",Data!B18="Brndon"),"AAC Brandon",Data!B18)</f>
        <v/>
      </c>
      <c r="C18" s="3">
        <f>DATEVALUE(Data!C18)</f>
        <v/>
      </c>
      <c r="D18">
        <f>Data!D18</f>
        <v/>
      </c>
      <c r="E18">
        <f>IF(OR(Data!E18=-99,Data!E18&lt;0,Data!E18&gt;200),"",Data!E18)</f>
        <v/>
      </c>
      <c r="F18">
        <f>VALUE(SUBSTITUTE(Data!F18," t",""))</f>
        <v/>
      </c>
      <c r="G18">
        <f>IF(Data!G18&lt;1,Data!G18*1000,Data!G18)</f>
        <v/>
      </c>
      <c r="H18">
        <f>IF(OR(Data!H18="N/A",Data!H18="missing",Data!H18="",Data!H18=9999),"",Data!H18)</f>
        <v/>
      </c>
      <c r="I18">
        <f>COUNTIF(Data!$A$2:$A18,Data!A18)&gt;1</f>
        <v/>
      </c>
    </row>
    <row r="19">
      <c r="A19">
        <f>Data!A19</f>
        <v/>
      </c>
      <c r="B19">
        <f>IF(OR(Data!B19="Brandon",Data!B19="Brandon AAC",Data!B19="Brndon"),"AAC Brandon",Data!B19)</f>
        <v/>
      </c>
      <c r="C19" s="3">
        <f>DATEVALUE(Data!C19)</f>
        <v/>
      </c>
      <c r="D19">
        <f>Data!D19</f>
        <v/>
      </c>
      <c r="E19">
        <f>IF(OR(Data!E19=-99,Data!E19&lt;0,Data!E19&gt;200),"",Data!E19)</f>
        <v/>
      </c>
      <c r="F19">
        <f>VALUE(SUBSTITUTE(Data!F19," t",""))</f>
        <v/>
      </c>
      <c r="G19">
        <f>IF(Data!G19&lt;1,Data!G19*1000,Data!G19)</f>
        <v/>
      </c>
      <c r="H19">
        <f>IF(OR(Data!H19="N/A",Data!H19="missing",Data!H19="",Data!H19=9999),"",Data!H19)</f>
        <v/>
      </c>
      <c r="I19">
        <f>COUNTIF(Data!$A$2:$A19,Data!A19)&gt;1</f>
        <v/>
      </c>
    </row>
    <row r="20">
      <c r="A20">
        <f>Data!A20</f>
        <v/>
      </c>
      <c r="B20">
        <f>IF(OR(Data!B20="Brandon",Data!B20="Brandon AAC",Data!B20="Brndon"),"AAC Brandon",Data!B20)</f>
        <v/>
      </c>
      <c r="C20" s="3">
        <f>DATEVALUE(Data!C20)</f>
        <v/>
      </c>
      <c r="D20">
        <f>Data!D20</f>
        <v/>
      </c>
      <c r="E20">
        <f>IF(OR(Data!E20=-99,Data!E20&lt;0,Data!E20&gt;200),"",Data!E20)</f>
        <v/>
      </c>
      <c r="F20">
        <f>VALUE(SUBSTITUTE(Data!F20," t",""))</f>
        <v/>
      </c>
      <c r="G20">
        <f>IF(Data!G20&lt;1,Data!G20*1000,Data!G20)</f>
        <v/>
      </c>
      <c r="H20">
        <f>IF(OR(Data!H20="N/A",Data!H20="missing",Data!H20="",Data!H20=9999),"",Data!H20)</f>
        <v/>
      </c>
      <c r="I20">
        <f>COUNTIF(Data!$A$2:$A20,Data!A20)&gt;1</f>
        <v/>
      </c>
    </row>
    <row r="21">
      <c r="A21">
        <f>Data!A21</f>
        <v/>
      </c>
      <c r="B21">
        <f>IF(OR(Data!B21="Brandon",Data!B21="Brandon AAC",Data!B21="Brndon"),"AAC Brandon",Data!B21)</f>
        <v/>
      </c>
      <c r="C21" s="3">
        <f>DATEVALUE(Data!C21)</f>
        <v/>
      </c>
      <c r="D21">
        <f>Data!D21</f>
        <v/>
      </c>
      <c r="E21">
        <f>IF(OR(Data!E21=-99,Data!E21&lt;0,Data!E21&gt;200),"",Data!E21)</f>
        <v/>
      </c>
      <c r="F21">
        <f>VALUE(SUBSTITUTE(Data!F21," t",""))</f>
        <v/>
      </c>
      <c r="G21">
        <f>IF(Data!G21&lt;1,Data!G21*1000,Data!G21)</f>
        <v/>
      </c>
      <c r="H21">
        <f>IF(OR(Data!H21="N/A",Data!H21="missing",Data!H21="",Data!H21=9999),"",Data!H21)</f>
        <v/>
      </c>
      <c r="I21">
        <f>COUNTIF(Data!$A$2:$A21,Data!A21)&gt;1</f>
        <v/>
      </c>
    </row>
    <row r="22">
      <c r="A22">
        <f>Data!A22</f>
        <v/>
      </c>
      <c r="B22">
        <f>IF(OR(Data!B22="Brandon",Data!B22="Brandon AAC",Data!B22="Brndon"),"AAC Brandon",Data!B22)</f>
        <v/>
      </c>
      <c r="C22" s="3">
        <f>DATEVALUE(Data!C22)</f>
        <v/>
      </c>
      <c r="D22">
        <f>Data!D22</f>
        <v/>
      </c>
      <c r="E22">
        <f>IF(OR(Data!E22=-99,Data!E22&lt;0,Data!E22&gt;200),"",Data!E22)</f>
        <v/>
      </c>
      <c r="F22">
        <f>VALUE(SUBSTITUTE(Data!F22," t",""))</f>
        <v/>
      </c>
      <c r="G22">
        <f>IF(Data!G22&lt;1,Data!G22*1000,Data!G22)</f>
        <v/>
      </c>
      <c r="H22">
        <f>IF(OR(Data!H22="N/A",Data!H22="missing",Data!H22="",Data!H22=9999),"",Data!H22)</f>
        <v/>
      </c>
      <c r="I22">
        <f>COUNTIF(Data!$A$2:$A22,Data!A22)&gt;1</f>
        <v/>
      </c>
    </row>
    <row r="23">
      <c r="A23">
        <f>Data!A23</f>
        <v/>
      </c>
      <c r="B23">
        <f>IF(OR(Data!B23="Brandon",Data!B23="Brandon AAC",Data!B23="Brndon"),"AAC Brandon",Data!B23)</f>
        <v/>
      </c>
      <c r="C23" s="3">
        <f>DATEVALUE(Data!C23)</f>
        <v/>
      </c>
      <c r="D23">
        <f>Data!D23</f>
        <v/>
      </c>
      <c r="E23">
        <f>IF(OR(Data!E23=-99,Data!E23&lt;0,Data!E23&gt;200),"",Data!E23)</f>
        <v/>
      </c>
      <c r="F23">
        <f>VALUE(SUBSTITUTE(Data!F23," t",""))</f>
        <v/>
      </c>
      <c r="G23">
        <f>IF(Data!G23&lt;1,Data!G23*1000,Data!G23)</f>
        <v/>
      </c>
      <c r="H23">
        <f>IF(OR(Data!H23="N/A",Data!H23="missing",Data!H23="",Data!H23=9999),"",Data!H23)</f>
        <v/>
      </c>
      <c r="I23">
        <f>COUNTIF(Data!$A$2:$A23,Data!A23)&gt;1</f>
        <v/>
      </c>
    </row>
    <row r="24">
      <c r="A24">
        <f>Data!A24</f>
        <v/>
      </c>
      <c r="B24">
        <f>IF(OR(Data!B24="Brandon",Data!B24="Brandon AAC",Data!B24="Brndon"),"AAC Brandon",Data!B24)</f>
        <v/>
      </c>
      <c r="C24" s="3">
        <f>DATEVALUE(Data!C24)</f>
        <v/>
      </c>
      <c r="D24">
        <f>Data!D24</f>
        <v/>
      </c>
      <c r="E24">
        <f>IF(OR(Data!E24=-99,Data!E24&lt;0,Data!E24&gt;200),"",Data!E24)</f>
        <v/>
      </c>
      <c r="F24">
        <f>VALUE(SUBSTITUTE(Data!F24," t",""))</f>
        <v/>
      </c>
      <c r="G24">
        <f>IF(Data!G24&lt;1,Data!G24*1000,Data!G24)</f>
        <v/>
      </c>
      <c r="H24">
        <f>IF(OR(Data!H24="N/A",Data!H24="missing",Data!H24="",Data!H24=9999),"",Data!H24)</f>
        <v/>
      </c>
      <c r="I24">
        <f>COUNTIF(Data!$A$2:$A24,Data!A24)&gt;1</f>
        <v/>
      </c>
    </row>
    <row r="25">
      <c r="A25">
        <f>Data!A25</f>
        <v/>
      </c>
      <c r="B25">
        <f>IF(OR(Data!B25="Brandon",Data!B25="Brandon AAC",Data!B25="Brndon"),"AAC Brandon",Data!B25)</f>
        <v/>
      </c>
      <c r="C25" s="3">
        <f>DATEVALUE(Data!C25)</f>
        <v/>
      </c>
      <c r="D25">
        <f>Data!D25</f>
        <v/>
      </c>
      <c r="E25">
        <f>IF(OR(Data!E25=-99,Data!E25&lt;0,Data!E25&gt;200),"",Data!E25)</f>
        <v/>
      </c>
      <c r="F25">
        <f>VALUE(SUBSTITUTE(Data!F25," t",""))</f>
        <v/>
      </c>
      <c r="G25">
        <f>IF(Data!G25&lt;1,Data!G25*1000,Data!G25)</f>
        <v/>
      </c>
      <c r="H25">
        <f>IF(OR(Data!H25="N/A",Data!H25="missing",Data!H25="",Data!H25=9999),"",Data!H25)</f>
        <v/>
      </c>
      <c r="I25">
        <f>COUNTIF(Data!$A$2:$A25,Data!A25)&gt;1</f>
        <v/>
      </c>
    </row>
    <row r="26">
      <c r="A26">
        <f>Data!A26</f>
        <v/>
      </c>
      <c r="B26">
        <f>IF(OR(Data!B26="Brandon",Data!B26="Brandon AAC",Data!B26="Brndon"),"AAC Brandon",Data!B26)</f>
        <v/>
      </c>
      <c r="C26" s="3">
        <f>DATEVALUE(Data!C26)</f>
        <v/>
      </c>
      <c r="D26">
        <f>Data!D26</f>
        <v/>
      </c>
      <c r="E26">
        <f>IF(OR(Data!E26=-99,Data!E26&lt;0,Data!E26&gt;200),"",Data!E26)</f>
        <v/>
      </c>
      <c r="F26">
        <f>VALUE(SUBSTITUTE(Data!F26," t",""))</f>
        <v/>
      </c>
      <c r="G26">
        <f>IF(Data!G26&lt;1,Data!G26*1000,Data!G26)</f>
        <v/>
      </c>
      <c r="H26">
        <f>IF(OR(Data!H26="N/A",Data!H26="missing",Data!H26="",Data!H26=9999),"",Data!H26)</f>
        <v/>
      </c>
      <c r="I26">
        <f>COUNTIF(Data!$A$2:$A26,Data!A26)&gt;1</f>
        <v/>
      </c>
    </row>
    <row r="27">
      <c r="A27">
        <f>Data!A27</f>
        <v/>
      </c>
      <c r="B27">
        <f>IF(OR(Data!B27="Brandon",Data!B27="Brandon AAC",Data!B27="Brndon"),"AAC Brandon",Data!B27)</f>
        <v/>
      </c>
      <c r="C27" s="3">
        <f>DATEVALUE(Data!C27)</f>
        <v/>
      </c>
      <c r="D27">
        <f>Data!D27</f>
        <v/>
      </c>
      <c r="E27">
        <f>IF(OR(Data!E27=-99,Data!E27&lt;0,Data!E27&gt;200),"",Data!E27)</f>
        <v/>
      </c>
      <c r="F27">
        <f>VALUE(SUBSTITUTE(Data!F27," t",""))</f>
        <v/>
      </c>
      <c r="G27">
        <f>IF(Data!G27&lt;1,Data!G27*1000,Data!G27)</f>
        <v/>
      </c>
      <c r="H27">
        <f>IF(OR(Data!H27="N/A",Data!H27="missing",Data!H27="",Data!H27=9999),"",Data!H27)</f>
        <v/>
      </c>
      <c r="I27">
        <f>COUNTIF(Data!$A$2:$A27,Data!A27)&gt;1</f>
        <v/>
      </c>
    </row>
    <row r="28">
      <c r="A28">
        <f>Data!A28</f>
        <v/>
      </c>
      <c r="B28">
        <f>IF(OR(Data!B28="Brandon",Data!B28="Brandon AAC",Data!B28="Brndon"),"AAC Brandon",Data!B28)</f>
        <v/>
      </c>
      <c r="C28" s="3">
        <f>DATEVALUE(Data!C28)</f>
        <v/>
      </c>
      <c r="D28">
        <f>Data!D28</f>
        <v/>
      </c>
      <c r="E28">
        <f>IF(OR(Data!E28=-99,Data!E28&lt;0,Data!E28&gt;200),"",Data!E28)</f>
        <v/>
      </c>
      <c r="F28">
        <f>VALUE(SUBSTITUTE(Data!F28," t",""))</f>
        <v/>
      </c>
      <c r="G28">
        <f>IF(Data!G28&lt;1,Data!G28*1000,Data!G28)</f>
        <v/>
      </c>
      <c r="H28">
        <f>IF(OR(Data!H28="N/A",Data!H28="missing",Data!H28="",Data!H28=9999),"",Data!H28)</f>
        <v/>
      </c>
      <c r="I28">
        <f>COUNTIF(Data!$A$2:$A28,Data!A28)&gt;1</f>
        <v/>
      </c>
    </row>
    <row r="29">
      <c r="A29">
        <f>Data!A29</f>
        <v/>
      </c>
      <c r="B29">
        <f>IF(OR(Data!B29="Brandon",Data!B29="Brandon AAC",Data!B29="Brndon"),"AAC Brandon",Data!B29)</f>
        <v/>
      </c>
      <c r="C29" s="3">
        <f>DATEVALUE(Data!C29)</f>
        <v/>
      </c>
      <c r="D29">
        <f>Data!D29</f>
        <v/>
      </c>
      <c r="E29">
        <f>IF(OR(Data!E29=-99,Data!E29&lt;0,Data!E29&gt;200),"",Data!E29)</f>
        <v/>
      </c>
      <c r="F29">
        <f>VALUE(SUBSTITUTE(Data!F29," t",""))</f>
        <v/>
      </c>
      <c r="G29">
        <f>IF(Data!G29&lt;1,Data!G29*1000,Data!G29)</f>
        <v/>
      </c>
      <c r="H29">
        <f>IF(OR(Data!H29="N/A",Data!H29="missing",Data!H29="",Data!H29=9999),"",Data!H29)</f>
        <v/>
      </c>
      <c r="I29">
        <f>COUNTIF(Data!$A$2:$A29,Data!A29)&gt;1</f>
        <v/>
      </c>
    </row>
    <row r="30">
      <c r="A30">
        <f>Data!A30</f>
        <v/>
      </c>
      <c r="B30">
        <f>IF(OR(Data!B30="Brandon",Data!B30="Brandon AAC",Data!B30="Brndon"),"AAC Brandon",Data!B30)</f>
        <v/>
      </c>
      <c r="C30" s="3">
        <f>DATEVALUE(Data!C30)</f>
        <v/>
      </c>
      <c r="D30">
        <f>Data!D30</f>
        <v/>
      </c>
      <c r="E30">
        <f>IF(OR(Data!E30=-99,Data!E30&lt;0,Data!E30&gt;200),"",Data!E30)</f>
        <v/>
      </c>
      <c r="F30">
        <f>VALUE(SUBSTITUTE(Data!F30," t",""))</f>
        <v/>
      </c>
      <c r="G30">
        <f>IF(Data!G30&lt;1,Data!G30*1000,Data!G30)</f>
        <v/>
      </c>
      <c r="H30">
        <f>IF(OR(Data!H30="N/A",Data!H30="missing",Data!H30="",Data!H30=9999),"",Data!H30)</f>
        <v/>
      </c>
      <c r="I30">
        <f>COUNTIF(Data!$A$2:$A30,Data!A30)&gt;1</f>
        <v/>
      </c>
    </row>
    <row r="31">
      <c r="A31">
        <f>Data!A31</f>
        <v/>
      </c>
      <c r="B31">
        <f>IF(OR(Data!B31="Brandon",Data!B31="Brandon AAC",Data!B31="Brndon"),"AAC Brandon",Data!B31)</f>
        <v/>
      </c>
      <c r="C31" s="3">
        <f>DATEVALUE(Data!C31)</f>
        <v/>
      </c>
      <c r="D31">
        <f>Data!D31</f>
        <v/>
      </c>
      <c r="E31">
        <f>IF(OR(Data!E31=-99,Data!E31&lt;0,Data!E31&gt;200),"",Data!E31)</f>
        <v/>
      </c>
      <c r="F31">
        <f>VALUE(SUBSTITUTE(Data!F31," t",""))</f>
        <v/>
      </c>
      <c r="G31">
        <f>IF(Data!G31&lt;1,Data!G31*1000,Data!G31)</f>
        <v/>
      </c>
      <c r="H31">
        <f>IF(OR(Data!H31="N/A",Data!H31="missing",Data!H31="",Data!H31=9999),"",Data!H31)</f>
        <v/>
      </c>
      <c r="I31">
        <f>COUNTIF(Data!$A$2:$A31,Data!A31)&gt;1</f>
        <v/>
      </c>
    </row>
    <row r="32">
      <c r="A32">
        <f>Data!A32</f>
        <v/>
      </c>
      <c r="B32">
        <f>IF(OR(Data!B32="Brandon",Data!B32="Brandon AAC",Data!B32="Brndon"),"AAC Brandon",Data!B32)</f>
        <v/>
      </c>
      <c r="C32" s="3">
        <f>DATEVALUE(Data!C32)</f>
        <v/>
      </c>
      <c r="D32">
        <f>Data!D32</f>
        <v/>
      </c>
      <c r="E32">
        <f>IF(OR(Data!E32=-99,Data!E32&lt;0,Data!E32&gt;200),"",Data!E32)</f>
        <v/>
      </c>
      <c r="F32">
        <f>VALUE(SUBSTITUTE(Data!F32," t",""))</f>
        <v/>
      </c>
      <c r="G32">
        <f>IF(Data!G32&lt;1,Data!G32*1000,Data!G32)</f>
        <v/>
      </c>
      <c r="H32">
        <f>IF(OR(Data!H32="N/A",Data!H32="missing",Data!H32="",Data!H32=9999),"",Data!H32)</f>
        <v/>
      </c>
      <c r="I32">
        <f>COUNTIF(Data!$A$2:$A32,Data!A32)&gt;1</f>
        <v/>
      </c>
    </row>
    <row r="33">
      <c r="A33">
        <f>Data!A33</f>
        <v/>
      </c>
      <c r="B33">
        <f>IF(OR(Data!B33="Brandon",Data!B33="Brandon AAC",Data!B33="Brndon"),"AAC Brandon",Data!B33)</f>
        <v/>
      </c>
      <c r="C33" s="3">
        <f>DATEVALUE(Data!C33)</f>
        <v/>
      </c>
      <c r="D33">
        <f>Data!D33</f>
        <v/>
      </c>
      <c r="E33">
        <f>IF(OR(Data!E33=-99,Data!E33&lt;0,Data!E33&gt;200),"",Data!E33)</f>
        <v/>
      </c>
      <c r="F33">
        <f>VALUE(SUBSTITUTE(Data!F33," t",""))</f>
        <v/>
      </c>
      <c r="G33">
        <f>IF(Data!G33&lt;1,Data!G33*1000,Data!G33)</f>
        <v/>
      </c>
      <c r="H33">
        <f>IF(OR(Data!H33="N/A",Data!H33="missing",Data!H33="",Data!H33=9999),"",Data!H33)</f>
        <v/>
      </c>
      <c r="I33">
        <f>COUNTIF(Data!$A$2:$A33,Data!A33)&gt;1</f>
        <v/>
      </c>
    </row>
    <row r="34">
      <c r="A34">
        <f>Data!A34</f>
        <v/>
      </c>
      <c r="B34">
        <f>IF(OR(Data!B34="Brandon",Data!B34="Brandon AAC",Data!B34="Brndon"),"AAC Brandon",Data!B34)</f>
        <v/>
      </c>
      <c r="C34" s="3">
        <f>DATEVALUE(Data!C34)</f>
        <v/>
      </c>
      <c r="D34">
        <f>Data!D34</f>
        <v/>
      </c>
      <c r="E34">
        <f>IF(OR(Data!E34=-99,Data!E34&lt;0,Data!E34&gt;200),"",Data!E34)</f>
        <v/>
      </c>
      <c r="F34">
        <f>VALUE(SUBSTITUTE(Data!F34," t",""))</f>
        <v/>
      </c>
      <c r="G34">
        <f>IF(Data!G34&lt;1,Data!G34*1000,Data!G34)</f>
        <v/>
      </c>
      <c r="H34">
        <f>IF(OR(Data!H34="N/A",Data!H34="missing",Data!H34="",Data!H34=9999),"",Data!H34)</f>
        <v/>
      </c>
      <c r="I34">
        <f>COUNTIF(Data!$A$2:$A34,Data!A34)&gt;1</f>
        <v/>
      </c>
    </row>
    <row r="35">
      <c r="A35">
        <f>Data!A35</f>
        <v/>
      </c>
      <c r="B35">
        <f>IF(OR(Data!B35="Brandon",Data!B35="Brandon AAC",Data!B35="Brndon"),"AAC Brandon",Data!B35)</f>
        <v/>
      </c>
      <c r="C35" s="3">
        <f>DATEVALUE(Data!C35)</f>
        <v/>
      </c>
      <c r="D35">
        <f>Data!D35</f>
        <v/>
      </c>
      <c r="E35">
        <f>IF(OR(Data!E35=-99,Data!E35&lt;0,Data!E35&gt;200),"",Data!E35)</f>
        <v/>
      </c>
      <c r="F35">
        <f>VALUE(SUBSTITUTE(Data!F35," t",""))</f>
        <v/>
      </c>
      <c r="G35">
        <f>IF(Data!G35&lt;1,Data!G35*1000,Data!G35)</f>
        <v/>
      </c>
      <c r="H35">
        <f>IF(OR(Data!H35="N/A",Data!H35="missing",Data!H35="",Data!H35=9999),"",Data!H35)</f>
        <v/>
      </c>
      <c r="I35">
        <f>COUNTIF(Data!$A$2:$A35,Data!A35)&gt;1</f>
        <v/>
      </c>
    </row>
    <row r="36">
      <c r="A36">
        <f>Data!A36</f>
        <v/>
      </c>
      <c r="B36">
        <f>IF(OR(Data!B36="Brandon",Data!B36="Brandon AAC",Data!B36="Brndon"),"AAC Brandon",Data!B36)</f>
        <v/>
      </c>
      <c r="C36" s="3">
        <f>DATEVALUE(Data!C36)</f>
        <v/>
      </c>
      <c r="D36">
        <f>Data!D36</f>
        <v/>
      </c>
      <c r="E36">
        <f>IF(OR(Data!E36=-99,Data!E36&lt;0,Data!E36&gt;200),"",Data!E36)</f>
        <v/>
      </c>
      <c r="F36">
        <f>VALUE(SUBSTITUTE(Data!F36," t",""))</f>
        <v/>
      </c>
      <c r="G36">
        <f>IF(Data!G36&lt;1,Data!G36*1000,Data!G36)</f>
        <v/>
      </c>
      <c r="H36">
        <f>IF(OR(Data!H36="N/A",Data!H36="missing",Data!H36="",Data!H36=9999),"",Data!H36)</f>
        <v/>
      </c>
      <c r="I36">
        <f>COUNTIF(Data!$A$2:$A36,Data!A36)&gt;1</f>
        <v/>
      </c>
    </row>
    <row r="37">
      <c r="A37">
        <f>Data!A37</f>
        <v/>
      </c>
      <c r="B37">
        <f>IF(OR(Data!B37="Brandon",Data!B37="Brandon AAC",Data!B37="Brndon"),"AAC Brandon",Data!B37)</f>
        <v/>
      </c>
      <c r="C37" s="3">
        <f>DATEVALUE(Data!C37)</f>
        <v/>
      </c>
      <c r="D37">
        <f>Data!D37</f>
        <v/>
      </c>
      <c r="E37">
        <f>IF(OR(Data!E37=-99,Data!E37&lt;0,Data!E37&gt;200),"",Data!E37)</f>
        <v/>
      </c>
      <c r="F37">
        <f>VALUE(SUBSTITUTE(Data!F37," t",""))</f>
        <v/>
      </c>
      <c r="G37">
        <f>IF(Data!G37&lt;1,Data!G37*1000,Data!G37)</f>
        <v/>
      </c>
      <c r="H37">
        <f>IF(OR(Data!H37="N/A",Data!H37="missing",Data!H37="",Data!H37=9999),"",Data!H37)</f>
        <v/>
      </c>
      <c r="I37">
        <f>COUNTIF(Data!$A$2:$A37,Data!A37)&gt;1</f>
        <v/>
      </c>
    </row>
    <row r="38">
      <c r="A38">
        <f>Data!A38</f>
        <v/>
      </c>
      <c r="B38">
        <f>IF(OR(Data!B38="Brandon",Data!B38="Brandon AAC",Data!B38="Brndon"),"AAC Brandon",Data!B38)</f>
        <v/>
      </c>
      <c r="C38" s="3">
        <f>DATEVALUE(Data!C38)</f>
        <v/>
      </c>
      <c r="D38">
        <f>Data!D38</f>
        <v/>
      </c>
      <c r="E38">
        <f>IF(OR(Data!E38=-99,Data!E38&lt;0,Data!E38&gt;200),"",Data!E38)</f>
        <v/>
      </c>
      <c r="F38">
        <f>VALUE(SUBSTITUTE(Data!F38," t",""))</f>
        <v/>
      </c>
      <c r="G38">
        <f>IF(Data!G38&lt;1,Data!G38*1000,Data!G38)</f>
        <v/>
      </c>
      <c r="H38">
        <f>IF(OR(Data!H38="N/A",Data!H38="missing",Data!H38="",Data!H38=9999),"",Data!H38)</f>
        <v/>
      </c>
      <c r="I38">
        <f>COUNTIF(Data!$A$2:$A38,Data!A38)&gt;1</f>
        <v/>
      </c>
    </row>
    <row r="39">
      <c r="A39">
        <f>Data!A39</f>
        <v/>
      </c>
      <c r="B39">
        <f>IF(OR(Data!B39="Brandon",Data!B39="Brandon AAC",Data!B39="Brndon"),"AAC Brandon",Data!B39)</f>
        <v/>
      </c>
      <c r="C39" s="3">
        <f>DATEVALUE(Data!C39)</f>
        <v/>
      </c>
      <c r="D39">
        <f>Data!D39</f>
        <v/>
      </c>
      <c r="E39">
        <f>IF(OR(Data!E39=-99,Data!E39&lt;0,Data!E39&gt;200),"",Data!E39)</f>
        <v/>
      </c>
      <c r="F39">
        <f>VALUE(SUBSTITUTE(Data!F39," t",""))</f>
        <v/>
      </c>
      <c r="G39">
        <f>IF(Data!G39&lt;1,Data!G39*1000,Data!G39)</f>
        <v/>
      </c>
      <c r="H39">
        <f>IF(OR(Data!H39="N/A",Data!H39="missing",Data!H39="",Data!H39=9999),"",Data!H39)</f>
        <v/>
      </c>
      <c r="I39">
        <f>COUNTIF(Data!$A$2:$A39,Data!A39)&gt;1</f>
        <v/>
      </c>
    </row>
    <row r="41">
      <c r="A41" s="1" t="inlineStr">
        <is>
          <t>After cleaning</t>
        </is>
      </c>
    </row>
    <row r="42">
      <c r="A42" t="inlineStr">
        <is>
          <t>Minimum</t>
        </is>
      </c>
      <c r="E42">
        <f>MIN(E2:E39)</f>
        <v/>
      </c>
      <c r="G42">
        <f>MIN(G2:G39)</f>
        <v/>
      </c>
      <c r="H42">
        <f>MIN(H2:H39)</f>
        <v/>
      </c>
    </row>
    <row r="43">
      <c r="A43" t="inlineStr">
        <is>
          <t>Maximum</t>
        </is>
      </c>
      <c r="E43">
        <f>MAX(E2:E39)</f>
        <v/>
      </c>
      <c r="G43">
        <f>MAX(G2:G39)</f>
        <v/>
      </c>
      <c r="H43">
        <f>MAX(H2:H39)</f>
        <v/>
      </c>
    </row>
    <row r="44">
      <c r="A44" t="inlineStr">
        <is>
          <t>Mean</t>
        </is>
      </c>
      <c r="E44">
        <f>AVERAGE(E2:E39)</f>
        <v/>
      </c>
      <c r="G44">
        <f>AVERAGE(G2:G39)</f>
        <v/>
      </c>
      <c r="H44">
        <f>AVERAGE(H2:H39)</f>
        <v/>
      </c>
    </row>
    <row r="45">
      <c r="A45" t="inlineStr">
        <is>
          <t>Median</t>
        </is>
      </c>
      <c r="E45">
        <f>MEDIAN(E2:E39)</f>
        <v/>
      </c>
      <c r="G45">
        <f>MEDIAN(G2:G39)</f>
        <v/>
      </c>
      <c r="H45">
        <f>MEDIAN(H2:H39)</f>
        <v/>
      </c>
    </row>
    <row r="47">
      <c r="A47" s="2" t="inlineStr">
        <is>
          <t>Every cell is a formula pointing at Data, so the cleaning is visible and rerunnable: change the raw sheet and this one follows.</t>
        </is>
      </c>
    </row>
    <row r="48">
      <c r="A48" s="2" t="inlineStr">
        <is>
          <t>variety: the three stray Brandon spellings map to AAC Brandon. seeded_date: DATEVALUE parses all four formats; check a few rows, since month-day order is a guess Excel makes.</t>
        </is>
      </c>
    </row>
    <row r="49">
      <c r="A49" s="2" t="inlineStr">
        <is>
          <t>yield_bu_ac: the -99 code, the negative and the 1250 are blanked, not corrected -- there is nothing defensible to replace them with.</t>
        </is>
      </c>
    </row>
    <row r="50">
      <c r="A50" s="2" t="inlineStr">
        <is>
          <t>weight_t: the text unit is stripped so the column is numeric. n_rate_kg_ha: values below 1 were t/ha and are multiplied by 1000. moisture_pct: the four missing codes are blanked.</t>
        </is>
      </c>
    </row>
    <row r="51">
      <c r="A51" s="2" t="inlineStr">
        <is>
          <t>A consistency check the columns now support: weight_t should be close to yield_bu_ac x acres x 0.02722. Rows that fail it deserve a second look.</t>
        </is>
      </c>
    </row>
    <row r="52">
      <c r="A52" s="2" t="inlineStr">
        <is>
          <t>duplicate_flag: TRUE marks the second appearance of a field ID. Filter on TRUE and delete those rows when saving a final copy.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2026-08-31T21:55:53Z</dcterms:created>
  <dcterms:modified xmlns:dcterms="http://purl.org/dc/terms/" xmlns:xsi="http://www.w3.org/2001/XMLSchema-instance" xsi:type="dcterms:W3CDTF">2026-08-31T21:55:53Z</dcterms:modified>
</cp:coreProperties>
</file>