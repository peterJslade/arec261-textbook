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4A7C59"/>
      <sz val="14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10"/>
    </font>
    <font>
      <name val="Arial"/>
      <b val="1"/>
      <color rgb="0024302A"/>
      <sz val="10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3" customWidth="1" min="4" max="4"/>
    <col width="11" customWidth="1" min="5" max="5"/>
    <col width="26" customWidth="1" min="6" max="6"/>
  </cols>
  <sheetData>
    <row r="1" ht="18" customHeight="1">
      <c r="A1" s="1" t="inlineStr">
        <is>
          <t>Conditional functions</t>
        </is>
      </c>
    </row>
    <row r="2" ht="44" customHeight="1">
      <c r="A2" s="2" t="inlineStr">
        <is>
          <t>Eight fields, each with a crop and a yield.  The functions below all answer questions about a SUBSET of the rows — only the canola fields, only the yields above a threshold.  Column F shows the formula that produced column E.</t>
        </is>
      </c>
    </row>
    <row r="3" ht="18" customHeight="1"/>
    <row r="4" ht="18" customHeight="1">
      <c r="A4" s="3" t="inlineStr">
        <is>
          <t>Field</t>
        </is>
      </c>
      <c r="B4" s="4" t="inlineStr">
        <is>
          <t>Crop</t>
        </is>
      </c>
      <c r="C4" s="4" t="inlineStr">
        <is>
          <t>Acres</t>
        </is>
      </c>
      <c r="D4" s="4" t="inlineStr">
        <is>
          <t>Yield (bu/ac)</t>
        </is>
      </c>
      <c r="E4" s="4" t="inlineStr">
        <is>
          <t>Above 50?</t>
        </is>
      </c>
      <c r="F4" s="3" t="inlineStr">
        <is>
          <t>The formula in E</t>
        </is>
      </c>
    </row>
    <row r="5" ht="18" customHeight="1">
      <c r="A5" s="5" t="inlineStr">
        <is>
          <t>North</t>
        </is>
      </c>
      <c r="B5" s="6" t="inlineStr">
        <is>
          <t>Canola</t>
        </is>
      </c>
      <c r="C5" s="7" t="n">
        <v>320</v>
      </c>
      <c r="D5" s="8" t="n">
        <v>41.2</v>
      </c>
      <c r="E5" s="6">
        <f>IF(D5&gt;50,"Yes","No")</f>
        <v/>
      </c>
      <c r="F5" s="9">
        <f>_xlfn.FORMULATEXT(E5)</f>
        <v/>
      </c>
    </row>
    <row r="6" ht="18" customHeight="1">
      <c r="A6" s="5" t="inlineStr">
        <is>
          <t>South</t>
        </is>
      </c>
      <c r="B6" s="6" t="inlineStr">
        <is>
          <t>Wheat</t>
        </is>
      </c>
      <c r="C6" s="7" t="n">
        <v>250</v>
      </c>
      <c r="D6" s="8" t="n">
        <v>58.6</v>
      </c>
      <c r="E6" s="6">
        <f>IF(D6&gt;50,"Yes","No")</f>
        <v/>
      </c>
      <c r="F6" s="9">
        <f>_xlfn.FORMULATEXT(E6)</f>
        <v/>
      </c>
    </row>
    <row r="7" ht="18" customHeight="1">
      <c r="A7" s="5" t="inlineStr">
        <is>
          <t>Creek</t>
        </is>
      </c>
      <c r="B7" s="6" t="inlineStr">
        <is>
          <t>Canola</t>
        </is>
      </c>
      <c r="C7" s="7" t="n">
        <v>180</v>
      </c>
      <c r="D7" s="8" t="n">
        <v>37.9</v>
      </c>
      <c r="E7" s="6">
        <f>IF(D7&gt;50,"Yes","No")</f>
        <v/>
      </c>
      <c r="F7" s="9">
        <f>_xlfn.FORMULATEXT(E7)</f>
        <v/>
      </c>
    </row>
    <row r="8" ht="18" customHeight="1">
      <c r="A8" s="5" t="inlineStr">
        <is>
          <t>Home</t>
        </is>
      </c>
      <c r="B8" s="6" t="inlineStr">
        <is>
          <t>Barley</t>
        </is>
      </c>
      <c r="C8" s="7" t="n">
        <v>210</v>
      </c>
      <c r="D8" s="8" t="n">
        <v>72.40000000000001</v>
      </c>
      <c r="E8" s="6">
        <f>IF(D8&gt;50,"Yes","No")</f>
        <v/>
      </c>
      <c r="F8" s="9">
        <f>_xlfn.FORMULATEXT(E8)</f>
        <v/>
      </c>
    </row>
    <row r="9" ht="18" customHeight="1">
      <c r="A9" s="5" t="inlineStr">
        <is>
          <t>Rented</t>
        </is>
      </c>
      <c r="B9" s="6" t="inlineStr">
        <is>
          <t>Wheat</t>
        </is>
      </c>
      <c r="C9" s="7" t="n">
        <v>400</v>
      </c>
      <c r="D9" s="8" t="n">
        <v>61.3</v>
      </c>
      <c r="E9" s="6">
        <f>IF(D9&gt;50,"Yes","No")</f>
        <v/>
      </c>
      <c r="F9" s="9">
        <f>_xlfn.FORMULATEXT(E9)</f>
        <v/>
      </c>
    </row>
    <row r="10" ht="18" customHeight="1">
      <c r="A10" s="5" t="inlineStr">
        <is>
          <t>Airport</t>
        </is>
      </c>
      <c r="B10" s="6" t="inlineStr">
        <is>
          <t>Canola</t>
        </is>
      </c>
      <c r="C10" s="7" t="n">
        <v>150</v>
      </c>
      <c r="D10" s="8" t="n">
        <v>44.8</v>
      </c>
      <c r="E10" s="6">
        <f>IF(D10&gt;50,"Yes","No")</f>
        <v/>
      </c>
      <c r="F10" s="9">
        <f>_xlfn.FORMULATEXT(E10)</f>
        <v/>
      </c>
    </row>
    <row r="11" ht="18" customHeight="1">
      <c r="A11" s="5" t="inlineStr">
        <is>
          <t>Hill</t>
        </is>
      </c>
      <c r="B11" s="6" t="inlineStr">
        <is>
          <t>Barley</t>
        </is>
      </c>
      <c r="C11" s="7" t="n">
        <v>275</v>
      </c>
      <c r="D11" s="8" t="n">
        <v>68.09999999999999</v>
      </c>
      <c r="E11" s="6">
        <f>IF(D11&gt;50,"Yes","No")</f>
        <v/>
      </c>
      <c r="F11" s="9">
        <f>_xlfn.FORMULATEXT(E11)</f>
        <v/>
      </c>
    </row>
    <row r="12" ht="18" customHeight="1">
      <c r="A12" s="5" t="inlineStr">
        <is>
          <t>Slough</t>
        </is>
      </c>
      <c r="B12" s="6" t="inlineStr">
        <is>
          <t>Wheat</t>
        </is>
      </c>
      <c r="C12" s="7" t="n">
        <v>330</v>
      </c>
      <c r="D12" s="8" t="n">
        <v>55.2</v>
      </c>
      <c r="E12" s="6">
        <f>IF(D12&gt;50,"Yes","No")</f>
        <v/>
      </c>
      <c r="F12" s="9">
        <f>_xlfn.FORMULATEXT(E12)</f>
        <v/>
      </c>
    </row>
    <row r="13" ht="18" customHeight="1"/>
    <row r="14" ht="18" customHeight="1">
      <c r="A14" s="10" t="inlineStr">
        <is>
          <t>Questions about a subset</t>
        </is>
      </c>
    </row>
    <row r="15" ht="18" customHeight="1">
      <c r="A15" s="5" t="inlineStr">
        <is>
          <t>How many canola fields?</t>
        </is>
      </c>
      <c r="B15" s="8">
        <f>COUNTIF(B5:B12,"Canola")</f>
        <v/>
      </c>
      <c r="C15" s="9">
        <f>_xlfn.FORMULATEXT(B15)</f>
        <v/>
      </c>
    </row>
    <row r="16" ht="18" customHeight="1">
      <c r="A16" s="5" t="inlineStr">
        <is>
          <t>Total canola acres</t>
        </is>
      </c>
      <c r="B16" s="8">
        <f>SUMIF(B5:B12,"Canola",C5:C12)</f>
        <v/>
      </c>
      <c r="C16" s="9">
        <f>_xlfn.FORMULATEXT(B16)</f>
        <v/>
      </c>
    </row>
    <row r="17" ht="18" customHeight="1">
      <c r="A17" s="5" t="inlineStr">
        <is>
          <t>Average canola yield</t>
        </is>
      </c>
      <c r="B17" s="8">
        <f>AVERAGEIF(B5:B12,"Canola",D5:D12)</f>
        <v/>
      </c>
      <c r="C17" s="9">
        <f>_xlfn.FORMULATEXT(B17)</f>
        <v/>
      </c>
    </row>
    <row r="18" ht="18" customHeight="1">
      <c r="A18" s="5" t="inlineStr">
        <is>
          <t>How many yields above 60?</t>
        </is>
      </c>
      <c r="B18" s="8">
        <f>COUNTIF(D5:D12,"&gt;60")</f>
        <v/>
      </c>
      <c r="C18" s="9">
        <f>_xlfn.FORMULATEXT(B18)</f>
        <v/>
      </c>
    </row>
    <row r="19" ht="18" customHeight="1">
      <c r="A19" s="5" t="inlineStr">
        <is>
          <t>Average wheat yield over 250 ac</t>
        </is>
      </c>
      <c r="B19" s="8">
        <f>AVERAGEIFS(D5:D12,B5:B12,"Wheat",C5:C12,"&gt;250")</f>
        <v/>
      </c>
      <c r="C19" s="9">
        <f>_xlfn.FORMULATEXT(B19)</f>
        <v/>
      </c>
    </row>
    <row r="20" ht="18" customHeight="1">
      <c r="A20" s="5" t="inlineStr">
        <is>
          <t>How many above the average?</t>
        </is>
      </c>
      <c r="B20" s="8">
        <f>COUNTIF(D5:D12,"&gt;"&amp;AVERAGE(D5:D12))</f>
        <v/>
      </c>
      <c r="C20" s="9">
        <f>_xlfn.FORMULATEXT(B20)</f>
        <v/>
      </c>
    </row>
    <row r="21" ht="18" customHeight="1"/>
    <row r="22" ht="32" customHeight="1">
      <c r="A22" s="11" t="inlineStr">
        <is>
          <t>The last one is the awkward case: the threshold is itself a calculation, so you glue "&gt;" onto it with &amp;.  Quoting the whole thing as "&gt;AVERAGE(...)" would search for that literal text.</t>
        </is>
      </c>
    </row>
    <row r="23" ht="18" customHeight="1"/>
  </sheetData>
  <mergeCells count="8">
    <mergeCell ref="A2:F2"/>
    <mergeCell ref="C18:F18"/>
    <mergeCell ref="C17:F17"/>
    <mergeCell ref="C20:F20"/>
    <mergeCell ref="C16:F16"/>
    <mergeCell ref="A22:F22"/>
    <mergeCell ref="C15:F15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2026-08-18T03:09:14Z</dcterms:created>
  <dcterms:modified xsi:type="dcterms:W3CDTF">2026-08-18T03:09:14Z</dcterms:modified>
</cp:coreProperties>
</file>