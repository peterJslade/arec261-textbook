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2" documentId="11_74195C66500B808F356EBF704F5ED87656CDAAAD" xr6:coauthVersionLast="47" xr6:coauthVersionMax="47" xr10:uidLastSave="{DEBC4368-7F5B-44E1-A5D6-3995A896EA0F}"/>
  <bookViews>
    <workbookView xWindow="0" yWindow="0" windowWidth="0" windowHeight="0" xr2:uid="{00000000-000D-0000-FFFF-FFFF00000000}"/>
  </bookViews>
  <sheets>
    <sheet name="Formul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55" i="1"/>
  <c r="B55" i="1"/>
  <c r="C54" i="1"/>
  <c r="B54" i="1"/>
  <c r="C53" i="1"/>
  <c r="B53" i="1"/>
  <c r="C51" i="1"/>
  <c r="B51" i="1"/>
  <c r="C50" i="1"/>
  <c r="B50" i="1"/>
  <c r="C44" i="1"/>
  <c r="B44" i="1"/>
  <c r="C39" i="1"/>
  <c r="B39" i="1"/>
  <c r="C29" i="1"/>
  <c r="B29" i="1"/>
  <c r="C28" i="1"/>
  <c r="B28" i="1"/>
  <c r="C25" i="1"/>
  <c r="B25" i="1"/>
  <c r="C24" i="1"/>
  <c r="B24" i="1"/>
  <c r="C23" i="1"/>
  <c r="B23" i="1"/>
  <c r="C22" i="1"/>
  <c r="B22" i="1"/>
  <c r="C21" i="1"/>
  <c r="B21" i="1"/>
  <c r="C20" i="1"/>
  <c r="B20" i="1"/>
  <c r="C17" i="1"/>
  <c r="B17" i="1"/>
  <c r="C16" i="1"/>
  <c r="B16" i="1"/>
  <c r="C15" i="1"/>
  <c r="B15" i="1"/>
  <c r="C10" i="1"/>
  <c r="B10" i="1"/>
  <c r="C9" i="1"/>
  <c r="B9" i="1"/>
  <c r="C8" i="1"/>
  <c r="B8" i="1"/>
  <c r="C7" i="1"/>
  <c r="B7" i="1"/>
  <c r="B6" i="1"/>
</calcChain>
</file>

<file path=xl/sharedStrings.xml><?xml version="1.0" encoding="utf-8"?>
<sst xmlns="http://schemas.openxmlformats.org/spreadsheetml/2006/main" count="86" uniqueCount="80">
  <si>
    <t>Operators and the Order of Operations</t>
  </si>
  <si>
    <t>Column B computes the answer. Column C shows the formula that produced it, using FORMULATEXT().</t>
  </si>
  <si>
    <t>What it does</t>
  </si>
  <si>
    <t>Result</t>
  </si>
  <si>
    <t>The formula</t>
  </si>
  <si>
    <t>Note</t>
  </si>
  <si>
    <t>The five operators</t>
  </si>
  <si>
    <t>Add</t>
  </si>
  <si>
    <t>The + sign.</t>
  </si>
  <si>
    <t>Subtract</t>
  </si>
  <si>
    <t>The - sign.</t>
  </si>
  <si>
    <t>Multiply</t>
  </si>
  <si>
    <t>An asterisk, not an x.</t>
  </si>
  <si>
    <t>Divide</t>
  </si>
  <si>
    <t>A forward slash.</t>
  </si>
  <si>
    <t>Exponent</t>
  </si>
  <si>
    <t>The caret means 'to the power of'. 12 squared.</t>
  </si>
  <si>
    <t>Order of operations (PEMDAS)</t>
  </si>
  <si>
    <t>Excel works in this order: Parentheses, Exponents, Multiplication/Division, then Addition/Subtraction — left to right within each level.</t>
  </si>
  <si>
    <t>Multiplication before addition</t>
  </si>
  <si>
    <t>3*4 happens first, then +2. Not (2+3)*4.</t>
  </si>
  <si>
    <t>Parentheses force the order</t>
  </si>
  <si>
    <t>Same numbers, different answer.</t>
  </si>
  <si>
    <t>Exponent before multiplication</t>
  </si>
  <si>
    <t>3^2 = 9 first, then *2.</t>
  </si>
  <si>
    <t>A worked example: =3+6*(5+4)/3-7</t>
  </si>
  <si>
    <t>Step 1 — parentheses first</t>
  </si>
  <si>
    <t>Gives 9, so the expression becomes 3+6*9/3-7.</t>
  </si>
  <si>
    <t>Step 2 — multiply/divide, left to right</t>
  </si>
  <si>
    <t>Gives 54.</t>
  </si>
  <si>
    <t>Step 2 continued</t>
  </si>
  <si>
    <t>Gives 18, so the expression becomes 3+18-7.</t>
  </si>
  <si>
    <t>Step 3 — add/subtract, left to right</t>
  </si>
  <si>
    <t>Gives 21.</t>
  </si>
  <si>
    <t>Step 3 continued</t>
  </si>
  <si>
    <t>Gives the final answer.</t>
  </si>
  <si>
    <t>The whole thing at once</t>
  </si>
  <si>
    <t>Excel does all of the above in one go.</t>
  </si>
  <si>
    <t>Why parentheses matter</t>
  </si>
  <si>
    <t>Without parentheses</t>
  </si>
  <si>
    <t>Divide then multiply, left to right: 50*5.</t>
  </si>
  <si>
    <t>With parentheses</t>
  </si>
  <si>
    <t>The denominator is multiplied first: 100/10.</t>
  </si>
  <si>
    <t>Same three numbers, two very different answers. When in doubt, add parentheses — they never hurt.</t>
  </si>
  <si>
    <t>Cell formatting: the value vs. what you see</t>
  </si>
  <si>
    <t>Formatting changes only how a value LOOKS. The number underneath is unchanged.</t>
  </si>
  <si>
    <t>The formula / value</t>
  </si>
  <si>
    <t>A number formatted as a percent</t>
  </si>
  <si>
    <t>0.45</t>
  </si>
  <si>
    <t>The cell holds 0.45; Percent format displays it as 45%.</t>
  </si>
  <si>
    <t>A number formatted as currency</t>
  </si>
  <si>
    <t>1000</t>
  </si>
  <si>
    <t>The cell holds 1000; a formula referencing it still sees 1000.</t>
  </si>
  <si>
    <t>Double the percent cell</t>
  </si>
  <si>
    <t>Returns 0.9 — the formula used 0.45, not '45%'.</t>
  </si>
  <si>
    <t>The rounding illusion: 2 + 2 = 5</t>
  </si>
  <si>
    <t>First value</t>
  </si>
  <si>
    <t>2.4</t>
  </si>
  <si>
    <t>Holds 2.4 but formatted to show zero decimals, so it displays 2.</t>
  </si>
  <si>
    <t>Second value</t>
  </si>
  <si>
    <t>Add them together</t>
  </si>
  <si>
    <t>True total is 4.8, displayed as 5. The sheet appears to say 2+2=5.</t>
  </si>
  <si>
    <t>Dates: a real date is a number; a text date is not</t>
  </si>
  <si>
    <t>A date Excel understands is stored as a number of days, so you can do arithmetic on it. A date typed as text looks the same but breaks.</t>
  </si>
  <si>
    <t>A REAL date (stored as a number)</t>
  </si>
  <si>
    <t>2026-09-07</t>
  </si>
  <si>
    <t>Right-aligned by default — a hint that Excel sees a number.</t>
  </si>
  <si>
    <t>Add 7 days to the real date</t>
  </si>
  <si>
    <t>Works: gives the next Monday. This is how you build a weekly column.</t>
  </si>
  <si>
    <t>Show the number underneath</t>
  </si>
  <si>
    <t>The serial number: days since 1900. That is what a date really is.</t>
  </si>
  <si>
    <t>A TEXT date (looks identical!)</t>
  </si>
  <si>
    <t>"2026-09-07" typed as text</t>
  </si>
  <si>
    <t>Left-aligned by default — the giveaway that Excel sees text, not a date.</t>
  </si>
  <si>
    <t>Try to add 7 to the text date</t>
  </si>
  <si>
    <t>#VALUE! — you cannot do arithmetic on text. THIS is the bug to watch for.</t>
  </si>
  <si>
    <t>Check what Excel thinks each one is</t>
  </si>
  <si>
    <t>TRUE / FALSE: the real date is a number, the text date is not.</t>
  </si>
  <si>
    <t>Fix a text date</t>
  </si>
  <si>
    <t>DATEVALUE converts text into a real date you can compute with.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</si>
</sst>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\-mm\-dd"/>
  </numFmts>
  <fonts count="7">
    <font>
      <sz val="11"/>
      <color theme="1"/>
      <name val="Calibri"/>
      <family val="2"/>
      <scheme val="minor"/>
    </font>
    <font>
      <b/>
      <sz val="14"/>
      <color rgb="FF4A7C59"/>
      <name val="Arial"/>
    </font>
    <font>
      <sz val="10"/>
      <color rgb="FF5C6B62"/>
      <name val="Arial"/>
    </font>
    <font>
      <b/>
      <sz val="11"/>
      <color rgb="FFFFFFFF"/>
      <name val="Arial"/>
    </font>
    <font>
      <b/>
      <sz val="10"/>
      <color rgb="FF24302A"/>
      <name val="Arial"/>
    </font>
    <font>
      <sz val="10"/>
      <color rgb="FF24302A"/>
      <name val="Arial"/>
    </font>
    <font>
      <sz val="10"/>
      <color rgb="FF2F5D46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4A7C59"/>
      </patternFill>
    </fill>
    <fill>
      <patternFill patternType="solid">
        <fgColor rgb="FFEE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0" fillId="3" borderId="0" xfId="0" applyFill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3" fillId="2" borderId="0" xfId="0" applyFont="1" applyFill="1"/>
    <xf numFmtId="9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2" fillId="0" borderId="0" xfId="0" applyFont="1" applyAlignment="1"/>
    <xf numFmtId="0" fontId="0" fillId="0" borderId="0" xfId="0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pane ySplit="4" topLeftCell="A5" activePane="bottomLeft" state="frozen"/>
      <selection pane="bottomLeft" activeCell="C7" sqref="C7"/>
    </sheetView>
  </sheetViews>
  <sheetFormatPr defaultRowHeight="15"/>
  <cols>
    <col min="1" max="1" width="34" customWidth="1"/>
    <col min="2" max="2" width="14" customWidth="1"/>
    <col min="3" max="3" width="26" customWidth="1"/>
    <col min="4" max="4" width="52" customWidth="1"/>
  </cols>
  <sheetData>
    <row r="1" spans="1:4" ht="18" customHeight="1">
      <c r="A1" s="1" t="s">
        <v>0</v>
      </c>
    </row>
    <row r="2" spans="1:4" ht="18" customHeight="1">
      <c r="A2" s="2" t="s">
        <v>1</v>
      </c>
    </row>
    <row r="3" spans="1:4" ht="18" customHeight="1"/>
    <row r="4" spans="1:4" ht="18" customHeight="1">
      <c r="A4" s="3" t="s">
        <v>2</v>
      </c>
      <c r="B4" s="4" t="s">
        <v>3</v>
      </c>
      <c r="C4" s="3" t="s">
        <v>4</v>
      </c>
      <c r="D4" s="3" t="s">
        <v>5</v>
      </c>
    </row>
    <row r="5" spans="1:4" ht="18" customHeight="1">
      <c r="A5" s="5" t="s">
        <v>6</v>
      </c>
      <c r="B5" s="6"/>
      <c r="C5" s="6"/>
      <c r="D5" s="6"/>
    </row>
    <row r="6" spans="1:4" ht="18" customHeight="1">
      <c r="A6" s="7" t="s">
        <v>7</v>
      </c>
      <c r="B6" s="8">
        <f>12+5</f>
        <v>17</v>
      </c>
      <c r="C6" s="9" t="str">
        <f ca="1">_xlfn.FORMULATEXT(B6)</f>
        <v>=12+5</v>
      </c>
      <c r="D6" s="2" t="s">
        <v>8</v>
      </c>
    </row>
    <row r="7" spans="1:4" ht="18" customHeight="1">
      <c r="A7" s="7" t="s">
        <v>9</v>
      </c>
      <c r="B7" s="8">
        <f>12-5</f>
        <v>7</v>
      </c>
      <c r="C7" s="9" t="e">
        <f ca="1">_xludf.FORMULATEXT(B7)</f>
        <v>#NAME?</v>
      </c>
      <c r="D7" s="2" t="s">
        <v>10</v>
      </c>
    </row>
    <row r="8" spans="1:4" ht="18" customHeight="1">
      <c r="A8" s="7" t="s">
        <v>11</v>
      </c>
      <c r="B8" s="8">
        <f>12*5</f>
        <v>60</v>
      </c>
      <c r="C8" s="9" t="e">
        <f ca="1">_xludf.FORMULATEXT(B8)</f>
        <v>#NAME?</v>
      </c>
      <c r="D8" s="2" t="s">
        <v>12</v>
      </c>
    </row>
    <row r="9" spans="1:4" ht="18" customHeight="1">
      <c r="A9" s="7" t="s">
        <v>13</v>
      </c>
      <c r="B9" s="8">
        <f>12/5</f>
        <v>2.4</v>
      </c>
      <c r="C9" s="9" t="e">
        <f ca="1">_xludf.FORMULATEXT(B9)</f>
        <v>#NAME?</v>
      </c>
      <c r="D9" s="2" t="s">
        <v>14</v>
      </c>
    </row>
    <row r="10" spans="1:4" ht="18" customHeight="1">
      <c r="A10" s="7" t="s">
        <v>15</v>
      </c>
      <c r="B10" s="8">
        <f>12^2</f>
        <v>144</v>
      </c>
      <c r="C10" s="9" t="e">
        <f ca="1">_xludf.FORMULATEXT(B10)</f>
        <v>#NAME?</v>
      </c>
      <c r="D10" s="2" t="s">
        <v>16</v>
      </c>
    </row>
    <row r="11" spans="1:4" ht="18" customHeight="1"/>
    <row r="12" spans="1:4" ht="18" customHeight="1">
      <c r="A12" s="5" t="s">
        <v>17</v>
      </c>
      <c r="B12" s="6"/>
      <c r="C12" s="6"/>
      <c r="D12" s="6"/>
    </row>
    <row r="13" spans="1:4" ht="18" customHeight="1">
      <c r="A13" s="15" t="s">
        <v>18</v>
      </c>
      <c r="B13" s="16"/>
      <c r="C13" s="16"/>
      <c r="D13" s="16"/>
    </row>
    <row r="14" spans="1:4" ht="18" customHeight="1"/>
    <row r="15" spans="1:4" ht="18" customHeight="1">
      <c r="A15" s="7" t="s">
        <v>19</v>
      </c>
      <c r="B15" s="8">
        <f>2+3*4</f>
        <v>14</v>
      </c>
      <c r="C15" s="9" t="e">
        <f ca="1">_xludf.FORMULATEXT(B15)</f>
        <v>#NAME?</v>
      </c>
      <c r="D15" s="2" t="s">
        <v>20</v>
      </c>
    </row>
    <row r="16" spans="1:4" ht="18" customHeight="1">
      <c r="A16" s="7" t="s">
        <v>21</v>
      </c>
      <c r="B16" s="8">
        <f>(2+3)*4</f>
        <v>20</v>
      </c>
      <c r="C16" s="9" t="e">
        <f ca="1">_xludf.FORMULATEXT(B16)</f>
        <v>#NAME?</v>
      </c>
      <c r="D16" s="2" t="s">
        <v>22</v>
      </c>
    </row>
    <row r="17" spans="1:4" ht="18" customHeight="1">
      <c r="A17" s="7" t="s">
        <v>23</v>
      </c>
      <c r="B17" s="8">
        <f>2*3^2</f>
        <v>18</v>
      </c>
      <c r="C17" s="9" t="e">
        <f ca="1">_xludf.FORMULATEXT(B17)</f>
        <v>#NAME?</v>
      </c>
      <c r="D17" s="2" t="s">
        <v>24</v>
      </c>
    </row>
    <row r="18" spans="1:4" ht="18" customHeight="1"/>
    <row r="19" spans="1:4" ht="18" customHeight="1">
      <c r="A19" s="5" t="s">
        <v>25</v>
      </c>
      <c r="B19" s="6"/>
      <c r="C19" s="6"/>
      <c r="D19" s="6"/>
    </row>
    <row r="20" spans="1:4" ht="18" customHeight="1">
      <c r="A20" s="7" t="s">
        <v>26</v>
      </c>
      <c r="B20" s="8">
        <f>5+4</f>
        <v>9</v>
      </c>
      <c r="C20" s="9" t="e">
        <f ca="1">_xludf.FORMULATEXT(B20)</f>
        <v>#NAME?</v>
      </c>
      <c r="D20" s="2" t="s">
        <v>27</v>
      </c>
    </row>
    <row r="21" spans="1:4" ht="18" customHeight="1">
      <c r="A21" s="7" t="s">
        <v>28</v>
      </c>
      <c r="B21" s="8">
        <f>6*9</f>
        <v>54</v>
      </c>
      <c r="C21" s="9" t="e">
        <f ca="1">_xludf.FORMULATEXT(B21)</f>
        <v>#NAME?</v>
      </c>
      <c r="D21" s="2" t="s">
        <v>29</v>
      </c>
    </row>
    <row r="22" spans="1:4" ht="18" customHeight="1">
      <c r="A22" s="7" t="s">
        <v>30</v>
      </c>
      <c r="B22" s="8">
        <f>54/3</f>
        <v>18</v>
      </c>
      <c r="C22" s="9" t="e">
        <f ca="1">_xludf.FORMULATEXT(B22)</f>
        <v>#NAME?</v>
      </c>
      <c r="D22" s="2" t="s">
        <v>31</v>
      </c>
    </row>
    <row r="23" spans="1:4" ht="18" customHeight="1">
      <c r="A23" s="7" t="s">
        <v>32</v>
      </c>
      <c r="B23" s="8">
        <f>3+18</f>
        <v>21</v>
      </c>
      <c r="C23" s="9" t="e">
        <f ca="1">_xludf.FORMULATEXT(B23)</f>
        <v>#NAME?</v>
      </c>
      <c r="D23" s="2" t="s">
        <v>33</v>
      </c>
    </row>
    <row r="24" spans="1:4" ht="18" customHeight="1">
      <c r="A24" s="7" t="s">
        <v>34</v>
      </c>
      <c r="B24" s="8">
        <f>21-7</f>
        <v>14</v>
      </c>
      <c r="C24" s="9" t="e">
        <f ca="1">_xludf.FORMULATEXT(B24)</f>
        <v>#NAME?</v>
      </c>
      <c r="D24" s="2" t="s">
        <v>35</v>
      </c>
    </row>
    <row r="25" spans="1:4" ht="18" customHeight="1">
      <c r="A25" s="7" t="s">
        <v>36</v>
      </c>
      <c r="B25" s="8">
        <f>3+6*(5+4)/3-7</f>
        <v>14</v>
      </c>
      <c r="C25" s="9" t="e">
        <f ca="1">_xludf.FORMULATEXT(B25)</f>
        <v>#NAME?</v>
      </c>
      <c r="D25" s="2" t="s">
        <v>37</v>
      </c>
    </row>
    <row r="26" spans="1:4" ht="18" customHeight="1"/>
    <row r="27" spans="1:4" ht="18" customHeight="1">
      <c r="A27" s="5" t="s">
        <v>38</v>
      </c>
      <c r="B27" s="6"/>
      <c r="C27" s="6"/>
      <c r="D27" s="6"/>
    </row>
    <row r="28" spans="1:4" ht="18" customHeight="1">
      <c r="A28" s="7" t="s">
        <v>39</v>
      </c>
      <c r="B28" s="8">
        <f>100/2*5</f>
        <v>250</v>
      </c>
      <c r="C28" s="9" t="e">
        <f ca="1">_xludf.FORMULATEXT(B28)</f>
        <v>#NAME?</v>
      </c>
      <c r="D28" s="2" t="s">
        <v>40</v>
      </c>
    </row>
    <row r="29" spans="1:4" ht="18" customHeight="1">
      <c r="A29" s="7" t="s">
        <v>41</v>
      </c>
      <c r="B29" s="8">
        <f>100/(2*5)</f>
        <v>10</v>
      </c>
      <c r="C29" s="9" t="e">
        <f ca="1">_xludf.FORMULATEXT(B29)</f>
        <v>#NAME?</v>
      </c>
      <c r="D29" s="2" t="s">
        <v>42</v>
      </c>
    </row>
    <row r="30" spans="1:4" ht="18" customHeight="1"/>
    <row r="31" spans="1:4" ht="18" customHeight="1">
      <c r="A31" s="17" t="s">
        <v>43</v>
      </c>
      <c r="B31" s="16"/>
      <c r="C31" s="16"/>
      <c r="D31" s="16"/>
    </row>
    <row r="32" spans="1:4" ht="18" customHeight="1"/>
    <row r="33" spans="1:4" ht="18" customHeight="1">
      <c r="A33" s="5" t="s">
        <v>44</v>
      </c>
      <c r="B33" s="6"/>
      <c r="C33" s="6"/>
      <c r="D33" s="6"/>
    </row>
    <row r="34" spans="1:4" ht="18" customHeight="1">
      <c r="A34" s="15" t="s">
        <v>45</v>
      </c>
      <c r="B34" s="16"/>
      <c r="C34" s="16"/>
      <c r="D34" s="16"/>
    </row>
    <row r="35" spans="1:4" ht="18" customHeight="1"/>
    <row r="36" spans="1:4" ht="18" customHeight="1">
      <c r="A36" s="10" t="s">
        <v>2</v>
      </c>
      <c r="B36" s="10" t="s">
        <v>3</v>
      </c>
      <c r="C36" s="10" t="s">
        <v>46</v>
      </c>
      <c r="D36" s="10" t="s">
        <v>5</v>
      </c>
    </row>
    <row r="37" spans="1:4" ht="18" customHeight="1">
      <c r="A37" s="7" t="s">
        <v>47</v>
      </c>
      <c r="B37" s="11">
        <v>0.45</v>
      </c>
      <c r="C37" s="9" t="s">
        <v>48</v>
      </c>
      <c r="D37" s="2" t="s">
        <v>49</v>
      </c>
    </row>
    <row r="38" spans="1:4" ht="18" customHeight="1">
      <c r="A38" s="7" t="s">
        <v>50</v>
      </c>
      <c r="B38" s="12">
        <v>1000</v>
      </c>
      <c r="C38" s="9" t="s">
        <v>51</v>
      </c>
      <c r="D38" s="2" t="s">
        <v>52</v>
      </c>
    </row>
    <row r="39" spans="1:4" ht="18" customHeight="1">
      <c r="A39" s="7" t="s">
        <v>53</v>
      </c>
      <c r="B39" s="8">
        <f>B37*2</f>
        <v>0.9</v>
      </c>
      <c r="C39" s="9" t="e">
        <f ca="1">_xludf.FORMULATEXT(B39)</f>
        <v>#NAME?</v>
      </c>
      <c r="D39" s="2" t="s">
        <v>54</v>
      </c>
    </row>
    <row r="40" spans="1:4" ht="18" customHeight="1"/>
    <row r="41" spans="1:4" ht="18" customHeight="1">
      <c r="A41" s="5" t="s">
        <v>55</v>
      </c>
      <c r="B41" s="6"/>
      <c r="C41" s="6"/>
      <c r="D41" s="6"/>
    </row>
    <row r="42" spans="1:4" ht="18" customHeight="1">
      <c r="A42" s="7" t="s">
        <v>56</v>
      </c>
      <c r="B42" s="13">
        <v>2.4</v>
      </c>
      <c r="C42" s="9" t="s">
        <v>57</v>
      </c>
      <c r="D42" s="2" t="s">
        <v>58</v>
      </c>
    </row>
    <row r="43" spans="1:4" ht="18" customHeight="1">
      <c r="A43" s="7" t="s">
        <v>59</v>
      </c>
      <c r="B43" s="13">
        <v>2.4</v>
      </c>
      <c r="C43" s="9" t="s">
        <v>57</v>
      </c>
      <c r="D43" s="2" t="s">
        <v>58</v>
      </c>
    </row>
    <row r="44" spans="1:4" ht="18" customHeight="1">
      <c r="A44" s="7" t="s">
        <v>60</v>
      </c>
      <c r="B44" s="13">
        <f>B42+B43</f>
        <v>4.8</v>
      </c>
      <c r="C44" s="9" t="e">
        <f ca="1">_xludf.FORMULATEXT(B44)</f>
        <v>#NAME?</v>
      </c>
      <c r="D44" s="2" t="s">
        <v>61</v>
      </c>
    </row>
    <row r="45" spans="1:4" ht="18" customHeight="1"/>
    <row r="46" spans="1:4" ht="18" customHeight="1">
      <c r="A46" s="5" t="s">
        <v>62</v>
      </c>
      <c r="B46" s="6"/>
      <c r="C46" s="6"/>
      <c r="D46" s="6"/>
    </row>
    <row r="47" spans="1:4" ht="18" customHeight="1">
      <c r="A47" s="15" t="s">
        <v>63</v>
      </c>
      <c r="B47" s="16"/>
      <c r="C47" s="16"/>
      <c r="D47" s="16"/>
    </row>
    <row r="48" spans="1:4" ht="18" customHeight="1"/>
    <row r="49" spans="1:4" ht="18" customHeight="1">
      <c r="A49" s="7" t="s">
        <v>64</v>
      </c>
      <c r="B49" s="14">
        <v>46272</v>
      </c>
      <c r="C49" s="9" t="s">
        <v>65</v>
      </c>
      <c r="D49" s="2" t="s">
        <v>66</v>
      </c>
    </row>
    <row r="50" spans="1:4" ht="18" customHeight="1">
      <c r="A50" s="7" t="s">
        <v>67</v>
      </c>
      <c r="B50" s="14">
        <f>B49+7</f>
        <v>46279</v>
      </c>
      <c r="C50" s="9" t="e">
        <f ca="1">_xludf.FORMULATEXT(B50)</f>
        <v>#NAME?</v>
      </c>
      <c r="D50" s="2" t="s">
        <v>68</v>
      </c>
    </row>
    <row r="51" spans="1:4" ht="18" customHeight="1">
      <c r="A51" s="7" t="s">
        <v>69</v>
      </c>
      <c r="B51" s="13">
        <f>B49*1</f>
        <v>46272</v>
      </c>
      <c r="C51" s="9" t="e">
        <f ca="1">_xludf.FORMULATEXT(B51)</f>
        <v>#NAME?</v>
      </c>
      <c r="D51" s="2" t="s">
        <v>70</v>
      </c>
    </row>
    <row r="52" spans="1:4" ht="18" customHeight="1">
      <c r="A52" s="7" t="s">
        <v>71</v>
      </c>
      <c r="B52" s="8" t="s">
        <v>65</v>
      </c>
      <c r="C52" s="9" t="s">
        <v>72</v>
      </c>
      <c r="D52" s="2" t="s">
        <v>73</v>
      </c>
    </row>
    <row r="53" spans="1:4" ht="18" customHeight="1">
      <c r="A53" s="7" t="s">
        <v>74</v>
      </c>
      <c r="B53" s="8">
        <f>B52+7</f>
        <v>46279</v>
      </c>
      <c r="C53" s="9" t="e">
        <f ca="1">_xludf.FORMULATEXT(B53)</f>
        <v>#NAME?</v>
      </c>
      <c r="D53" s="2" t="s">
        <v>75</v>
      </c>
    </row>
    <row r="54" spans="1:4" ht="18" customHeight="1">
      <c r="A54" s="7" t="s">
        <v>76</v>
      </c>
      <c r="B54" s="8" t="str">
        <f>ISNUMBER(B49)&amp;" / "&amp;ISNUMBER(B52)</f>
        <v>TRUE / FALSE</v>
      </c>
      <c r="C54" s="9" t="e">
        <f ca="1">_xludf.FORMULATEXT(B54)</f>
        <v>#NAME?</v>
      </c>
      <c r="D54" s="2" t="s">
        <v>77</v>
      </c>
    </row>
    <row r="55" spans="1:4" ht="18" customHeight="1">
      <c r="A55" s="7" t="s">
        <v>78</v>
      </c>
      <c r="B55" s="14">
        <f>DATEVALUE(B52)</f>
        <v>46272</v>
      </c>
      <c r="C55" s="9" t="e">
        <f ca="1">_xludf.FORMULATEXT(B55)</f>
        <v>#NAME?</v>
      </c>
      <c r="D55" s="2" t="s">
        <v>79</v>
      </c>
    </row>
    <row r="56" spans="1:4" ht="18" customHeight="1"/>
    <row r="57" spans="1:4" ht="18" customHeight="1"/>
  </sheetData>
  <mergeCells count="4">
    <mergeCell ref="A34:D34"/>
    <mergeCell ref="A31:D31"/>
    <mergeCell ref="A13:D13"/>
    <mergeCell ref="A47:D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Slade, Peter</cp:lastModifiedBy>
  <cp:revision/>
  <dcterms:created xsi:type="dcterms:W3CDTF">2026-08-17T03:36:46Z</dcterms:created>
  <dcterms:modified xsi:type="dcterms:W3CDTF">2026-08-17T03:44:10Z</dcterms:modified>
  <cp:category/>
  <cp:contentStatus/>
</cp:coreProperties>
</file>