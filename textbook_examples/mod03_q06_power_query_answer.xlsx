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https://usaskca1-my.sharepoint.com/personal/pjs998_usask_ca/Documents/Teaching/261/2026/textbook_261/textbook_examples/"/>
    </mc:Choice>
  </mc:AlternateContent>
  <xr:revisionPtr revIDLastSave="22" documentId="11_EEE185E610F0B99BBB0E1DBFA3EA3C70A1B35C3C" xr6:coauthVersionLast="47" xr6:coauthVersionMax="47" xr10:uidLastSave="{DE467621-4EDD-1A44-ACFA-EC5A4B90DD8D}"/>
  <bookViews>
    <workbookView xWindow="0" yWindow="600" windowWidth="38400" windowHeight="21000" xr2:uid="{00000000-000D-0000-FFFF-FFFF00000000}"/>
  </bookViews>
  <sheets>
    <sheet name="q06_tickets" sheetId="2" r:id="rId1"/>
    <sheet name="Answer" sheetId="1" state="hidden" r:id="rId2"/>
  </sheets>
  <definedNames>
    <definedName name="ExternalData_1" localSheetId="0" hidden="1">q06_tickets!$A$1:$I$21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498A44-1E84-994C-A963-AFCCB2E3A9C0}" keepAlive="1" name="Query - q06_tickets" description="Connection to the 'q06_tickets' query in the workbook." type="5" refreshedVersion="8" background="1" saveData="1">
    <dbPr connection="Provider=Microsoft.Mashup.OleDb.1;Data Source=$Workbook$;Location=q06_tickets;Extended Properties=&quot;&quot;" command="SELECT * FROM [q06_tickets]"/>
  </connection>
</connections>
</file>

<file path=xl/sharedStrings.xml><?xml version="1.0" encoding="utf-8"?>
<sst xmlns="http://schemas.openxmlformats.org/spreadsheetml/2006/main" count="153" uniqueCount="101">
  <si>
    <t>Question 6 — Power Query answer</t>
  </si>
  <si>
    <t>Protecting identifiers from automatic conversion</t>
  </si>
  <si>
    <t>Results</t>
  </si>
  <si>
    <t>Crop</t>
  </si>
  <si>
    <t>Tickets</t>
  </si>
  <si>
    <t>Spring Wheat</t>
  </si>
  <si>
    <t>Canola</t>
  </si>
  <si>
    <t>Peas</t>
  </si>
  <si>
    <t>Barley</t>
  </si>
  <si>
    <t>Oats</t>
  </si>
  <si>
    <t>Written answer</t>
  </si>
  <si>
    <t>Opening the CSV directly can remove the leading zeros from ticket_id, round the sixteenth digit of permit_book, and interpret lot codes such as 8-5 as dates. Setting all three columns to Text preserves the identifiers.</t>
  </si>
  <si>
    <t>Power Query steps</t>
  </si>
  <si>
    <t>Source with type detection off → Promoted Headers → Typed identifiers → Changed remaining types</t>
  </si>
  <si>
    <t>Source</t>
  </si>
  <si>
    <t>practice/data/module03/q02_tickets.csv</t>
  </si>
  <si>
    <t>ticket_id</t>
  </si>
  <si>
    <t>permit_book</t>
  </si>
  <si>
    <t>lot_code</t>
  </si>
  <si>
    <t>delivery_date</t>
  </si>
  <si>
    <t>crop</t>
  </si>
  <si>
    <t>weight_tonnes</t>
  </si>
  <si>
    <t>moisture_pct</t>
  </si>
  <si>
    <t>elevator</t>
  </si>
  <si>
    <t>postal_code</t>
  </si>
  <si>
    <t>00101</t>
  </si>
  <si>
    <t>4520634070034428</t>
  </si>
  <si>
    <t>8-5</t>
  </si>
  <si>
    <t>Davidson</t>
  </si>
  <si>
    <t>S0G 1B0</t>
  </si>
  <si>
    <t>00102</t>
  </si>
  <si>
    <t>4520716750135909</t>
  </si>
  <si>
    <t>4-13</t>
  </si>
  <si>
    <t>00103</t>
  </si>
  <si>
    <t>4520393470422445</t>
  </si>
  <si>
    <t>4-4</t>
  </si>
  <si>
    <t>Rosetown</t>
  </si>
  <si>
    <t>S0L 2N0</t>
  </si>
  <si>
    <t>00104</t>
  </si>
  <si>
    <t>4520207634350457</t>
  </si>
  <si>
    <t>1-10</t>
  </si>
  <si>
    <t>S7K 3J7</t>
  </si>
  <si>
    <t>00105</t>
  </si>
  <si>
    <t>4520811457125823</t>
  </si>
  <si>
    <t>8-9</t>
  </si>
  <si>
    <t>00106</t>
  </si>
  <si>
    <t>4520403735366272</t>
  </si>
  <si>
    <t>8-2</t>
  </si>
  <si>
    <t>Outlook</t>
  </si>
  <si>
    <t>S0L 2V0</t>
  </si>
  <si>
    <t>00107</t>
  </si>
  <si>
    <t>4520564046930113</t>
  </si>
  <si>
    <t>Biggar</t>
  </si>
  <si>
    <t>S0K 0M0</t>
  </si>
  <si>
    <t>00108</t>
  </si>
  <si>
    <t>4520484745987660</t>
  </si>
  <si>
    <t>4-12</t>
  </si>
  <si>
    <t>00109</t>
  </si>
  <si>
    <t>4520899232113750</t>
  </si>
  <si>
    <t>2-5</t>
  </si>
  <si>
    <t>00110</t>
  </si>
  <si>
    <t>4520127672220109</t>
  </si>
  <si>
    <t>5-11</t>
  </si>
  <si>
    <t>Kindersley</t>
  </si>
  <si>
    <t>00111</t>
  </si>
  <si>
    <t>4520430639060820</t>
  </si>
  <si>
    <t>5-14</t>
  </si>
  <si>
    <t>00112</t>
  </si>
  <si>
    <t>4520659469705903</t>
  </si>
  <si>
    <t>5-7</t>
  </si>
  <si>
    <t>00113</t>
  </si>
  <si>
    <t>4520992478758035</t>
  </si>
  <si>
    <t>00114</t>
  </si>
  <si>
    <t>4520481766359452</t>
  </si>
  <si>
    <t>9-2</t>
  </si>
  <si>
    <t>00115</t>
  </si>
  <si>
    <t>4520251437955025</t>
  </si>
  <si>
    <t>5-15</t>
  </si>
  <si>
    <t>00116</t>
  </si>
  <si>
    <t>4520630390403961</t>
  </si>
  <si>
    <t>8-7</t>
  </si>
  <si>
    <t>00117</t>
  </si>
  <si>
    <t>4520272313389591</t>
  </si>
  <si>
    <t>4-14</t>
  </si>
  <si>
    <t>00118</t>
  </si>
  <si>
    <t>4520540794252939</t>
  </si>
  <si>
    <t>7-1</t>
  </si>
  <si>
    <t>00119</t>
  </si>
  <si>
    <t>4520819641343402</t>
  </si>
  <si>
    <t>5-12</t>
  </si>
  <si>
    <t>00120</t>
  </si>
  <si>
    <t>4520093948166682</t>
  </si>
  <si>
    <t>1-5</t>
  </si>
  <si>
    <t>S0L 1S0</t>
  </si>
  <si>
    <t>Part b</t>
  </si>
  <si>
    <t>Part c</t>
  </si>
  <si>
    <t>Spring Wheat / Canola</t>
  </si>
  <si>
    <t>Peas / Barley</t>
  </si>
  <si>
    <t>Opening the CSV directly can remove ticket_id leading zeros, round a 16-digit permit_book after Excel’s 15-digit precision limit, and interpret lot_code values such as 8-5 as dates. Importing with Power Query and setting all three to Text prevents those changes.</t>
  </si>
  <si>
    <t>5 each</t>
  </si>
  <si>
    <t>4 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</si>
</sst>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1"/>
      <color rgb="FF222222"/>
      <name val="Arial"/>
      <family val="2"/>
    </font>
    <font>
      <b/>
      <sz val="16"/>
      <color rgb="FF17365D"/>
      <name val="Arial"/>
      <family val="2"/>
    </font>
    <font>
      <i/>
      <sz val="11"/>
      <color rgb="FF555555"/>
      <name val="Arial"/>
      <family val="2"/>
    </font>
    <font>
      <b/>
      <sz val="11"/>
      <color rgb="FF17365D"/>
      <name val="Arial"/>
      <family val="2"/>
    </font>
    <font>
      <b/>
      <sz val="11"/>
      <color rgb="FFFFFFFF"/>
      <name val="Arial"/>
      <family val="2"/>
    </font>
    <font>
      <sz val="10"/>
      <color rgb="FF44444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F8FAF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8EA9C1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1" xfId="0" applyFont="1" applyBorder="1"/>
    <xf numFmtId="0" fontId="4" fillId="2" borderId="0" xfId="0" applyFont="1" applyFill="1"/>
    <xf numFmtId="0" fontId="5" fillId="3" borderId="0" xfId="0" applyFont="1" applyFill="1" applyAlignment="1">
      <alignment horizontal="center"/>
    </xf>
    <xf numFmtId="0" fontId="1" fillId="0" borderId="2" xfId="0" applyFont="1" applyBorder="1"/>
    <xf numFmtId="1" fontId="1" fillId="0" borderId="3" xfId="0" applyNumberFormat="1" applyFont="1" applyBorder="1"/>
    <xf numFmtId="0" fontId="1" fillId="0" borderId="4" xfId="0" applyFont="1" applyBorder="1"/>
    <xf numFmtId="1" fontId="1" fillId="0" borderId="5" xfId="0" applyNumberFormat="1" applyFont="1" applyBorder="1"/>
    <xf numFmtId="0" fontId="1" fillId="0" borderId="6" xfId="0" applyFont="1" applyBorder="1"/>
    <xf numFmtId="1" fontId="1" fillId="0" borderId="7" xfId="0" applyNumberFormat="1" applyFont="1" applyBorder="1"/>
    <xf numFmtId="0" fontId="1" fillId="4" borderId="7" xfId="0" applyFont="1" applyFill="1" applyBorder="1" applyAlignment="1">
      <alignment vertical="top" wrapText="1"/>
    </xf>
    <xf numFmtId="0" fontId="1" fillId="4" borderId="6" xfId="0" applyFont="1" applyFill="1" applyBorder="1" applyAlignment="1">
      <alignment vertical="top" wrapText="1"/>
    </xf>
    <xf numFmtId="0" fontId="1" fillId="4" borderId="3" xfId="0" applyFont="1" applyFill="1" applyBorder="1" applyAlignment="1">
      <alignment vertical="top" wrapText="1"/>
    </xf>
    <xf numFmtId="0" fontId="1" fillId="4" borderId="2" xfId="0" applyFont="1" applyFill="1" applyBorder="1" applyAlignment="1">
      <alignment vertical="top" wrapText="1"/>
    </xf>
    <xf numFmtId="0" fontId="1" fillId="4" borderId="0" xfId="0" applyFont="1" applyFill="1" applyAlignment="1">
      <alignment wrapText="1"/>
    </xf>
    <xf numFmtId="0" fontId="6" fillId="4" borderId="0" xfId="0" applyFont="1" applyFill="1" applyAlignment="1">
      <alignment vertical="top" wrapText="1"/>
    </xf>
    <xf numFmtId="0" fontId="0" fillId="0" borderId="0" xfId="0" applyNumberFormat="1"/>
    <xf numFmtId="14" fontId="0" fillId="0" borderId="0" xfId="0" applyNumberFormat="1"/>
    <xf numFmtId="0" fontId="0" fillId="5" borderId="0" xfId="0" applyFill="1"/>
    <xf numFmtId="0" fontId="1" fillId="5" borderId="2" xfId="0" applyFont="1" applyFill="1" applyBorder="1"/>
    <xf numFmtId="0" fontId="1" fillId="5" borderId="4" xfId="0" applyFont="1" applyFill="1" applyBorder="1"/>
    <xf numFmtId="0" fontId="1" fillId="5" borderId="6" xfId="0" applyFont="1" applyFill="1" applyBorder="1"/>
    <xf numFmtId="0" fontId="1" fillId="6" borderId="0" xfId="0" applyFont="1" applyFill="1"/>
    <xf numFmtId="0" fontId="0" fillId="6" borderId="0" xfId="0" applyFill="1"/>
    <xf numFmtId="0" fontId="0" fillId="6" borderId="0" xfId="0" applyFill="1" applyAlignment="1">
      <alignment horizontal="center"/>
    </xf>
    <xf numFmtId="16" fontId="0" fillId="5" borderId="0" xfId="0" applyNumberFormat="1" applyFill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0BC03A0-FCB0-4F4B-AB6F-E9FA032BF6C6}" autoFormatId="16" applyNumberFormats="0" applyBorderFormats="0" applyFontFormats="0" applyPatternFormats="0" applyAlignmentFormats="0" applyWidthHeightFormats="0">
  <queryTableRefresh nextId="10">
    <queryTableFields count="9">
      <queryTableField id="1" name="ticket_id" tableColumnId="1"/>
      <queryTableField id="2" name="permit_book" tableColumnId="2"/>
      <queryTableField id="3" name="lot_code" tableColumnId="3"/>
      <queryTableField id="4" name="delivery_date" tableColumnId="4"/>
      <queryTableField id="5" name="crop" tableColumnId="5"/>
      <queryTableField id="6" name="weight_tonnes" tableColumnId="6"/>
      <queryTableField id="7" name="moisture_pct" tableColumnId="7"/>
      <queryTableField id="8" name="elevator" tableColumnId="8"/>
      <queryTableField id="9" name="postal_cod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8BDB75-0B99-BD48-B1B0-FFD364589020}" name="q06_tickets" displayName="q06_tickets" ref="A1:I21" tableType="queryTable" totalsRowShown="0">
  <autoFilter ref="A1:I21" xr:uid="{878BDB75-0B99-BD48-B1B0-FFD364589020}"/>
  <tableColumns count="9">
    <tableColumn id="1" xr3:uid="{0936F633-DEC8-C945-BC9C-526F6724881D}" uniqueName="1" name="ticket_id" queryTableFieldId="1" dataDxfId="6"/>
    <tableColumn id="2" xr3:uid="{73B47254-FB9F-2A4F-BBCB-983890B0A54C}" uniqueName="2" name="permit_book" queryTableFieldId="2" dataDxfId="5"/>
    <tableColumn id="3" xr3:uid="{310149A1-138E-1E4E-A618-91A8E11C3B47}" uniqueName="3" name="lot_code" queryTableFieldId="3" dataDxfId="4"/>
    <tableColumn id="4" xr3:uid="{71AAC643-B4C8-D142-ACA5-E72CE075AFF0}" uniqueName="4" name="delivery_date" queryTableFieldId="4" dataDxfId="3"/>
    <tableColumn id="5" xr3:uid="{A8838D2E-7901-5F4F-8E02-22A27828BD0E}" uniqueName="5" name="crop" queryTableFieldId="5" dataDxfId="2"/>
    <tableColumn id="6" xr3:uid="{1C4CB4DF-2D54-BE4A-B734-2E9B7F9539BD}" uniqueName="6" name="weight_tonnes" queryTableFieldId="6"/>
    <tableColumn id="7" xr3:uid="{9E5B2567-0D23-D34E-9E0F-75ACF1D334EB}" uniqueName="7" name="moisture_pct" queryTableFieldId="7"/>
    <tableColumn id="8" xr3:uid="{51D35FBB-432A-B543-BB45-0B147558BF39}" uniqueName="8" name="elevator" queryTableFieldId="8" dataDxfId="1"/>
    <tableColumn id="9" xr3:uid="{3564F4E6-7DBC-AC48-ABE6-F0AB7FCA5849}" uniqueName="9" name="postal_code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684EE-F8E9-594C-BAAB-AE922FD2A457}">
  <dimension ref="A1:I31"/>
  <sheetViews>
    <sheetView tabSelected="1" workbookViewId="0">
      <selection activeCell="B27" sqref="B27"/>
    </sheetView>
  </sheetViews>
  <sheetFormatPr baseColWidth="10" defaultRowHeight="14"/>
  <cols>
    <col min="1" max="1" width="11.1640625" bestFit="1" customWidth="1"/>
    <col min="2" max="2" width="17.33203125" bestFit="1" customWidth="1"/>
    <col min="3" max="3" width="11.33203125" bestFit="1" customWidth="1"/>
    <col min="4" max="4" width="15.33203125" bestFit="1" customWidth="1"/>
    <col min="5" max="5" width="11.6640625" bestFit="1" customWidth="1"/>
    <col min="6" max="6" width="16.83203125" bestFit="1" customWidth="1"/>
    <col min="7" max="7" width="15.33203125" bestFit="1" customWidth="1"/>
    <col min="8" max="8" width="10.6640625" bestFit="1" customWidth="1"/>
    <col min="9" max="9" width="14.5" bestFit="1" customWidth="1"/>
  </cols>
  <sheetData>
    <row r="1" spans="1:9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</row>
    <row r="2" spans="1:9">
      <c r="A2" s="19" t="s">
        <v>25</v>
      </c>
      <c r="B2" s="19" t="s">
        <v>26</v>
      </c>
      <c r="C2" s="19" t="s">
        <v>27</v>
      </c>
      <c r="D2" s="20">
        <v>45919</v>
      </c>
      <c r="E2" s="19" t="s">
        <v>5</v>
      </c>
      <c r="F2">
        <v>21.1</v>
      </c>
      <c r="G2">
        <v>14.1</v>
      </c>
      <c r="H2" s="19" t="s">
        <v>28</v>
      </c>
      <c r="I2" s="19" t="s">
        <v>29</v>
      </c>
    </row>
    <row r="3" spans="1:9">
      <c r="A3" s="19" t="s">
        <v>30</v>
      </c>
      <c r="B3" s="19" t="s">
        <v>31</v>
      </c>
      <c r="C3" s="19" t="s">
        <v>32</v>
      </c>
      <c r="D3" s="20">
        <v>45917</v>
      </c>
      <c r="E3" s="19" t="s">
        <v>5</v>
      </c>
      <c r="F3">
        <v>42.5</v>
      </c>
      <c r="G3">
        <v>8.4</v>
      </c>
      <c r="H3" s="19" t="s">
        <v>28</v>
      </c>
      <c r="I3" s="19" t="s">
        <v>29</v>
      </c>
    </row>
    <row r="4" spans="1:9">
      <c r="A4" s="19" t="s">
        <v>33</v>
      </c>
      <c r="B4" s="19" t="s">
        <v>34</v>
      </c>
      <c r="C4" s="19" t="s">
        <v>35</v>
      </c>
      <c r="D4" s="20">
        <v>45882</v>
      </c>
      <c r="E4" s="19" t="s">
        <v>7</v>
      </c>
      <c r="F4">
        <v>25.1</v>
      </c>
      <c r="G4">
        <v>10.7</v>
      </c>
      <c r="H4" s="19" t="s">
        <v>36</v>
      </c>
      <c r="I4" s="19" t="s">
        <v>37</v>
      </c>
    </row>
    <row r="5" spans="1:9">
      <c r="A5" s="19" t="s">
        <v>38</v>
      </c>
      <c r="B5" s="19" t="s">
        <v>39</v>
      </c>
      <c r="C5" s="19" t="s">
        <v>40</v>
      </c>
      <c r="D5" s="20">
        <v>45926</v>
      </c>
      <c r="E5" s="19" t="s">
        <v>9</v>
      </c>
      <c r="F5">
        <v>42.5</v>
      </c>
      <c r="G5">
        <v>13.1</v>
      </c>
      <c r="H5" s="19" t="s">
        <v>28</v>
      </c>
      <c r="I5" s="19" t="s">
        <v>41</v>
      </c>
    </row>
    <row r="6" spans="1:9">
      <c r="A6" s="19" t="s">
        <v>42</v>
      </c>
      <c r="B6" s="19" t="s">
        <v>43</v>
      </c>
      <c r="C6" s="19" t="s">
        <v>44</v>
      </c>
      <c r="D6" s="20">
        <v>45927</v>
      </c>
      <c r="E6" s="19" t="s">
        <v>8</v>
      </c>
      <c r="F6">
        <v>25.2</v>
      </c>
      <c r="G6">
        <v>9.3000000000000007</v>
      </c>
      <c r="H6" s="19" t="s">
        <v>36</v>
      </c>
      <c r="I6" s="19" t="s">
        <v>29</v>
      </c>
    </row>
    <row r="7" spans="1:9">
      <c r="A7" s="19" t="s">
        <v>45</v>
      </c>
      <c r="B7" s="19" t="s">
        <v>46</v>
      </c>
      <c r="C7" s="19" t="s">
        <v>47</v>
      </c>
      <c r="D7" s="20">
        <v>45966</v>
      </c>
      <c r="E7" s="19" t="s">
        <v>5</v>
      </c>
      <c r="F7">
        <v>22.8</v>
      </c>
      <c r="G7">
        <v>12.4</v>
      </c>
      <c r="H7" s="19" t="s">
        <v>48</v>
      </c>
      <c r="I7" s="19" t="s">
        <v>49</v>
      </c>
    </row>
    <row r="8" spans="1:9">
      <c r="A8" s="19" t="s">
        <v>50</v>
      </c>
      <c r="B8" s="19" t="s">
        <v>51</v>
      </c>
      <c r="C8" s="19" t="s">
        <v>35</v>
      </c>
      <c r="D8" s="20">
        <v>45905</v>
      </c>
      <c r="E8" s="19" t="s">
        <v>6</v>
      </c>
      <c r="F8">
        <v>20.399999999999999</v>
      </c>
      <c r="G8">
        <v>8.9</v>
      </c>
      <c r="H8" s="19" t="s">
        <v>52</v>
      </c>
      <c r="I8" s="19" t="s">
        <v>53</v>
      </c>
    </row>
    <row r="9" spans="1:9">
      <c r="A9" s="19" t="s">
        <v>54</v>
      </c>
      <c r="B9" s="19" t="s">
        <v>55</v>
      </c>
      <c r="C9" s="19" t="s">
        <v>56</v>
      </c>
      <c r="D9" s="20">
        <v>45967</v>
      </c>
      <c r="E9" s="19" t="s">
        <v>6</v>
      </c>
      <c r="F9">
        <v>31.7</v>
      </c>
      <c r="G9">
        <v>12.2</v>
      </c>
      <c r="H9" s="19" t="s">
        <v>52</v>
      </c>
      <c r="I9" s="19" t="s">
        <v>37</v>
      </c>
    </row>
    <row r="10" spans="1:9">
      <c r="A10" s="19" t="s">
        <v>57</v>
      </c>
      <c r="B10" s="19" t="s">
        <v>58</v>
      </c>
      <c r="C10" s="19" t="s">
        <v>59</v>
      </c>
      <c r="D10" s="20">
        <v>45885</v>
      </c>
      <c r="E10" s="19" t="s">
        <v>5</v>
      </c>
      <c r="F10">
        <v>24.1</v>
      </c>
      <c r="G10">
        <v>10.7</v>
      </c>
      <c r="H10" s="19" t="s">
        <v>36</v>
      </c>
      <c r="I10" s="19" t="s">
        <v>49</v>
      </c>
    </row>
    <row r="11" spans="1:9">
      <c r="A11" s="19" t="s">
        <v>60</v>
      </c>
      <c r="B11" s="19" t="s">
        <v>61</v>
      </c>
      <c r="C11" s="19" t="s">
        <v>62</v>
      </c>
      <c r="D11" s="20">
        <v>45949</v>
      </c>
      <c r="E11" s="19" t="s">
        <v>6</v>
      </c>
      <c r="F11">
        <v>26.5</v>
      </c>
      <c r="G11">
        <v>14.1</v>
      </c>
      <c r="H11" s="19" t="s">
        <v>63</v>
      </c>
      <c r="I11" s="19" t="s">
        <v>37</v>
      </c>
    </row>
    <row r="12" spans="1:9">
      <c r="A12" s="19" t="s">
        <v>64</v>
      </c>
      <c r="B12" s="19" t="s">
        <v>65</v>
      </c>
      <c r="C12" s="19" t="s">
        <v>66</v>
      </c>
      <c r="D12" s="20">
        <v>45951</v>
      </c>
      <c r="E12" s="19" t="s">
        <v>7</v>
      </c>
      <c r="F12">
        <v>23.1</v>
      </c>
      <c r="G12">
        <v>10.3</v>
      </c>
      <c r="H12" s="19" t="s">
        <v>52</v>
      </c>
      <c r="I12" s="19" t="s">
        <v>53</v>
      </c>
    </row>
    <row r="13" spans="1:9">
      <c r="A13" s="19" t="s">
        <v>67</v>
      </c>
      <c r="B13" s="19" t="s">
        <v>68</v>
      </c>
      <c r="C13" s="19" t="s">
        <v>69</v>
      </c>
      <c r="D13" s="20">
        <v>45971</v>
      </c>
      <c r="E13" s="19" t="s">
        <v>7</v>
      </c>
      <c r="F13">
        <v>35.700000000000003</v>
      </c>
      <c r="G13">
        <v>12.7</v>
      </c>
      <c r="H13" s="19" t="s">
        <v>36</v>
      </c>
      <c r="I13" s="19" t="s">
        <v>37</v>
      </c>
    </row>
    <row r="14" spans="1:9">
      <c r="A14" s="19" t="s">
        <v>70</v>
      </c>
      <c r="B14" s="19" t="s">
        <v>71</v>
      </c>
      <c r="C14" s="19" t="s">
        <v>69</v>
      </c>
      <c r="D14" s="20">
        <v>45937</v>
      </c>
      <c r="E14" s="19" t="s">
        <v>7</v>
      </c>
      <c r="F14">
        <v>22.5</v>
      </c>
      <c r="G14">
        <v>10.7</v>
      </c>
      <c r="H14" s="19" t="s">
        <v>36</v>
      </c>
      <c r="I14" s="19" t="s">
        <v>49</v>
      </c>
    </row>
    <row r="15" spans="1:9">
      <c r="A15" s="19" t="s">
        <v>72</v>
      </c>
      <c r="B15" s="19" t="s">
        <v>73</v>
      </c>
      <c r="C15" s="19" t="s">
        <v>74</v>
      </c>
      <c r="D15" s="20">
        <v>45940</v>
      </c>
      <c r="E15" s="19" t="s">
        <v>5</v>
      </c>
      <c r="F15">
        <v>40.1</v>
      </c>
      <c r="G15">
        <v>12</v>
      </c>
      <c r="H15" s="19" t="s">
        <v>63</v>
      </c>
      <c r="I15" s="19" t="s">
        <v>41</v>
      </c>
    </row>
    <row r="16" spans="1:9">
      <c r="A16" s="19" t="s">
        <v>75</v>
      </c>
      <c r="B16" s="19" t="s">
        <v>76</v>
      </c>
      <c r="C16" s="19" t="s">
        <v>77</v>
      </c>
      <c r="D16" s="20">
        <v>45949</v>
      </c>
      <c r="E16" s="19" t="s">
        <v>9</v>
      </c>
      <c r="F16">
        <v>19.8</v>
      </c>
      <c r="G16">
        <v>8.3000000000000007</v>
      </c>
      <c r="H16" s="19" t="s">
        <v>52</v>
      </c>
      <c r="I16" s="19" t="s">
        <v>37</v>
      </c>
    </row>
    <row r="17" spans="1:9">
      <c r="A17" s="19" t="s">
        <v>78</v>
      </c>
      <c r="B17" s="19" t="s">
        <v>79</v>
      </c>
      <c r="C17" s="19" t="s">
        <v>80</v>
      </c>
      <c r="D17" s="20">
        <v>45903</v>
      </c>
      <c r="E17" s="19" t="s">
        <v>8</v>
      </c>
      <c r="F17">
        <v>22.3</v>
      </c>
      <c r="G17">
        <v>10.8</v>
      </c>
      <c r="H17" s="19" t="s">
        <v>52</v>
      </c>
      <c r="I17" s="19" t="s">
        <v>49</v>
      </c>
    </row>
    <row r="18" spans="1:9">
      <c r="A18" s="19" t="s">
        <v>81</v>
      </c>
      <c r="B18" s="19" t="s">
        <v>82</v>
      </c>
      <c r="C18" s="19" t="s">
        <v>83</v>
      </c>
      <c r="D18" s="20">
        <v>45942</v>
      </c>
      <c r="E18" s="19" t="s">
        <v>6</v>
      </c>
      <c r="F18">
        <v>27.3</v>
      </c>
      <c r="G18">
        <v>13.3</v>
      </c>
      <c r="H18" s="19" t="s">
        <v>52</v>
      </c>
      <c r="I18" s="19" t="s">
        <v>29</v>
      </c>
    </row>
    <row r="19" spans="1:9">
      <c r="A19" s="19" t="s">
        <v>84</v>
      </c>
      <c r="B19" s="19" t="s">
        <v>85</v>
      </c>
      <c r="C19" s="19" t="s">
        <v>86</v>
      </c>
      <c r="D19" s="20">
        <v>45907</v>
      </c>
      <c r="E19" s="19" t="s">
        <v>8</v>
      </c>
      <c r="F19">
        <v>41.8</v>
      </c>
      <c r="G19">
        <v>13.7</v>
      </c>
      <c r="H19" s="19" t="s">
        <v>48</v>
      </c>
      <c r="I19" s="19" t="s">
        <v>29</v>
      </c>
    </row>
    <row r="20" spans="1:9">
      <c r="A20" s="19" t="s">
        <v>87</v>
      </c>
      <c r="B20" s="19" t="s">
        <v>88</v>
      </c>
      <c r="C20" s="19" t="s">
        <v>89</v>
      </c>
      <c r="D20" s="20">
        <v>45920</v>
      </c>
      <c r="E20" s="19" t="s">
        <v>6</v>
      </c>
      <c r="F20">
        <v>20.8</v>
      </c>
      <c r="G20">
        <v>9.8000000000000007</v>
      </c>
      <c r="H20" s="19" t="s">
        <v>63</v>
      </c>
      <c r="I20" s="19" t="s">
        <v>41</v>
      </c>
    </row>
    <row r="21" spans="1:9">
      <c r="A21" s="19" t="s">
        <v>90</v>
      </c>
      <c r="B21" s="19" t="s">
        <v>91</v>
      </c>
      <c r="C21" s="19" t="s">
        <v>92</v>
      </c>
      <c r="D21" s="20">
        <v>45915</v>
      </c>
      <c r="E21" s="19" t="s">
        <v>8</v>
      </c>
      <c r="F21">
        <v>27.8</v>
      </c>
      <c r="G21">
        <v>11.5</v>
      </c>
      <c r="H21" s="19" t="s">
        <v>36</v>
      </c>
      <c r="I21" s="19" t="s">
        <v>93</v>
      </c>
    </row>
    <row r="24" spans="1:9">
      <c r="A24" s="21" t="s">
        <v>94</v>
      </c>
      <c r="B24" s="21"/>
    </row>
    <row r="25" spans="1:9">
      <c r="A25" s="22" t="s">
        <v>96</v>
      </c>
      <c r="B25" s="28" t="s">
        <v>99</v>
      </c>
    </row>
    <row r="26" spans="1:9">
      <c r="A26" s="23" t="s">
        <v>97</v>
      </c>
      <c r="B26" s="28" t="s">
        <v>100</v>
      </c>
    </row>
    <row r="27" spans="1:9">
      <c r="A27" s="24" t="s">
        <v>9</v>
      </c>
      <c r="B27" s="21">
        <v>2</v>
      </c>
    </row>
    <row r="29" spans="1:9">
      <c r="A29" s="25" t="s">
        <v>95</v>
      </c>
      <c r="B29" s="26"/>
      <c r="C29" s="26"/>
      <c r="D29" s="26"/>
    </row>
    <row r="30" spans="1:9">
      <c r="A30" s="27" t="s">
        <v>98</v>
      </c>
      <c r="B30" s="27"/>
      <c r="C30" s="27"/>
      <c r="D30" s="27"/>
    </row>
    <row r="31" spans="1:9">
      <c r="A31" s="27"/>
      <c r="B31" s="27"/>
      <c r="C31" s="27"/>
      <c r="D31" s="27"/>
    </row>
  </sheetData>
  <mergeCells count="1">
    <mergeCell ref="A30:D3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showGridLines="0" workbookViewId="0"/>
  </sheetViews>
  <sheetFormatPr baseColWidth="10" defaultColWidth="8.83203125" defaultRowHeight="14"/>
  <cols>
    <col min="1" max="1" width="34" customWidth="1"/>
    <col min="2" max="2" width="74" customWidth="1"/>
  </cols>
  <sheetData>
    <row r="1" spans="1:2" ht="20">
      <c r="A1" s="2" t="s">
        <v>0</v>
      </c>
      <c r="B1" s="1"/>
    </row>
    <row r="2" spans="1:2">
      <c r="A2" s="3" t="s">
        <v>1</v>
      </c>
      <c r="B2" s="1"/>
    </row>
    <row r="3" spans="1:2">
      <c r="A3" s="4"/>
      <c r="B3" s="4"/>
    </row>
    <row r="4" spans="1:2">
      <c r="A4" s="5" t="s">
        <v>2</v>
      </c>
      <c r="B4" s="5"/>
    </row>
    <row r="5" spans="1:2">
      <c r="A5" s="6" t="s">
        <v>3</v>
      </c>
      <c r="B5" s="6" t="s">
        <v>4</v>
      </c>
    </row>
    <row r="6" spans="1:2">
      <c r="A6" s="7" t="s">
        <v>5</v>
      </c>
      <c r="B6" s="8">
        <f>COUNTIF(q06_tickets[crop],A6)</f>
        <v>5</v>
      </c>
    </row>
    <row r="7" spans="1:2">
      <c r="A7" s="9" t="s">
        <v>6</v>
      </c>
      <c r="B7" s="10">
        <f>COUNTIF(q06_tickets[crop],A7)</f>
        <v>5</v>
      </c>
    </row>
    <row r="8" spans="1:2">
      <c r="A8" s="9" t="s">
        <v>7</v>
      </c>
      <c r="B8" s="10">
        <f>COUNTIF(q06_tickets[crop],A8)</f>
        <v>4</v>
      </c>
    </row>
    <row r="9" spans="1:2">
      <c r="A9" s="9" t="s">
        <v>8</v>
      </c>
      <c r="B9" s="10">
        <f>COUNTIF(q06_tickets[crop],A9)</f>
        <v>4</v>
      </c>
    </row>
    <row r="10" spans="1:2">
      <c r="A10" s="11" t="s">
        <v>9</v>
      </c>
      <c r="B10" s="12">
        <f>COUNTIF(q06_tickets[crop],A10)</f>
        <v>2</v>
      </c>
    </row>
    <row r="11" spans="1:2">
      <c r="A11" s="1"/>
      <c r="B11" s="1"/>
    </row>
    <row r="12" spans="1:2">
      <c r="A12" s="1"/>
      <c r="B12" s="1"/>
    </row>
    <row r="13" spans="1:2">
      <c r="A13" s="5" t="s">
        <v>10</v>
      </c>
      <c r="B13" s="5"/>
    </row>
    <row r="14" spans="1:2" ht="30" customHeight="1">
      <c r="A14" s="13" t="s">
        <v>11</v>
      </c>
      <c r="B14" s="14"/>
    </row>
    <row r="15" spans="1:2" ht="30" customHeight="1">
      <c r="A15" s="15"/>
      <c r="B15" s="16"/>
    </row>
    <row r="16" spans="1:2">
      <c r="A16" s="1"/>
      <c r="B16" s="1"/>
    </row>
    <row r="17" spans="1:2">
      <c r="A17" s="5" t="s">
        <v>12</v>
      </c>
      <c r="B17" s="5"/>
    </row>
    <row r="18" spans="1:2">
      <c r="A18" s="17" t="s">
        <v>13</v>
      </c>
      <c r="B18" s="17"/>
    </row>
    <row r="19" spans="1:2">
      <c r="A19" s="1"/>
      <c r="B19" s="1"/>
    </row>
    <row r="20" spans="1:2">
      <c r="A20" s="5" t="s">
        <v>14</v>
      </c>
      <c r="B20" s="5"/>
    </row>
    <row r="21" spans="1:2" ht="24" customHeight="1">
      <c r="A21" s="18" t="s">
        <v>15</v>
      </c>
      <c r="B21" s="18"/>
    </row>
    <row r="22" spans="1:2" ht="24" customHeight="1">
      <c r="A22" s="18"/>
      <c r="B22" s="18"/>
    </row>
    <row r="23" spans="1:2" ht="24" customHeight="1">
      <c r="A23" s="18"/>
      <c r="B23" s="18"/>
    </row>
    <row r="24" spans="1:2">
      <c r="A24" s="1"/>
      <c r="B24" s="1"/>
    </row>
  </sheetData>
  <mergeCells count="3">
    <mergeCell ref="A14:B15"/>
    <mergeCell ref="A18:B18"/>
    <mergeCell ref="A21:B2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0B3447-2FAD-344E-AF7A-8170F1A0E8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q06_tickets</vt:lpstr>
      <vt:lpstr>Answer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Slade, Peter</cp:lastModifiedBy>
  <dcterms:modified xsi:type="dcterms:W3CDTF">2026-09-06T23:50:22Z</dcterms:modified>
</cp:coreProperties>
</file>