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showInkAnnotation="0" autoCompressPictures="0"/>
  <xr:revisionPtr revIDLastSave="1" documentId="11_2D0F2C6A24CC329F80D1867C24A6E9D9FCB0B343" xr6:coauthVersionLast="47" xr6:coauthVersionMax="47" xr10:uidLastSave="{92A9FCA8-1D04-4680-A6F1-8455D5C7D495}"/>
  <bookViews>
    <workbookView xWindow="0" yWindow="0" windowWidth="0" windowHeight="0" xr2:uid="{00000000-000D-0000-FFFF-FFFF00000000}"/>
  </bookViews>
  <sheets>
    <sheet name="Data" sheetId="1" r:id="rId1"/>
    <sheet name="README" sheetId="2" r:id="rId2"/>
    <sheet name="Bar chart" sheetId="3" r:id="rId3"/>
    <sheet name="Line chart" sheetId="4" r:id="rId4"/>
    <sheet name="Scatter plot" sheetId="5" r:id="rId5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4" l="1"/>
  <c r="B5" i="4"/>
  <c r="B7" i="3"/>
  <c r="B6" i="3"/>
  <c r="B5" i="3"/>
</calcChain>
</file>

<file path=xl/sharedStrings.xml><?xml version="1.0" encoding="utf-8"?>
<sst xmlns="http://schemas.openxmlformats.org/spreadsheetml/2006/main" count="586" uniqueCount="292">
  <si>
    <t>field_id</t>
  </si>
  <si>
    <t>region</t>
  </si>
  <si>
    <t>variety</t>
  </si>
  <si>
    <t>acres</t>
  </si>
  <si>
    <t>yield_bu_acre</t>
  </si>
  <si>
    <t>year</t>
  </si>
  <si>
    <t>seeding_date</t>
  </si>
  <si>
    <t>units</t>
  </si>
  <si>
    <t>F001</t>
  </si>
  <si>
    <t>North</t>
  </si>
  <si>
    <t>DKTC</t>
  </si>
  <si>
    <t>202</t>
  </si>
  <si>
    <t>48.3</t>
  </si>
  <si>
    <t>2025</t>
  </si>
  <si>
    <t>2025-04-28</t>
  </si>
  <si>
    <t>bu/ac</t>
  </si>
  <si>
    <t>F002</t>
  </si>
  <si>
    <t>Central</t>
  </si>
  <si>
    <t>429</t>
  </si>
  <si>
    <t>43.7</t>
  </si>
  <si>
    <t>2024</t>
  </si>
  <si>
    <t>2024-04-20</t>
  </si>
  <si>
    <t>F003</t>
  </si>
  <si>
    <t>Clearfield</t>
  </si>
  <si>
    <t>165</t>
  </si>
  <si>
    <t>39.8</t>
  </si>
  <si>
    <t>2025-05-25</t>
  </si>
  <si>
    <t>F004</t>
  </si>
  <si>
    <t>South</t>
  </si>
  <si>
    <t>444</t>
  </si>
  <si>
    <t>38.3</t>
  </si>
  <si>
    <t>F005</t>
  </si>
  <si>
    <t>408</t>
  </si>
  <si>
    <t>40.4</t>
  </si>
  <si>
    <t>2024-05-11</t>
  </si>
  <si>
    <t>F006</t>
  </si>
  <si>
    <t>InVigor</t>
  </si>
  <si>
    <t>133</t>
  </si>
  <si>
    <t>41.6</t>
  </si>
  <si>
    <t>2025-04-22</t>
  </si>
  <si>
    <t>F007</t>
  </si>
  <si>
    <t>431</t>
  </si>
  <si>
    <t>2024-05-05</t>
  </si>
  <si>
    <t>F008</t>
  </si>
  <si>
    <t>220</t>
  </si>
  <si>
    <t>49.9</t>
  </si>
  <si>
    <t>2024-04-22</t>
  </si>
  <si>
    <t>F009</t>
  </si>
  <si>
    <t>467</t>
  </si>
  <si>
    <t>48.1</t>
  </si>
  <si>
    <t>2025-05-14</t>
  </si>
  <si>
    <t>F010</t>
  </si>
  <si>
    <t>480</t>
  </si>
  <si>
    <t>56.7</t>
  </si>
  <si>
    <t>2024-05-03</t>
  </si>
  <si>
    <t>F011</t>
  </si>
  <si>
    <t>201</t>
  </si>
  <si>
    <t>49.5</t>
  </si>
  <si>
    <t>2024-05-10</t>
  </si>
  <si>
    <t>F012</t>
  </si>
  <si>
    <t>383</t>
  </si>
  <si>
    <t>44.0</t>
  </si>
  <si>
    <t>2024-05-09</t>
  </si>
  <si>
    <t>F013</t>
  </si>
  <si>
    <t>424</t>
  </si>
  <si>
    <t>46.6</t>
  </si>
  <si>
    <t>2024-05-17</t>
  </si>
  <si>
    <t>F014</t>
  </si>
  <si>
    <t>238</t>
  </si>
  <si>
    <t>50.0</t>
  </si>
  <si>
    <t>2024-04-27</t>
  </si>
  <si>
    <t>F015</t>
  </si>
  <si>
    <t>216</t>
  </si>
  <si>
    <t>42.0</t>
  </si>
  <si>
    <t>2025-05-22</t>
  </si>
  <si>
    <t>F016</t>
  </si>
  <si>
    <t>43.1</t>
  </si>
  <si>
    <t>2025-05-08</t>
  </si>
  <si>
    <t>F017</t>
  </si>
  <si>
    <t>173</t>
  </si>
  <si>
    <t>49.1</t>
  </si>
  <si>
    <t>2025-05-09</t>
  </si>
  <si>
    <t>F018</t>
  </si>
  <si>
    <t>120</t>
  </si>
  <si>
    <t>54.2</t>
  </si>
  <si>
    <t>2025-04-26</t>
  </si>
  <si>
    <t>F019</t>
  </si>
  <si>
    <t>388</t>
  </si>
  <si>
    <t>50.7</t>
  </si>
  <si>
    <t>2024-05-12</t>
  </si>
  <si>
    <t>F020</t>
  </si>
  <si>
    <t>130</t>
  </si>
  <si>
    <t>42.6</t>
  </si>
  <si>
    <t>2025-04-30</t>
  </si>
  <si>
    <t>F021</t>
  </si>
  <si>
    <t>353</t>
  </si>
  <si>
    <t>33.4</t>
  </si>
  <si>
    <t>2024-05-06</t>
  </si>
  <si>
    <t>F022</t>
  </si>
  <si>
    <t>433</t>
  </si>
  <si>
    <t>2024-04-29</t>
  </si>
  <si>
    <t>F023</t>
  </si>
  <si>
    <t>257</t>
  </si>
  <si>
    <t>46.1</t>
  </si>
  <si>
    <t>2025-04-27</t>
  </si>
  <si>
    <t>F024</t>
  </si>
  <si>
    <t>427</t>
  </si>
  <si>
    <t>45.8</t>
  </si>
  <si>
    <t>2024-05-24</t>
  </si>
  <si>
    <t>F025</t>
  </si>
  <si>
    <t>338</t>
  </si>
  <si>
    <t>38.1</t>
  </si>
  <si>
    <t>2024-05-08</t>
  </si>
  <si>
    <t>F026</t>
  </si>
  <si>
    <t>106</t>
  </si>
  <si>
    <t>48.4</t>
  </si>
  <si>
    <t>2025-04-23</t>
  </si>
  <si>
    <t>F027</t>
  </si>
  <si>
    <t>64</t>
  </si>
  <si>
    <t>46.5</t>
  </si>
  <si>
    <t>2024-04-24</t>
  </si>
  <si>
    <t>F028</t>
  </si>
  <si>
    <t>168</t>
  </si>
  <si>
    <t>41.2</t>
  </si>
  <si>
    <t>2025-05-11</t>
  </si>
  <si>
    <t>F029</t>
  </si>
  <si>
    <t>270</t>
  </si>
  <si>
    <t>53.4</t>
  </si>
  <si>
    <t>2025-05-24</t>
  </si>
  <si>
    <t>F030</t>
  </si>
  <si>
    <t>79</t>
  </si>
  <si>
    <t>37.2</t>
  </si>
  <si>
    <t>2025-05-07</t>
  </si>
  <si>
    <t>F031</t>
  </si>
  <si>
    <t>343</t>
  </si>
  <si>
    <t>42.2</t>
  </si>
  <si>
    <t>F032</t>
  </si>
  <si>
    <t>376</t>
  </si>
  <si>
    <t>46.9</t>
  </si>
  <si>
    <t>2024-04-28</t>
  </si>
  <si>
    <t>F033</t>
  </si>
  <si>
    <t>367</t>
  </si>
  <si>
    <t>44.4</t>
  </si>
  <si>
    <t>2025-05-19</t>
  </si>
  <si>
    <t>F034</t>
  </si>
  <si>
    <t>392</t>
  </si>
  <si>
    <t>36.4</t>
  </si>
  <si>
    <t>F035</t>
  </si>
  <si>
    <t>54.3</t>
  </si>
  <si>
    <t>F036</t>
  </si>
  <si>
    <t>346</t>
  </si>
  <si>
    <t>48.8</t>
  </si>
  <si>
    <t>2024-05-13</t>
  </si>
  <si>
    <t>F037</t>
  </si>
  <si>
    <t>454</t>
  </si>
  <si>
    <t>51.1</t>
  </si>
  <si>
    <t>F038</t>
  </si>
  <si>
    <t>164</t>
  </si>
  <si>
    <t>46.0</t>
  </si>
  <si>
    <t>F039</t>
  </si>
  <si>
    <t>151</t>
  </si>
  <si>
    <t>40.6</t>
  </si>
  <si>
    <t>F040</t>
  </si>
  <si>
    <t>373</t>
  </si>
  <si>
    <t>42.9</t>
  </si>
  <si>
    <t>F041</t>
  </si>
  <si>
    <t>475</t>
  </si>
  <si>
    <t>2025-05-13</t>
  </si>
  <si>
    <t>F042</t>
  </si>
  <si>
    <t>304</t>
  </si>
  <si>
    <t>50.8</t>
  </si>
  <si>
    <t>F043</t>
  </si>
  <si>
    <t>206</t>
  </si>
  <si>
    <t>45.2</t>
  </si>
  <si>
    <t>F044</t>
  </si>
  <si>
    <t>268</t>
  </si>
  <si>
    <t>60.7</t>
  </si>
  <si>
    <t>2024-05-14</t>
  </si>
  <si>
    <t>F045</t>
  </si>
  <si>
    <t>193</t>
  </si>
  <si>
    <t>54.6</t>
  </si>
  <si>
    <t>2025-05-06</t>
  </si>
  <si>
    <t>F046</t>
  </si>
  <si>
    <t>53.1</t>
  </si>
  <si>
    <t>F047</t>
  </si>
  <si>
    <t>345</t>
  </si>
  <si>
    <t>53.2</t>
  </si>
  <si>
    <t>F048</t>
  </si>
  <si>
    <t>39.2</t>
  </si>
  <si>
    <t>2025-05-05</t>
  </si>
  <si>
    <t>F049</t>
  </si>
  <si>
    <t>358</t>
  </si>
  <si>
    <t>44.9</t>
  </si>
  <si>
    <t>F050</t>
  </si>
  <si>
    <t>413</t>
  </si>
  <si>
    <t>43.5</t>
  </si>
  <si>
    <t>F051</t>
  </si>
  <si>
    <t>302</t>
  </si>
  <si>
    <t>55.3</t>
  </si>
  <si>
    <t>2025-05-02</t>
  </si>
  <si>
    <t>F052</t>
  </si>
  <si>
    <t>277</t>
  </si>
  <si>
    <t>31.0</t>
  </si>
  <si>
    <t>F053</t>
  </si>
  <si>
    <t>232</t>
  </si>
  <si>
    <t>45.3</t>
  </si>
  <si>
    <t>2025-04-29</t>
  </si>
  <si>
    <t>F054</t>
  </si>
  <si>
    <t>333</t>
  </si>
  <si>
    <t>51.6</t>
  </si>
  <si>
    <t>F055</t>
  </si>
  <si>
    <t>324</t>
  </si>
  <si>
    <t>45.7</t>
  </si>
  <si>
    <t>F056</t>
  </si>
  <si>
    <t>472</t>
  </si>
  <si>
    <t>32.1</t>
  </si>
  <si>
    <t>2024-04-25</t>
  </si>
  <si>
    <t>F057</t>
  </si>
  <si>
    <t>94</t>
  </si>
  <si>
    <t>53.9</t>
  </si>
  <si>
    <t>F058</t>
  </si>
  <si>
    <t>208</t>
  </si>
  <si>
    <t>36.7</t>
  </si>
  <si>
    <t>F059</t>
  </si>
  <si>
    <t>2024-05-07</t>
  </si>
  <si>
    <t>F060</t>
  </si>
  <si>
    <t>372</t>
  </si>
  <si>
    <t>49.3</t>
  </si>
  <si>
    <t>2024-05-25</t>
  </si>
  <si>
    <t>Graphing in Excel</t>
  </si>
  <si>
    <t>Three worked charts using the same field-yield data. Each chart sheet includes the table that drives the chart and notes about what to check.</t>
  </si>
  <si>
    <t>Sheet</t>
  </si>
  <si>
    <t>What to notice</t>
  </si>
  <si>
    <t>Bar chart</t>
  </si>
  <si>
    <t>Average yield by region. Bars begin at zero and categories are arranged by value.</t>
  </si>
  <si>
    <t>Line chart</t>
  </si>
  <si>
    <t>Average yield by year. The horizontal axis follows time order and the units appear in the title.</t>
  </si>
  <si>
    <t>Scatter plot</t>
  </si>
  <si>
    <t>One point per field. Field size is on the horizontal axis and yield is on the vertical axis.</t>
  </si>
  <si>
    <t>Data</t>
  </si>
  <si>
    <t>The 60 field records used by all three charts. This sheet is left in analysis-ready form.</t>
  </si>
  <si>
    <t>Source</t>
  </si>
  <si>
    <t>Synthetic field-yield data supplied with AREC 261.</t>
  </si>
  <si>
    <t>Average field yield by region</t>
  </si>
  <si>
    <t>The chart reads from the table below. Select a mean in column B to inspect its AVERAGEIF formula; column C displays the formula as text.</t>
  </si>
  <si>
    <t>Region</t>
  </si>
  <si>
    <t>Mean yield (bu/ac)</t>
  </si>
  <si>
    <t>Formula</t>
  </si>
  <si>
    <t>=AVERAGEIF('Data'!$B$2:$B$61,A5,'Data'!$E$2:$E$61)</t>
  </si>
  <si>
    <t>=AVERAGEIF('Data'!$B$2:$B$61,A6,'Data'!$E$2:$E$61)</t>
  </si>
  <si>
    <t>=AVERAGEIF('Data'!$B$2:$B$61,A7,'Data'!$E$2:$E$61)</t>
  </si>
  <si>
    <t>Check</t>
  </si>
  <si>
    <t>Why</t>
  </si>
  <si>
    <t>In this chart</t>
  </si>
  <si>
    <t>Baseline</t>
  </si>
  <si>
    <t>Bar length represents value, so the axis normally starts at zero.</t>
  </si>
  <si>
    <t>Zero</t>
  </si>
  <si>
    <t>Order</t>
  </si>
  <si>
    <t>A ranking is easier to read when categories are arranged by value.</t>
  </si>
  <si>
    <t>Highest to lowest</t>
  </si>
  <si>
    <t>Labels</t>
  </si>
  <si>
    <t>The title or axes must state the unit.</t>
  </si>
  <si>
    <t>Bushels per acre</t>
  </si>
  <si>
    <t>Average field yield changed little between 2024 and 2025</t>
  </si>
  <si>
    <t>A line chart is used because year has a meaningful order. The chart reads from the formula-driven table below.</t>
  </si>
  <si>
    <t>Year</t>
  </si>
  <si>
    <t>=AVERAGEIF('Data'!$F$2:$F$61,A5,'Data'!$E$2:$E$61)</t>
  </si>
  <si>
    <t>=AVERAGEIF('Data'!$F$2:$F$61,A6,'Data'!$E$2:$E$61)</t>
  </si>
  <si>
    <t>Dates and years remain chronological.</t>
  </si>
  <si>
    <t>2024, then 2025</t>
  </si>
  <si>
    <t>Scale</t>
  </si>
  <si>
    <t>A line chart need not begin at zero, but the displayed range should not exaggerate the change.</t>
  </si>
  <si>
    <t>Range kept close to the observations</t>
  </si>
  <si>
    <t>Markers</t>
  </si>
  <si>
    <t>Markers show the two observed annual means; the line connects them.</t>
  </si>
  <si>
    <t>Two markers</t>
  </si>
  <si>
    <t>Field size and yield have little visible relationship</t>
  </si>
  <si>
    <t>Each point is one field. The chart uses acres from the Data sheet for x and yield for y; fields with missing yield are not plotted.</t>
  </si>
  <si>
    <t>Element</t>
  </si>
  <si>
    <t>Meaning</t>
  </si>
  <si>
    <t>Horizontal position</t>
  </si>
  <si>
    <t>Field size in acres</t>
  </si>
  <si>
    <t>Data!D2:D61</t>
  </si>
  <si>
    <t>Vertical position</t>
  </si>
  <si>
    <t>Yield in bushels per acre</t>
  </si>
  <si>
    <t>Data!E2:E61</t>
  </si>
  <si>
    <t>Point</t>
  </si>
  <si>
    <t>One field with a recorded yield</t>
  </si>
  <si>
    <t>One row in Data</t>
  </si>
  <si>
    <t>Missing values</t>
  </si>
  <si>
    <t>Rows without yield do not produce a point</t>
  </si>
  <si>
    <t>Blank yield cells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</si>
</sst>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"/>
  </numFmts>
  <fonts count="6">
    <font>
      <sz val="11"/>
      <name val="Carlito"/>
    </font>
    <font>
      <b/>
      <sz val="16"/>
      <color rgb="FFFFFFFF"/>
      <name val="Carlito"/>
    </font>
    <font>
      <sz val="10"/>
      <color rgb="FF24302A"/>
      <name val="Carlito"/>
    </font>
    <font>
      <b/>
      <sz val="11"/>
      <color rgb="FFFFFFFF"/>
      <name val="Carlito"/>
    </font>
    <font>
      <b/>
      <sz val="11"/>
      <color rgb="FF4A7C59"/>
      <name val="Carlito"/>
    </font>
    <font>
      <b/>
      <sz val="10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4A7C59"/>
      </patternFill>
    </fill>
    <fill>
      <patternFill patternType="solid">
        <fgColor rgb="FFDDE8DF"/>
      </patternFill>
    </fill>
  </fills>
  <borders count="3">
    <border>
      <left/>
      <right/>
      <top/>
      <bottom/>
      <diagonal/>
    </border>
    <border>
      <left/>
      <right/>
      <top/>
      <bottom style="thin">
        <color rgb="FFCBD5CE"/>
      </bottom>
      <diagonal/>
    </border>
    <border>
      <left/>
      <right/>
      <top style="thin">
        <color rgb="FFCBD5CE"/>
      </top>
      <bottom style="thin">
        <color rgb="FFCBD5C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2" xfId="0" applyBorder="1"/>
    <xf numFmtId="0" fontId="3" fillId="2" borderId="1" xfId="0" applyFont="1" applyFill="1" applyBorder="1" applyAlignment="1">
      <alignment vertical="center"/>
    </xf>
    <xf numFmtId="0" fontId="4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164" fontId="0" fillId="0" borderId="2" xfId="0" applyNumberFormat="1" applyBorder="1"/>
    <xf numFmtId="0" fontId="3" fillId="2" borderId="1" xfId="0" applyFont="1" applyFill="1" applyBorder="1" applyAlignment="1">
      <alignment vertical="center" wrapText="1"/>
    </xf>
    <xf numFmtId="0" fontId="2" fillId="0" borderId="0" xfId="0" applyFont="1"/>
    <xf numFmtId="0" fontId="5" fillId="2" borderId="0" xfId="0" applyFont="1" applyFill="1"/>
    <xf numFmtId="164" fontId="2" fillId="0" borderId="0" xfId="0" applyNumberFormat="1" applyFont="1"/>
    <xf numFmtId="1" fontId="2" fillId="0" borderId="0" xfId="0" applyNumberFormat="1" applyFont="1"/>
    <xf numFmtId="165" fontId="2" fillId="0" borderId="0" xfId="0" applyNumberFormat="1" applyFont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Average field yield by region (bu/ac)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Mean yield (bu/ac)</c:v>
          </c:tx>
          <c:invertIfNegative val="1"/>
          <c:cat>
            <c:strRef>
              <c:f>'Bar chart'!$A$5:$A$7</c:f>
              <c:strCache>
                <c:ptCount val="3"/>
                <c:pt idx="0">
                  <c:v>Central</c:v>
                </c:pt>
                <c:pt idx="1">
                  <c:v>North</c:v>
                </c:pt>
                <c:pt idx="2">
                  <c:v>South</c:v>
                </c:pt>
              </c:strCache>
            </c:strRef>
          </c:cat>
          <c:val>
            <c:numRef>
              <c:f>'Bar chart'!$B$5:$B$7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C9-4261-B1B6-8934AC819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Average field yield (bu/ac)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Mean yield (bu/ac)</c:v>
          </c:tx>
          <c:marker>
            <c:symbol val="none"/>
          </c:marker>
          <c:cat>
            <c:numRef>
              <c:f>'Line chart'!$A$5:$A$6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'Line chart'!$B$5:$B$6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CB-46BE-BBE5-9CB660C8C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50"/>
          <c:min val="4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Yield by field size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Fields</c:v>
          </c:tx>
          <c:xVal>
            <c:numLit>
              <c:ptCount val="0"/>
            </c:numLit>
          </c:xVal>
          <c:yVal>
            <c:numRef>
              <c:f>Data!$E$2:$E$61</c:f>
              <c:numCache>
                <c:formatCode>0.0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68-425D-BFB9-3D8698B46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Yield (bu/ac)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50112"/>
        <c:crosses val="autoZero"/>
        <c:crossBetween val="midCat"/>
      </c:valAx>
      <c:val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Field size (acres)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0</xdr:rowOff>
    </xdr:from>
    <xdr:to>
      <xdr:col>13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0</xdr:rowOff>
    </xdr:from>
    <xdr:to>
      <xdr:col>13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eldYieldsTable" displayName="FieldYieldsTable" ref="A1:H61" totalsRowShown="0">
  <tableColumns count="8">
    <tableColumn id="1" xr3:uid="{00000000-0010-0000-0000-000001000000}" name="field_id"/>
    <tableColumn id="2" xr3:uid="{00000000-0010-0000-0000-000002000000}" name="region"/>
    <tableColumn id="3" xr3:uid="{00000000-0010-0000-0000-000003000000}" name="variety"/>
    <tableColumn id="4" xr3:uid="{00000000-0010-0000-0000-000004000000}" name="acres"/>
    <tableColumn id="5" xr3:uid="{00000000-0010-0000-0000-000005000000}" name="yield_bu_acre"/>
    <tableColumn id="6" xr3:uid="{00000000-0010-0000-0000-000006000000}" name="year"/>
    <tableColumn id="7" xr3:uid="{00000000-0010-0000-0000-000007000000}" name="seeding_date"/>
    <tableColumn id="8" xr3:uid="{00000000-0010-0000-0000-000008000000}" name="uni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1"/>
  <sheetViews>
    <sheetView showGridLines="0" tabSelected="1" workbookViewId="0"/>
  </sheetViews>
  <sheetFormatPr defaultRowHeight="15"/>
  <cols>
    <col min="1" max="1" width="12" customWidth="1"/>
    <col min="2" max="3" width="14" customWidth="1"/>
    <col min="4" max="4" width="4.5" customWidth="1"/>
    <col min="5" max="5" width="10.125" customWidth="1"/>
    <col min="6" max="6" width="3.75" customWidth="1"/>
    <col min="7" max="7" width="14" customWidth="1"/>
    <col min="8" max="8" width="4.375" customWidth="1"/>
  </cols>
  <sheetData>
    <row r="1" spans="1:8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>
      <c r="A2" s="7" t="s">
        <v>8</v>
      </c>
      <c r="B2" s="7" t="s">
        <v>9</v>
      </c>
      <c r="C2" s="7" t="s">
        <v>10</v>
      </c>
      <c r="D2" s="9" t="s">
        <v>11</v>
      </c>
      <c r="E2" s="9" t="s">
        <v>12</v>
      </c>
      <c r="F2" s="10" t="s">
        <v>13</v>
      </c>
      <c r="G2" s="11" t="s">
        <v>14</v>
      </c>
      <c r="H2" s="7" t="s">
        <v>15</v>
      </c>
    </row>
    <row r="3" spans="1:8">
      <c r="A3" s="7" t="s">
        <v>16</v>
      </c>
      <c r="B3" s="7" t="s">
        <v>17</v>
      </c>
      <c r="C3" s="7" t="s">
        <v>10</v>
      </c>
      <c r="D3" s="9" t="s">
        <v>18</v>
      </c>
      <c r="E3" s="9" t="s">
        <v>19</v>
      </c>
      <c r="F3" s="10" t="s">
        <v>20</v>
      </c>
      <c r="G3" s="11" t="s">
        <v>21</v>
      </c>
      <c r="H3" s="7" t="s">
        <v>15</v>
      </c>
    </row>
    <row r="4" spans="1:8">
      <c r="A4" s="7" t="s">
        <v>22</v>
      </c>
      <c r="B4" s="7" t="s">
        <v>9</v>
      </c>
      <c r="C4" s="7" t="s">
        <v>23</v>
      </c>
      <c r="D4" s="9" t="s">
        <v>24</v>
      </c>
      <c r="E4" s="9" t="s">
        <v>25</v>
      </c>
      <c r="F4" s="10" t="s">
        <v>13</v>
      </c>
      <c r="G4" s="11" t="s">
        <v>26</v>
      </c>
      <c r="H4" s="7" t="s">
        <v>15</v>
      </c>
    </row>
    <row r="5" spans="1:8">
      <c r="A5" s="7" t="s">
        <v>27</v>
      </c>
      <c r="B5" s="7" t="s">
        <v>28</v>
      </c>
      <c r="C5" s="7" t="s">
        <v>10</v>
      </c>
      <c r="D5" s="9" t="s">
        <v>29</v>
      </c>
      <c r="E5" s="9" t="s">
        <v>30</v>
      </c>
      <c r="F5" s="10" t="s">
        <v>13</v>
      </c>
      <c r="G5" s="11" t="s">
        <v>14</v>
      </c>
      <c r="H5" s="7" t="s">
        <v>15</v>
      </c>
    </row>
    <row r="6" spans="1:8">
      <c r="A6" s="7" t="s">
        <v>31</v>
      </c>
      <c r="B6" s="7" t="s">
        <v>28</v>
      </c>
      <c r="C6" s="7" t="s">
        <v>23</v>
      </c>
      <c r="D6" s="9" t="s">
        <v>32</v>
      </c>
      <c r="E6" s="9" t="s">
        <v>33</v>
      </c>
      <c r="F6" s="10" t="s">
        <v>20</v>
      </c>
      <c r="G6" s="11" t="s">
        <v>34</v>
      </c>
      <c r="H6" s="7" t="s">
        <v>15</v>
      </c>
    </row>
    <row r="7" spans="1:8">
      <c r="A7" s="7" t="s">
        <v>35</v>
      </c>
      <c r="B7" s="7" t="s">
        <v>28</v>
      </c>
      <c r="C7" s="7" t="s">
        <v>36</v>
      </c>
      <c r="D7" s="9" t="s">
        <v>37</v>
      </c>
      <c r="E7" s="9" t="s">
        <v>38</v>
      </c>
      <c r="F7" s="10" t="s">
        <v>13</v>
      </c>
      <c r="G7" s="11" t="s">
        <v>39</v>
      </c>
      <c r="H7" s="7" t="s">
        <v>15</v>
      </c>
    </row>
    <row r="8" spans="1:8">
      <c r="A8" s="7" t="s">
        <v>40</v>
      </c>
      <c r="B8" s="7" t="s">
        <v>17</v>
      </c>
      <c r="C8" s="7" t="s">
        <v>36</v>
      </c>
      <c r="D8" s="9" t="s">
        <v>41</v>
      </c>
      <c r="E8" s="9"/>
      <c r="F8" s="10" t="s">
        <v>20</v>
      </c>
      <c r="G8" s="11" t="s">
        <v>42</v>
      </c>
      <c r="H8" s="7" t="s">
        <v>15</v>
      </c>
    </row>
    <row r="9" spans="1:8">
      <c r="A9" s="7" t="s">
        <v>43</v>
      </c>
      <c r="B9" s="7" t="s">
        <v>17</v>
      </c>
      <c r="C9" s="7" t="s">
        <v>10</v>
      </c>
      <c r="D9" s="9" t="s">
        <v>44</v>
      </c>
      <c r="E9" s="9" t="s">
        <v>45</v>
      </c>
      <c r="F9" s="10" t="s">
        <v>20</v>
      </c>
      <c r="G9" s="11" t="s">
        <v>46</v>
      </c>
      <c r="H9" s="7" t="s">
        <v>15</v>
      </c>
    </row>
    <row r="10" spans="1:8">
      <c r="A10" s="7" t="s">
        <v>47</v>
      </c>
      <c r="B10" s="7" t="s">
        <v>28</v>
      </c>
      <c r="C10" s="7" t="s">
        <v>36</v>
      </c>
      <c r="D10" s="9" t="s">
        <v>48</v>
      </c>
      <c r="E10" s="9" t="s">
        <v>49</v>
      </c>
      <c r="F10" s="10" t="s">
        <v>13</v>
      </c>
      <c r="G10" s="11" t="s">
        <v>50</v>
      </c>
      <c r="H10" s="7" t="s">
        <v>15</v>
      </c>
    </row>
    <row r="11" spans="1:8">
      <c r="A11" s="7" t="s">
        <v>51</v>
      </c>
      <c r="B11" s="7" t="s">
        <v>28</v>
      </c>
      <c r="C11" s="7" t="s">
        <v>23</v>
      </c>
      <c r="D11" s="9" t="s">
        <v>52</v>
      </c>
      <c r="E11" s="9" t="s">
        <v>53</v>
      </c>
      <c r="F11" s="10" t="s">
        <v>20</v>
      </c>
      <c r="G11" s="11" t="s">
        <v>54</v>
      </c>
      <c r="H11" s="7" t="s">
        <v>15</v>
      </c>
    </row>
    <row r="12" spans="1:8">
      <c r="A12" s="7" t="s">
        <v>55</v>
      </c>
      <c r="B12" s="7" t="s">
        <v>17</v>
      </c>
      <c r="C12" s="7" t="s">
        <v>10</v>
      </c>
      <c r="D12" s="9" t="s">
        <v>56</v>
      </c>
      <c r="E12" s="9" t="s">
        <v>57</v>
      </c>
      <c r="F12" s="10" t="s">
        <v>20</v>
      </c>
      <c r="G12" s="11" t="s">
        <v>58</v>
      </c>
      <c r="H12" s="7" t="s">
        <v>15</v>
      </c>
    </row>
    <row r="13" spans="1:8">
      <c r="A13" s="7" t="s">
        <v>59</v>
      </c>
      <c r="B13" s="7" t="s">
        <v>17</v>
      </c>
      <c r="C13" s="7" t="s">
        <v>36</v>
      </c>
      <c r="D13" s="9" t="s">
        <v>60</v>
      </c>
      <c r="E13" s="9" t="s">
        <v>61</v>
      </c>
      <c r="F13" s="10" t="s">
        <v>20</v>
      </c>
      <c r="G13" s="11" t="s">
        <v>62</v>
      </c>
      <c r="H13" s="7" t="s">
        <v>15</v>
      </c>
    </row>
    <row r="14" spans="1:8">
      <c r="A14" s="7" t="s">
        <v>63</v>
      </c>
      <c r="B14" s="7" t="s">
        <v>9</v>
      </c>
      <c r="C14" s="7" t="s">
        <v>10</v>
      </c>
      <c r="D14" s="9" t="s">
        <v>64</v>
      </c>
      <c r="E14" s="9" t="s">
        <v>65</v>
      </c>
      <c r="F14" s="10" t="s">
        <v>20</v>
      </c>
      <c r="G14" s="11" t="s">
        <v>66</v>
      </c>
      <c r="H14" s="7" t="s">
        <v>15</v>
      </c>
    </row>
    <row r="15" spans="1:8">
      <c r="A15" s="7" t="s">
        <v>67</v>
      </c>
      <c r="B15" s="7" t="s">
        <v>28</v>
      </c>
      <c r="C15" s="7" t="s">
        <v>36</v>
      </c>
      <c r="D15" s="9" t="s">
        <v>68</v>
      </c>
      <c r="E15" s="9" t="s">
        <v>69</v>
      </c>
      <c r="F15" s="10" t="s">
        <v>20</v>
      </c>
      <c r="G15" s="11" t="s">
        <v>70</v>
      </c>
      <c r="H15" s="7" t="s">
        <v>15</v>
      </c>
    </row>
    <row r="16" spans="1:8">
      <c r="A16" s="7" t="s">
        <v>71</v>
      </c>
      <c r="B16" s="7" t="s">
        <v>17</v>
      </c>
      <c r="C16" s="7" t="s">
        <v>10</v>
      </c>
      <c r="D16" s="9" t="s">
        <v>72</v>
      </c>
      <c r="E16" s="9" t="s">
        <v>73</v>
      </c>
      <c r="F16" s="10" t="s">
        <v>13</v>
      </c>
      <c r="G16" s="11" t="s">
        <v>74</v>
      </c>
      <c r="H16" s="7" t="s">
        <v>15</v>
      </c>
    </row>
    <row r="17" spans="1:8">
      <c r="A17" s="7" t="s">
        <v>75</v>
      </c>
      <c r="B17" s="7" t="s">
        <v>9</v>
      </c>
      <c r="C17" s="7" t="s">
        <v>23</v>
      </c>
      <c r="D17" s="9" t="s">
        <v>24</v>
      </c>
      <c r="E17" s="9" t="s">
        <v>76</v>
      </c>
      <c r="F17" s="10" t="s">
        <v>13</v>
      </c>
      <c r="G17" s="11" t="s">
        <v>77</v>
      </c>
      <c r="H17" s="7" t="s">
        <v>15</v>
      </c>
    </row>
    <row r="18" spans="1:8">
      <c r="A18" s="7" t="s">
        <v>78</v>
      </c>
      <c r="B18" s="7" t="s">
        <v>28</v>
      </c>
      <c r="C18" s="7" t="s">
        <v>36</v>
      </c>
      <c r="D18" s="9" t="s">
        <v>79</v>
      </c>
      <c r="E18" s="9" t="s">
        <v>80</v>
      </c>
      <c r="F18" s="10" t="s">
        <v>13</v>
      </c>
      <c r="G18" s="11" t="s">
        <v>81</v>
      </c>
      <c r="H18" s="7" t="s">
        <v>15</v>
      </c>
    </row>
    <row r="19" spans="1:8">
      <c r="A19" s="7" t="s">
        <v>82</v>
      </c>
      <c r="B19" s="7" t="s">
        <v>9</v>
      </c>
      <c r="C19" s="7" t="s">
        <v>36</v>
      </c>
      <c r="D19" s="9" t="s">
        <v>83</v>
      </c>
      <c r="E19" s="9" t="s">
        <v>84</v>
      </c>
      <c r="F19" s="10" t="s">
        <v>13</v>
      </c>
      <c r="G19" s="11" t="s">
        <v>85</v>
      </c>
      <c r="H19" s="7" t="s">
        <v>15</v>
      </c>
    </row>
    <row r="20" spans="1:8">
      <c r="A20" s="7" t="s">
        <v>86</v>
      </c>
      <c r="B20" s="7" t="s">
        <v>28</v>
      </c>
      <c r="C20" s="7" t="s">
        <v>36</v>
      </c>
      <c r="D20" s="9" t="s">
        <v>87</v>
      </c>
      <c r="E20" s="9" t="s">
        <v>88</v>
      </c>
      <c r="F20" s="10" t="s">
        <v>20</v>
      </c>
      <c r="G20" s="11" t="s">
        <v>89</v>
      </c>
      <c r="H20" s="7" t="s">
        <v>15</v>
      </c>
    </row>
    <row r="21" spans="1:8">
      <c r="A21" s="7" t="s">
        <v>90</v>
      </c>
      <c r="B21" s="7" t="s">
        <v>9</v>
      </c>
      <c r="C21" s="7" t="s">
        <v>36</v>
      </c>
      <c r="D21" s="9" t="s">
        <v>91</v>
      </c>
      <c r="E21" s="9" t="s">
        <v>92</v>
      </c>
      <c r="F21" s="10" t="s">
        <v>13</v>
      </c>
      <c r="G21" s="11" t="s">
        <v>93</v>
      </c>
      <c r="H21" s="7" t="s">
        <v>15</v>
      </c>
    </row>
    <row r="22" spans="1:8">
      <c r="A22" s="7" t="s">
        <v>94</v>
      </c>
      <c r="B22" s="7" t="s">
        <v>28</v>
      </c>
      <c r="C22" s="7" t="s">
        <v>36</v>
      </c>
      <c r="D22" s="9" t="s">
        <v>95</v>
      </c>
      <c r="E22" s="9" t="s">
        <v>96</v>
      </c>
      <c r="F22" s="10" t="s">
        <v>20</v>
      </c>
      <c r="G22" s="11" t="s">
        <v>97</v>
      </c>
      <c r="H22" s="7" t="s">
        <v>15</v>
      </c>
    </row>
    <row r="23" spans="1:8">
      <c r="A23" s="7" t="s">
        <v>98</v>
      </c>
      <c r="B23" s="7" t="s">
        <v>9</v>
      </c>
      <c r="C23" s="7" t="s">
        <v>10</v>
      </c>
      <c r="D23" s="9" t="s">
        <v>99</v>
      </c>
      <c r="E23" s="9"/>
      <c r="F23" s="10" t="s">
        <v>20</v>
      </c>
      <c r="G23" s="11" t="s">
        <v>100</v>
      </c>
      <c r="H23" s="7" t="s">
        <v>15</v>
      </c>
    </row>
    <row r="24" spans="1:8">
      <c r="A24" s="7" t="s">
        <v>101</v>
      </c>
      <c r="B24" s="7" t="s">
        <v>17</v>
      </c>
      <c r="C24" s="7" t="s">
        <v>10</v>
      </c>
      <c r="D24" s="9" t="s">
        <v>102</v>
      </c>
      <c r="E24" s="9" t="s">
        <v>103</v>
      </c>
      <c r="F24" s="10" t="s">
        <v>13</v>
      </c>
      <c r="G24" s="11" t="s">
        <v>104</v>
      </c>
      <c r="H24" s="7" t="s">
        <v>15</v>
      </c>
    </row>
    <row r="25" spans="1:8">
      <c r="A25" s="7" t="s">
        <v>105</v>
      </c>
      <c r="B25" s="7" t="s">
        <v>9</v>
      </c>
      <c r="C25" s="7" t="s">
        <v>36</v>
      </c>
      <c r="D25" s="9" t="s">
        <v>106</v>
      </c>
      <c r="E25" s="9" t="s">
        <v>107</v>
      </c>
      <c r="F25" s="10" t="s">
        <v>20</v>
      </c>
      <c r="G25" s="11" t="s">
        <v>108</v>
      </c>
      <c r="H25" s="7" t="s">
        <v>15</v>
      </c>
    </row>
    <row r="26" spans="1:8">
      <c r="A26" s="7" t="s">
        <v>109</v>
      </c>
      <c r="B26" s="7" t="s">
        <v>17</v>
      </c>
      <c r="C26" s="7" t="s">
        <v>10</v>
      </c>
      <c r="D26" s="9" t="s">
        <v>110</v>
      </c>
      <c r="E26" s="9" t="s">
        <v>111</v>
      </c>
      <c r="F26" s="10" t="s">
        <v>20</v>
      </c>
      <c r="G26" s="11" t="s">
        <v>112</v>
      </c>
      <c r="H26" s="7" t="s">
        <v>15</v>
      </c>
    </row>
    <row r="27" spans="1:8">
      <c r="A27" s="7" t="s">
        <v>113</v>
      </c>
      <c r="B27" s="7" t="s">
        <v>9</v>
      </c>
      <c r="C27" s="7" t="s">
        <v>36</v>
      </c>
      <c r="D27" s="9" t="s">
        <v>114</v>
      </c>
      <c r="E27" s="9" t="s">
        <v>115</v>
      </c>
      <c r="F27" s="10" t="s">
        <v>13</v>
      </c>
      <c r="G27" s="11" t="s">
        <v>116</v>
      </c>
      <c r="H27" s="7" t="s">
        <v>15</v>
      </c>
    </row>
    <row r="28" spans="1:8">
      <c r="A28" s="7" t="s">
        <v>117</v>
      </c>
      <c r="B28" s="7" t="s">
        <v>28</v>
      </c>
      <c r="C28" s="7" t="s">
        <v>10</v>
      </c>
      <c r="D28" s="9" t="s">
        <v>118</v>
      </c>
      <c r="E28" s="9" t="s">
        <v>119</v>
      </c>
      <c r="F28" s="10" t="s">
        <v>20</v>
      </c>
      <c r="G28" s="11" t="s">
        <v>120</v>
      </c>
      <c r="H28" s="7" t="s">
        <v>15</v>
      </c>
    </row>
    <row r="29" spans="1:8">
      <c r="A29" s="7" t="s">
        <v>121</v>
      </c>
      <c r="B29" s="7" t="s">
        <v>28</v>
      </c>
      <c r="C29" s="7" t="s">
        <v>36</v>
      </c>
      <c r="D29" s="9" t="s">
        <v>122</v>
      </c>
      <c r="E29" s="9" t="s">
        <v>123</v>
      </c>
      <c r="F29" s="10" t="s">
        <v>13</v>
      </c>
      <c r="G29" s="11" t="s">
        <v>124</v>
      </c>
      <c r="H29" s="7" t="s">
        <v>15</v>
      </c>
    </row>
    <row r="30" spans="1:8">
      <c r="A30" s="7" t="s">
        <v>125</v>
      </c>
      <c r="B30" s="7" t="s">
        <v>9</v>
      </c>
      <c r="C30" s="7" t="s">
        <v>36</v>
      </c>
      <c r="D30" s="9" t="s">
        <v>126</v>
      </c>
      <c r="E30" s="9" t="s">
        <v>127</v>
      </c>
      <c r="F30" s="10" t="s">
        <v>13</v>
      </c>
      <c r="G30" s="11" t="s">
        <v>128</v>
      </c>
      <c r="H30" s="7" t="s">
        <v>15</v>
      </c>
    </row>
    <row r="31" spans="1:8">
      <c r="A31" s="7" t="s">
        <v>129</v>
      </c>
      <c r="B31" s="7" t="s">
        <v>9</v>
      </c>
      <c r="C31" s="7" t="s">
        <v>36</v>
      </c>
      <c r="D31" s="9" t="s">
        <v>130</v>
      </c>
      <c r="E31" s="9" t="s">
        <v>131</v>
      </c>
      <c r="F31" s="10" t="s">
        <v>13</v>
      </c>
      <c r="G31" s="11" t="s">
        <v>132</v>
      </c>
      <c r="H31" s="7" t="s">
        <v>15</v>
      </c>
    </row>
    <row r="32" spans="1:8">
      <c r="A32" s="7" t="s">
        <v>133</v>
      </c>
      <c r="B32" s="7" t="s">
        <v>28</v>
      </c>
      <c r="C32" s="7" t="s">
        <v>23</v>
      </c>
      <c r="D32" s="9" t="s">
        <v>134</v>
      </c>
      <c r="E32" s="9" t="s">
        <v>135</v>
      </c>
      <c r="F32" s="10" t="s">
        <v>20</v>
      </c>
      <c r="G32" s="11" t="s">
        <v>46</v>
      </c>
      <c r="H32" s="7" t="s">
        <v>15</v>
      </c>
    </row>
    <row r="33" spans="1:8">
      <c r="A33" s="7" t="s">
        <v>136</v>
      </c>
      <c r="B33" s="7" t="s">
        <v>28</v>
      </c>
      <c r="C33" s="7" t="s">
        <v>36</v>
      </c>
      <c r="D33" s="9" t="s">
        <v>137</v>
      </c>
      <c r="E33" s="9" t="s">
        <v>138</v>
      </c>
      <c r="F33" s="10" t="s">
        <v>20</v>
      </c>
      <c r="G33" s="11" t="s">
        <v>139</v>
      </c>
      <c r="H33" s="7" t="s">
        <v>15</v>
      </c>
    </row>
    <row r="34" spans="1:8">
      <c r="A34" s="7" t="s">
        <v>140</v>
      </c>
      <c r="B34" s="7" t="s">
        <v>28</v>
      </c>
      <c r="C34" s="7" t="s">
        <v>36</v>
      </c>
      <c r="D34" s="9" t="s">
        <v>141</v>
      </c>
      <c r="E34" s="9" t="s">
        <v>142</v>
      </c>
      <c r="F34" s="10" t="s">
        <v>13</v>
      </c>
      <c r="G34" s="11" t="s">
        <v>143</v>
      </c>
      <c r="H34" s="7" t="s">
        <v>15</v>
      </c>
    </row>
    <row r="35" spans="1:8">
      <c r="A35" s="7" t="s">
        <v>144</v>
      </c>
      <c r="B35" s="7" t="s">
        <v>17</v>
      </c>
      <c r="C35" s="7" t="s">
        <v>10</v>
      </c>
      <c r="D35" s="9" t="s">
        <v>145</v>
      </c>
      <c r="E35" s="9" t="s">
        <v>146</v>
      </c>
      <c r="F35" s="10" t="s">
        <v>20</v>
      </c>
      <c r="G35" s="11" t="s">
        <v>42</v>
      </c>
      <c r="H35" s="7" t="s">
        <v>15</v>
      </c>
    </row>
    <row r="36" spans="1:8">
      <c r="A36" s="7" t="s">
        <v>147</v>
      </c>
      <c r="B36" s="7" t="s">
        <v>9</v>
      </c>
      <c r="C36" s="7" t="s">
        <v>36</v>
      </c>
      <c r="D36" s="9" t="s">
        <v>56</v>
      </c>
      <c r="E36" s="9" t="s">
        <v>148</v>
      </c>
      <c r="F36" s="10" t="s">
        <v>20</v>
      </c>
      <c r="G36" s="11" t="s">
        <v>42</v>
      </c>
      <c r="H36" s="7" t="s">
        <v>15</v>
      </c>
    </row>
    <row r="37" spans="1:8">
      <c r="A37" s="7" t="s">
        <v>149</v>
      </c>
      <c r="B37" s="7" t="s">
        <v>17</v>
      </c>
      <c r="C37" s="7" t="s">
        <v>23</v>
      </c>
      <c r="D37" s="9" t="s">
        <v>150</v>
      </c>
      <c r="E37" s="9" t="s">
        <v>151</v>
      </c>
      <c r="F37" s="10" t="s">
        <v>20</v>
      </c>
      <c r="G37" s="11" t="s">
        <v>152</v>
      </c>
      <c r="H37" s="7" t="s">
        <v>15</v>
      </c>
    </row>
    <row r="38" spans="1:8">
      <c r="A38" s="7" t="s">
        <v>153</v>
      </c>
      <c r="B38" s="7" t="s">
        <v>17</v>
      </c>
      <c r="C38" s="7" t="s">
        <v>10</v>
      </c>
      <c r="D38" s="9" t="s">
        <v>154</v>
      </c>
      <c r="E38" s="9" t="s">
        <v>155</v>
      </c>
      <c r="F38" s="10" t="s">
        <v>20</v>
      </c>
      <c r="G38" s="11" t="s">
        <v>70</v>
      </c>
      <c r="H38" s="7" t="s">
        <v>15</v>
      </c>
    </row>
    <row r="39" spans="1:8">
      <c r="A39" s="7" t="s">
        <v>156</v>
      </c>
      <c r="B39" s="7" t="s">
        <v>9</v>
      </c>
      <c r="C39" s="7" t="s">
        <v>10</v>
      </c>
      <c r="D39" s="9" t="s">
        <v>157</v>
      </c>
      <c r="E39" s="9" t="s">
        <v>158</v>
      </c>
      <c r="F39" s="10" t="s">
        <v>20</v>
      </c>
      <c r="G39" s="11" t="s">
        <v>62</v>
      </c>
      <c r="H39" s="7" t="s">
        <v>15</v>
      </c>
    </row>
    <row r="40" spans="1:8">
      <c r="A40" s="7" t="s">
        <v>159</v>
      </c>
      <c r="B40" s="7" t="s">
        <v>17</v>
      </c>
      <c r="C40" s="7" t="s">
        <v>23</v>
      </c>
      <c r="D40" s="9" t="s">
        <v>160</v>
      </c>
      <c r="E40" s="9" t="s">
        <v>161</v>
      </c>
      <c r="F40" s="10" t="s">
        <v>20</v>
      </c>
      <c r="G40" s="11" t="s">
        <v>46</v>
      </c>
      <c r="H40" s="7" t="s">
        <v>15</v>
      </c>
    </row>
    <row r="41" spans="1:8">
      <c r="A41" s="7" t="s">
        <v>162</v>
      </c>
      <c r="B41" s="7" t="s">
        <v>9</v>
      </c>
      <c r="C41" s="7" t="s">
        <v>23</v>
      </c>
      <c r="D41" s="9" t="s">
        <v>163</v>
      </c>
      <c r="E41" s="9" t="s">
        <v>164</v>
      </c>
      <c r="F41" s="10" t="s">
        <v>13</v>
      </c>
      <c r="G41" s="11" t="s">
        <v>50</v>
      </c>
      <c r="H41" s="7" t="s">
        <v>15</v>
      </c>
    </row>
    <row r="42" spans="1:8">
      <c r="A42" s="7" t="s">
        <v>165</v>
      </c>
      <c r="B42" s="7" t="s">
        <v>17</v>
      </c>
      <c r="C42" s="7" t="s">
        <v>36</v>
      </c>
      <c r="D42" s="9" t="s">
        <v>166</v>
      </c>
      <c r="E42" s="9"/>
      <c r="F42" s="10" t="s">
        <v>13</v>
      </c>
      <c r="G42" s="11" t="s">
        <v>167</v>
      </c>
      <c r="H42" s="7" t="s">
        <v>15</v>
      </c>
    </row>
    <row r="43" spans="1:8">
      <c r="A43" s="7" t="s">
        <v>168</v>
      </c>
      <c r="B43" s="7" t="s">
        <v>17</v>
      </c>
      <c r="C43" s="7" t="s">
        <v>10</v>
      </c>
      <c r="D43" s="9" t="s">
        <v>169</v>
      </c>
      <c r="E43" s="9" t="s">
        <v>170</v>
      </c>
      <c r="F43" s="10" t="s">
        <v>20</v>
      </c>
      <c r="G43" s="11" t="s">
        <v>62</v>
      </c>
      <c r="H43" s="7" t="s">
        <v>15</v>
      </c>
    </row>
    <row r="44" spans="1:8">
      <c r="A44" s="7" t="s">
        <v>171</v>
      </c>
      <c r="B44" s="7" t="s">
        <v>17</v>
      </c>
      <c r="C44" s="7" t="s">
        <v>10</v>
      </c>
      <c r="D44" s="9" t="s">
        <v>172</v>
      </c>
      <c r="E44" s="9" t="s">
        <v>173</v>
      </c>
      <c r="F44" s="10" t="s">
        <v>20</v>
      </c>
      <c r="G44" s="11" t="s">
        <v>89</v>
      </c>
      <c r="H44" s="7" t="s">
        <v>15</v>
      </c>
    </row>
    <row r="45" spans="1:8">
      <c r="A45" s="7" t="s">
        <v>174</v>
      </c>
      <c r="B45" s="7" t="s">
        <v>17</v>
      </c>
      <c r="C45" s="7" t="s">
        <v>10</v>
      </c>
      <c r="D45" s="9" t="s">
        <v>175</v>
      </c>
      <c r="E45" s="9" t="s">
        <v>176</v>
      </c>
      <c r="F45" s="10" t="s">
        <v>20</v>
      </c>
      <c r="G45" s="11" t="s">
        <v>177</v>
      </c>
      <c r="H45" s="7" t="s">
        <v>15</v>
      </c>
    </row>
    <row r="46" spans="1:8">
      <c r="A46" s="7" t="s">
        <v>178</v>
      </c>
      <c r="B46" s="7" t="s">
        <v>9</v>
      </c>
      <c r="C46" s="7" t="s">
        <v>36</v>
      </c>
      <c r="D46" s="9" t="s">
        <v>179</v>
      </c>
      <c r="E46" s="9" t="s">
        <v>180</v>
      </c>
      <c r="F46" s="10" t="s">
        <v>13</v>
      </c>
      <c r="G46" s="11" t="s">
        <v>181</v>
      </c>
      <c r="H46" s="7" t="s">
        <v>15</v>
      </c>
    </row>
    <row r="47" spans="1:8">
      <c r="A47" s="7" t="s">
        <v>182</v>
      </c>
      <c r="B47" s="7" t="s">
        <v>17</v>
      </c>
      <c r="C47" s="7" t="s">
        <v>36</v>
      </c>
      <c r="D47" s="9" t="s">
        <v>60</v>
      </c>
      <c r="E47" s="9" t="s">
        <v>183</v>
      </c>
      <c r="F47" s="10" t="s">
        <v>13</v>
      </c>
      <c r="G47" s="11" t="s">
        <v>74</v>
      </c>
      <c r="H47" s="7" t="s">
        <v>15</v>
      </c>
    </row>
    <row r="48" spans="1:8">
      <c r="A48" s="7" t="s">
        <v>184</v>
      </c>
      <c r="B48" s="7" t="s">
        <v>17</v>
      </c>
      <c r="C48" s="7" t="s">
        <v>36</v>
      </c>
      <c r="D48" s="9" t="s">
        <v>185</v>
      </c>
      <c r="E48" s="9" t="s">
        <v>186</v>
      </c>
      <c r="F48" s="10" t="s">
        <v>13</v>
      </c>
      <c r="G48" s="11" t="s">
        <v>74</v>
      </c>
      <c r="H48" s="7" t="s">
        <v>15</v>
      </c>
    </row>
    <row r="49" spans="1:8">
      <c r="A49" s="7" t="s">
        <v>187</v>
      </c>
      <c r="B49" s="7" t="s">
        <v>28</v>
      </c>
      <c r="C49" s="7" t="s">
        <v>23</v>
      </c>
      <c r="D49" s="9" t="s">
        <v>32</v>
      </c>
      <c r="E49" s="9" t="s">
        <v>188</v>
      </c>
      <c r="F49" s="10" t="s">
        <v>13</v>
      </c>
      <c r="G49" s="11" t="s">
        <v>189</v>
      </c>
      <c r="H49" s="7" t="s">
        <v>15</v>
      </c>
    </row>
    <row r="50" spans="1:8">
      <c r="A50" s="7" t="s">
        <v>190</v>
      </c>
      <c r="B50" s="7" t="s">
        <v>9</v>
      </c>
      <c r="C50" s="7" t="s">
        <v>10</v>
      </c>
      <c r="D50" s="9" t="s">
        <v>191</v>
      </c>
      <c r="E50" s="9" t="s">
        <v>192</v>
      </c>
      <c r="F50" s="10" t="s">
        <v>20</v>
      </c>
      <c r="G50" s="11" t="s">
        <v>108</v>
      </c>
      <c r="H50" s="7" t="s">
        <v>15</v>
      </c>
    </row>
    <row r="51" spans="1:8">
      <c r="A51" s="7" t="s">
        <v>193</v>
      </c>
      <c r="B51" s="7" t="s">
        <v>28</v>
      </c>
      <c r="C51" s="7" t="s">
        <v>10</v>
      </c>
      <c r="D51" s="9" t="s">
        <v>194</v>
      </c>
      <c r="E51" s="9" t="s">
        <v>195</v>
      </c>
      <c r="F51" s="10" t="s">
        <v>20</v>
      </c>
      <c r="G51" s="11" t="s">
        <v>152</v>
      </c>
      <c r="H51" s="7" t="s">
        <v>15</v>
      </c>
    </row>
    <row r="52" spans="1:8">
      <c r="A52" s="7" t="s">
        <v>196</v>
      </c>
      <c r="B52" s="7" t="s">
        <v>9</v>
      </c>
      <c r="C52" s="7" t="s">
        <v>23</v>
      </c>
      <c r="D52" s="9" t="s">
        <v>197</v>
      </c>
      <c r="E52" s="9" t="s">
        <v>198</v>
      </c>
      <c r="F52" s="10" t="s">
        <v>13</v>
      </c>
      <c r="G52" s="11" t="s">
        <v>199</v>
      </c>
      <c r="H52" s="7" t="s">
        <v>15</v>
      </c>
    </row>
    <row r="53" spans="1:8">
      <c r="A53" s="7" t="s">
        <v>200</v>
      </c>
      <c r="B53" s="7" t="s">
        <v>28</v>
      </c>
      <c r="C53" s="7" t="s">
        <v>23</v>
      </c>
      <c r="D53" s="9" t="s">
        <v>201</v>
      </c>
      <c r="E53" s="9" t="s">
        <v>202</v>
      </c>
      <c r="F53" s="10" t="s">
        <v>20</v>
      </c>
      <c r="G53" s="11" t="s">
        <v>54</v>
      </c>
      <c r="H53" s="7" t="s">
        <v>15</v>
      </c>
    </row>
    <row r="54" spans="1:8">
      <c r="A54" s="7" t="s">
        <v>203</v>
      </c>
      <c r="B54" s="7" t="s">
        <v>9</v>
      </c>
      <c r="C54" s="7" t="s">
        <v>36</v>
      </c>
      <c r="D54" s="9" t="s">
        <v>204</v>
      </c>
      <c r="E54" s="9" t="s">
        <v>205</v>
      </c>
      <c r="F54" s="10" t="s">
        <v>13</v>
      </c>
      <c r="G54" s="11" t="s">
        <v>206</v>
      </c>
      <c r="H54" s="7" t="s">
        <v>15</v>
      </c>
    </row>
    <row r="55" spans="1:8">
      <c r="A55" s="7" t="s">
        <v>207</v>
      </c>
      <c r="B55" s="7" t="s">
        <v>17</v>
      </c>
      <c r="C55" s="7" t="s">
        <v>23</v>
      </c>
      <c r="D55" s="9" t="s">
        <v>208</v>
      </c>
      <c r="E55" s="9" t="s">
        <v>209</v>
      </c>
      <c r="F55" s="10" t="s">
        <v>13</v>
      </c>
      <c r="G55" s="11" t="s">
        <v>14</v>
      </c>
      <c r="H55" s="7" t="s">
        <v>15</v>
      </c>
    </row>
    <row r="56" spans="1:8">
      <c r="A56" s="7" t="s">
        <v>210</v>
      </c>
      <c r="B56" s="7" t="s">
        <v>17</v>
      </c>
      <c r="C56" s="7" t="s">
        <v>10</v>
      </c>
      <c r="D56" s="9" t="s">
        <v>211</v>
      </c>
      <c r="E56" s="9" t="s">
        <v>212</v>
      </c>
      <c r="F56" s="10" t="s">
        <v>13</v>
      </c>
      <c r="G56" s="11" t="s">
        <v>128</v>
      </c>
      <c r="H56" s="7" t="s">
        <v>15</v>
      </c>
    </row>
    <row r="57" spans="1:8">
      <c r="A57" s="7" t="s">
        <v>213</v>
      </c>
      <c r="B57" s="7" t="s">
        <v>28</v>
      </c>
      <c r="C57" s="7" t="s">
        <v>10</v>
      </c>
      <c r="D57" s="9" t="s">
        <v>214</v>
      </c>
      <c r="E57" s="9" t="s">
        <v>215</v>
      </c>
      <c r="F57" s="10" t="s">
        <v>20</v>
      </c>
      <c r="G57" s="11" t="s">
        <v>216</v>
      </c>
      <c r="H57" s="7" t="s">
        <v>15</v>
      </c>
    </row>
    <row r="58" spans="1:8">
      <c r="A58" s="7" t="s">
        <v>217</v>
      </c>
      <c r="B58" s="7" t="s">
        <v>17</v>
      </c>
      <c r="C58" s="7" t="s">
        <v>36</v>
      </c>
      <c r="D58" s="9" t="s">
        <v>218</v>
      </c>
      <c r="E58" s="9" t="s">
        <v>219</v>
      </c>
      <c r="F58" s="10" t="s">
        <v>20</v>
      </c>
      <c r="G58" s="11" t="s">
        <v>34</v>
      </c>
      <c r="H58" s="7" t="s">
        <v>15</v>
      </c>
    </row>
    <row r="59" spans="1:8">
      <c r="A59" s="7" t="s">
        <v>220</v>
      </c>
      <c r="B59" s="7" t="s">
        <v>28</v>
      </c>
      <c r="C59" s="7" t="s">
        <v>23</v>
      </c>
      <c r="D59" s="9" t="s">
        <v>221</v>
      </c>
      <c r="E59" s="9" t="s">
        <v>222</v>
      </c>
      <c r="F59" s="10" t="s">
        <v>13</v>
      </c>
      <c r="G59" s="11" t="s">
        <v>81</v>
      </c>
      <c r="H59" s="7" t="s">
        <v>15</v>
      </c>
    </row>
    <row r="60" spans="1:8">
      <c r="A60" s="7" t="s">
        <v>223</v>
      </c>
      <c r="B60" s="7" t="s">
        <v>9</v>
      </c>
      <c r="C60" s="7" t="s">
        <v>10</v>
      </c>
      <c r="D60" s="9" t="s">
        <v>218</v>
      </c>
      <c r="E60" s="9" t="s">
        <v>107</v>
      </c>
      <c r="F60" s="10" t="s">
        <v>20</v>
      </c>
      <c r="G60" s="11" t="s">
        <v>224</v>
      </c>
      <c r="H60" s="7" t="s">
        <v>15</v>
      </c>
    </row>
    <row r="61" spans="1:8">
      <c r="A61" s="7" t="s">
        <v>225</v>
      </c>
      <c r="B61" s="7" t="s">
        <v>9</v>
      </c>
      <c r="C61" s="7" t="s">
        <v>36</v>
      </c>
      <c r="D61" s="9" t="s">
        <v>226</v>
      </c>
      <c r="E61" s="9" t="s">
        <v>227</v>
      </c>
      <c r="F61" s="10" t="s">
        <v>20</v>
      </c>
      <c r="G61" s="11" t="s">
        <v>228</v>
      </c>
      <c r="H61" s="7" t="s">
        <v>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showGridLines="0" workbookViewId="0"/>
  </sheetViews>
  <sheetFormatPr defaultRowHeight="15"/>
  <cols>
    <col min="1" max="1" width="18" customWidth="1"/>
    <col min="2" max="2" width="66" customWidth="1"/>
  </cols>
  <sheetData>
    <row r="1" spans="1:8" ht="30" customHeight="1">
      <c r="A1" s="12" t="s">
        <v>229</v>
      </c>
      <c r="B1" s="14"/>
      <c r="C1" s="14"/>
      <c r="D1" s="14"/>
      <c r="E1" s="14"/>
      <c r="F1" s="14"/>
      <c r="G1" s="14"/>
      <c r="H1" s="14"/>
    </row>
    <row r="2" spans="1:8" ht="42" customHeight="1">
      <c r="A2" s="13" t="s">
        <v>230</v>
      </c>
      <c r="B2" s="13" t="s">
        <v>230</v>
      </c>
      <c r="C2" s="13" t="s">
        <v>230</v>
      </c>
      <c r="D2" s="13" t="s">
        <v>230</v>
      </c>
      <c r="E2" s="13" t="s">
        <v>230</v>
      </c>
      <c r="F2" s="13" t="s">
        <v>230</v>
      </c>
      <c r="G2" s="13" t="s">
        <v>230</v>
      </c>
      <c r="H2" s="13" t="s">
        <v>230</v>
      </c>
    </row>
    <row r="4" spans="1:8">
      <c r="A4" s="2" t="s">
        <v>231</v>
      </c>
      <c r="B4" s="2" t="s">
        <v>232</v>
      </c>
    </row>
    <row r="5" spans="1:8" ht="33.950000000000003" customHeight="1">
      <c r="A5" s="3" t="s">
        <v>233</v>
      </c>
      <c r="B5" s="4" t="s">
        <v>234</v>
      </c>
    </row>
    <row r="6" spans="1:8" ht="33.950000000000003" customHeight="1">
      <c r="A6" s="3" t="s">
        <v>235</v>
      </c>
      <c r="B6" s="4" t="s">
        <v>236</v>
      </c>
    </row>
    <row r="7" spans="1:8" ht="33.950000000000003" customHeight="1">
      <c r="A7" s="3" t="s">
        <v>237</v>
      </c>
      <c r="B7" s="4" t="s">
        <v>238</v>
      </c>
    </row>
    <row r="8" spans="1:8" ht="33.950000000000003" customHeight="1">
      <c r="A8" s="3" t="s">
        <v>239</v>
      </c>
      <c r="B8" s="4" t="s">
        <v>240</v>
      </c>
    </row>
    <row r="9" spans="1:8" ht="33.950000000000003" customHeight="1">
      <c r="A9" s="4" t="s">
        <v>241</v>
      </c>
      <c r="B9" s="4" t="s">
        <v>242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showGridLines="0" workbookViewId="0"/>
  </sheetViews>
  <sheetFormatPr defaultRowHeight="15"/>
  <cols>
    <col min="1" max="1" width="16" customWidth="1"/>
    <col min="2" max="2" width="21" customWidth="1"/>
    <col min="3" max="3" width="54" customWidth="1"/>
  </cols>
  <sheetData>
    <row r="1" spans="1:8" ht="30" customHeight="1">
      <c r="A1" s="12" t="s">
        <v>243</v>
      </c>
      <c r="B1" s="14"/>
      <c r="C1" s="14"/>
      <c r="D1" s="14"/>
      <c r="E1" s="14"/>
      <c r="F1" s="14"/>
      <c r="G1" s="14"/>
      <c r="H1" s="14"/>
    </row>
    <row r="2" spans="1:8" ht="42" customHeight="1">
      <c r="A2" s="13" t="s">
        <v>244</v>
      </c>
      <c r="B2" s="13" t="s">
        <v>244</v>
      </c>
      <c r="C2" s="13" t="s">
        <v>244</v>
      </c>
      <c r="D2" s="13" t="s">
        <v>244</v>
      </c>
      <c r="E2" s="13" t="s">
        <v>244</v>
      </c>
      <c r="F2" s="13" t="s">
        <v>244</v>
      </c>
      <c r="G2" s="13" t="s">
        <v>244</v>
      </c>
      <c r="H2" s="13" t="s">
        <v>244</v>
      </c>
    </row>
    <row r="4" spans="1:8">
      <c r="A4" s="2" t="s">
        <v>245</v>
      </c>
      <c r="B4" s="2" t="s">
        <v>246</v>
      </c>
      <c r="C4" s="2" t="s">
        <v>247</v>
      </c>
    </row>
    <row r="5" spans="1:8">
      <c r="A5" s="1" t="s">
        <v>17</v>
      </c>
      <c r="B5" s="5" t="e">
        <f>AVERAGEIF(Data!$B$2:$B$61,A5,Data!$E$2:$E$61)</f>
        <v>#DIV/0!</v>
      </c>
      <c r="C5" s="1" t="s">
        <v>248</v>
      </c>
    </row>
    <row r="6" spans="1:8">
      <c r="A6" s="1" t="s">
        <v>9</v>
      </c>
      <c r="B6" s="5" t="e">
        <f>AVERAGEIF(Data!$B$2:$B$61,A6,Data!$E$2:$E$61)</f>
        <v>#DIV/0!</v>
      </c>
      <c r="C6" s="1" t="s">
        <v>249</v>
      </c>
    </row>
    <row r="7" spans="1:8">
      <c r="A7" s="1" t="s">
        <v>28</v>
      </c>
      <c r="B7" s="5" t="e">
        <f>AVERAGEIF(Data!$B$2:$B$61,A7,Data!$E$2:$E$61)</f>
        <v>#DIV/0!</v>
      </c>
      <c r="C7" s="1" t="s">
        <v>250</v>
      </c>
    </row>
    <row r="10" spans="1:8">
      <c r="A10" s="6" t="s">
        <v>251</v>
      </c>
      <c r="B10" s="6" t="s">
        <v>252</v>
      </c>
      <c r="C10" s="6" t="s">
        <v>253</v>
      </c>
    </row>
    <row r="11" spans="1:8" ht="36" customHeight="1">
      <c r="A11" s="4" t="s">
        <v>254</v>
      </c>
      <c r="B11" s="4" t="s">
        <v>255</v>
      </c>
      <c r="C11" s="4" t="s">
        <v>256</v>
      </c>
    </row>
    <row r="12" spans="1:8" ht="36" customHeight="1">
      <c r="A12" s="4" t="s">
        <v>257</v>
      </c>
      <c r="B12" s="4" t="s">
        <v>258</v>
      </c>
      <c r="C12" s="4" t="s">
        <v>259</v>
      </c>
    </row>
    <row r="13" spans="1:8" ht="36" customHeight="1">
      <c r="A13" s="4" t="s">
        <v>260</v>
      </c>
      <c r="B13" s="4" t="s">
        <v>261</v>
      </c>
      <c r="C13" s="4" t="s">
        <v>262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showGridLines="0" workbookViewId="0"/>
  </sheetViews>
  <sheetFormatPr defaultRowHeight="15"/>
  <cols>
    <col min="1" max="1" width="12" customWidth="1"/>
    <col min="2" max="2" width="21" customWidth="1"/>
    <col min="3" max="3" width="54" customWidth="1"/>
  </cols>
  <sheetData>
    <row r="1" spans="1:8" ht="30" customHeight="1">
      <c r="A1" s="12" t="s">
        <v>263</v>
      </c>
      <c r="B1" s="14"/>
      <c r="C1" s="14"/>
      <c r="D1" s="14"/>
      <c r="E1" s="14"/>
      <c r="F1" s="14"/>
      <c r="G1" s="14"/>
      <c r="H1" s="14"/>
    </row>
    <row r="2" spans="1:8" ht="42" customHeight="1">
      <c r="A2" s="13" t="s">
        <v>264</v>
      </c>
      <c r="B2" s="13" t="s">
        <v>264</v>
      </c>
      <c r="C2" s="13" t="s">
        <v>264</v>
      </c>
      <c r="D2" s="13" t="s">
        <v>264</v>
      </c>
      <c r="E2" s="13" t="s">
        <v>264</v>
      </c>
      <c r="F2" s="13" t="s">
        <v>264</v>
      </c>
      <c r="G2" s="13" t="s">
        <v>264</v>
      </c>
      <c r="H2" s="13" t="s">
        <v>264</v>
      </c>
    </row>
    <row r="4" spans="1:8">
      <c r="A4" s="2" t="s">
        <v>265</v>
      </c>
      <c r="B4" s="2" t="s">
        <v>246</v>
      </c>
      <c r="C4" s="2" t="s">
        <v>247</v>
      </c>
    </row>
    <row r="5" spans="1:8">
      <c r="A5" s="1">
        <v>2024</v>
      </c>
      <c r="B5" s="5" t="e">
        <f>AVERAGEIF(Data!$F$2:$F$61,A5,Data!$E$2:$E$61)</f>
        <v>#DIV/0!</v>
      </c>
      <c r="C5" s="1" t="s">
        <v>266</v>
      </c>
    </row>
    <row r="6" spans="1:8">
      <c r="A6" s="1">
        <v>2025</v>
      </c>
      <c r="B6" s="5" t="e">
        <f>AVERAGEIF(Data!$F$2:$F$61,A6,Data!$E$2:$E$61)</f>
        <v>#DIV/0!</v>
      </c>
      <c r="C6" s="1" t="s">
        <v>267</v>
      </c>
    </row>
    <row r="9" spans="1:8">
      <c r="A9" s="6" t="s">
        <v>251</v>
      </c>
      <c r="B9" s="6" t="s">
        <v>252</v>
      </c>
      <c r="C9" s="6" t="s">
        <v>253</v>
      </c>
    </row>
    <row r="10" spans="1:8" ht="38.1" customHeight="1">
      <c r="A10" s="4" t="s">
        <v>257</v>
      </c>
      <c r="B10" s="4" t="s">
        <v>268</v>
      </c>
      <c r="C10" s="4" t="s">
        <v>269</v>
      </c>
    </row>
    <row r="11" spans="1:8" ht="38.1" customHeight="1">
      <c r="A11" s="4" t="s">
        <v>270</v>
      </c>
      <c r="B11" s="4" t="s">
        <v>271</v>
      </c>
      <c r="C11" s="4" t="s">
        <v>272</v>
      </c>
    </row>
    <row r="12" spans="1:8" ht="38.1" customHeight="1">
      <c r="A12" s="4" t="s">
        <v>273</v>
      </c>
      <c r="B12" s="4" t="s">
        <v>274</v>
      </c>
      <c r="C12" s="4" t="s">
        <v>275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"/>
  <sheetViews>
    <sheetView showGridLines="0" workbookViewId="0"/>
  </sheetViews>
  <sheetFormatPr defaultRowHeight="15"/>
  <cols>
    <col min="1" max="1" width="21" customWidth="1"/>
    <col min="2" max="2" width="35" customWidth="1"/>
    <col min="3" max="3" width="22" customWidth="1"/>
  </cols>
  <sheetData>
    <row r="1" spans="1:8" ht="30" customHeight="1">
      <c r="A1" s="12" t="s">
        <v>276</v>
      </c>
      <c r="B1" s="14"/>
      <c r="C1" s="14"/>
      <c r="D1" s="14"/>
      <c r="E1" s="14"/>
      <c r="F1" s="14"/>
      <c r="G1" s="14"/>
      <c r="H1" s="14"/>
    </row>
    <row r="2" spans="1:8" ht="42" customHeight="1">
      <c r="A2" s="13" t="s">
        <v>277</v>
      </c>
      <c r="B2" s="13" t="s">
        <v>277</v>
      </c>
      <c r="C2" s="13" t="s">
        <v>277</v>
      </c>
      <c r="D2" s="13" t="s">
        <v>277</v>
      </c>
      <c r="E2" s="13" t="s">
        <v>277</v>
      </c>
      <c r="F2" s="13" t="s">
        <v>277</v>
      </c>
      <c r="G2" s="13" t="s">
        <v>277</v>
      </c>
      <c r="H2" s="13" t="s">
        <v>277</v>
      </c>
    </row>
    <row r="4" spans="1:8">
      <c r="A4" s="6" t="s">
        <v>278</v>
      </c>
      <c r="B4" s="6" t="s">
        <v>279</v>
      </c>
      <c r="C4" s="6" t="s">
        <v>241</v>
      </c>
    </row>
    <row r="5" spans="1:8" ht="33.950000000000003" customHeight="1">
      <c r="A5" s="4" t="s">
        <v>280</v>
      </c>
      <c r="B5" s="4" t="s">
        <v>281</v>
      </c>
      <c r="C5" s="4" t="s">
        <v>282</v>
      </c>
    </row>
    <row r="6" spans="1:8" ht="33.950000000000003" customHeight="1">
      <c r="A6" s="4" t="s">
        <v>283</v>
      </c>
      <c r="B6" s="4" t="s">
        <v>284</v>
      </c>
      <c r="C6" s="4" t="s">
        <v>285</v>
      </c>
    </row>
    <row r="7" spans="1:8" ht="33.950000000000003" customHeight="1">
      <c r="A7" s="4" t="s">
        <v>286</v>
      </c>
      <c r="B7" s="4" t="s">
        <v>287</v>
      </c>
      <c r="C7" s="4" t="s">
        <v>288</v>
      </c>
    </row>
    <row r="8" spans="1:8" ht="33.950000000000003" customHeight="1">
      <c r="A8" s="4" t="s">
        <v>289</v>
      </c>
      <c r="B8" s="4" t="s">
        <v>290</v>
      </c>
      <c r="C8" s="4" t="s">
        <v>291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Slade, Peter</cp:lastModifiedBy>
  <cp:revision/>
  <dcterms:created xsi:type="dcterms:W3CDTF">2026-08-22T16:08:55Z</dcterms:created>
  <dcterms:modified xsi:type="dcterms:W3CDTF">2026-08-22T16:08:55Z</dcterms:modified>
  <cp:category/>
  <cp:contentStatus/>
</cp:coreProperties>
</file>