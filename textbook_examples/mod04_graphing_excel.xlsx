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1" documentId="11_83D00A636450ACE79EB4136836719312FB7A9571" xr6:coauthVersionLast="47" xr6:coauthVersionMax="47" xr10:uidLastSave="{A38E00CF-1C26-4BBE-8A77-233D28F44A08}"/>
  <bookViews>
    <workbookView xWindow="0" yWindow="0" windowWidth="0" windowHeight="0" xr2:uid="{00000000-000D-0000-FFFF-FFFF00000000}"/>
  </bookViews>
  <sheets>
    <sheet name="Canola data" sheetId="1" r:id="rId1"/>
    <sheet name="README" sheetId="2" r:id="rId2"/>
    <sheet name="Bar chart" sheetId="3" r:id="rId3"/>
    <sheet name="Scatter plot" sheetId="4" r:id="rId4"/>
    <sheet name="Histogram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K34" i="5" s="1"/>
  <c r="C12" i="5"/>
  <c r="K33" i="5" s="1"/>
  <c r="C11" i="5"/>
  <c r="K32" i="5" s="1"/>
  <c r="C10" i="5"/>
  <c r="K31" i="5" s="1"/>
  <c r="C9" i="5"/>
  <c r="K30" i="5" s="1"/>
  <c r="C8" i="5"/>
  <c r="K29" i="5" s="1"/>
  <c r="C7" i="5"/>
  <c r="K28" i="5" s="1"/>
  <c r="C6" i="5"/>
  <c r="K27" i="5" s="1"/>
  <c r="C5" i="5"/>
  <c r="C9" i="4"/>
  <c r="C8" i="4"/>
  <c r="C7" i="4"/>
  <c r="C7" i="3"/>
  <c r="B7" i="3"/>
  <c r="C6" i="3"/>
  <c r="B6" i="3"/>
  <c r="C5" i="3"/>
  <c r="B5" i="3"/>
  <c r="K26" i="5" l="1"/>
  <c r="C18" i="5"/>
</calcChain>
</file>

<file path=xl/sharedStrings.xml><?xml version="1.0" encoding="utf-8"?>
<sst xmlns="http://schemas.openxmlformats.org/spreadsheetml/2006/main" count="366" uniqueCount="241">
  <si>
    <t>field_id</t>
  </si>
  <si>
    <t>fertilizer_kg_ha</t>
  </si>
  <si>
    <t>rainfall_mm</t>
  </si>
  <si>
    <t>variety</t>
  </si>
  <si>
    <t>yield_bu_acre</t>
  </si>
  <si>
    <t>C001</t>
  </si>
  <si>
    <t>InVigor</t>
  </si>
  <si>
    <t>C002</t>
  </si>
  <si>
    <t>DEKALB</t>
  </si>
  <si>
    <t>C003</t>
  </si>
  <si>
    <t>Clearfield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</si>
  <si>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</si>
  <si>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</si>
  <si>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</si>
  <si>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</si>
  <si>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</si>
  <si>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</si>
  <si>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</si>
  <si>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</si>
  <si>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</si>
  <si>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</si>
  <si>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</si>
  <si>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</si>
  <si>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</si>
  <si>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</si>
  <si>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</si>
  <si>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</si>
  <si>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</si>
  <si>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</si>
  <si>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</si>
  <si>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</si>
  <si>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</si>
  <si>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</si>
  <si>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</si>
  <si>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</si>
  <si>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</si>
  <si>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</si>
  <si>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</si>
  <si>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</si>
  <si>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</si>
  <si>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</si>
  <si>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</si>
  <si>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</si>
  <si>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</si>
  <si>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</si>
  <si>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</si>
  <si>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</si>
  <si>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</si>
  <si>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</si>
  <si>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</si>
  <si>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</si>
  <si>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</si>
  <si>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</si>
  <si>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</si>
  <si>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</si>
  <si>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</si>
  <si>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</si>
  <si>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</si>
  <si>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</si>
  <si>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</si>
  <si>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</si>
  <si>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</si>
  <si>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</si>
  <si>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</si>
  <si>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</si>
  <si>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</si>
  <si>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</si>
  <si>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</si>
  <si>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</si>
  <si>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</si>
  <si>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</si>
  <si>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</si>
  <si>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</si>
  <si>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</si>
  <si>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</si>
  <si>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</si>
  <si>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</si>
  <si>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</si>
  <si>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</si>
  <si>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</si>
  <si>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</si>
  <si>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</si>
  <si>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</si>
  <si>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</si>
  <si>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</si>
  <si>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</si>
  <si>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</si>
  <si>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</si>
  <si>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</si>
  <si>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</si>
  <si>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</si>
  <si>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</si>
  <si>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</si>
  <si>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</si>
  <si>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</si>
  <si>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</si>
  <si>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</si>
  <si>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</si>
  <si>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</si>
  <si>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</si>
  <si>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</si>
  <si>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</si>
  <si>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</si>
  <si>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</si>
  <si>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</si>
  <si>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</si>
  <si>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</si>
  <si>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</si>
  <si>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</si>
  <si>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</si>
  <si>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</si>
  <si>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</si>
  <si>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</si>
  <si>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</si>
  <si>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</si>
  <si>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</si>
  <si>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</si>
  <si>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</si>
  <si>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</si>
  <si>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</si>
  <si>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</si>
  <si>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</si>
  <si>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</si>
  <si>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</si>
  <si>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</si>
  <si>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</si>
  <si>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</si>
  <si>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</si>
  <si>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Graphing in Excel</t>
  </si>
  <si>
    <t>Three worked charts use the canola variety trial from Module 02. Begin with the Bar chart sheet: its instructions show how to select the chart data and change the title, axes, legend, labels and colour.</t>
  </si>
  <si>
    <t>Sheet</t>
  </si>
  <si>
    <t>What to notice</t>
  </si>
  <si>
    <t>Bar chart</t>
  </si>
  <si>
    <t>Mean yield is calculated for each variety. Follow the numbered build and formatting instructions.</t>
  </si>
  <si>
    <t>Scatter plot</t>
  </si>
  <si>
    <t>Rainfall is placed on the horizontal axis and yield on the vertical axis.</t>
  </si>
  <si>
    <t>Histogram</t>
  </si>
  <si>
    <t>Formula-driven bins count the 120 field yields in 4 bu/ac intervals.</t>
  </si>
  <si>
    <t>Canola data</t>
  </si>
  <si>
    <t>One hundred twenty simulated canola fields with fertilizer, rainfall, variety and yield.</t>
  </si>
  <si>
    <t>Source: synthetic AREC 261 teaching data, practice/data/canola_trial.csv</t>
  </si>
  <si>
    <t>Build a bar chart of average yield by variety</t>
  </si>
  <si>
    <t>The chart uses only the Variety and Mean yield columns. Follow the numbered instructions below to build and format the chart in Excel.</t>
  </si>
  <si>
    <t>Variety</t>
  </si>
  <si>
    <t>Mean yield (bu/ac)</t>
  </si>
  <si>
    <t>Fields</t>
  </si>
  <si>
    <t>Formula in B</t>
  </si>
  <si>
    <t>=AVERAGEIF('Canola data'!$D$2:$D$121,A5,'Canola data'!$E$2:$E$121)</t>
  </si>
  <si>
    <t>=AVERAGEIF('Canola data'!$D$2:$D$121,A6,'Canola data'!$E$2:$E$121)</t>
  </si>
  <si>
    <t>=AVERAGEIF('Canola data'!$D$2:$D$121,A7,'Canola data'!$E$2:$E$121)</t>
  </si>
  <si>
    <t>Step</t>
  </si>
  <si>
    <t>Do this in Excel</t>
  </si>
  <si>
    <t>What it controls</t>
  </si>
  <si>
    <t>1. Select the data</t>
  </si>
  <si>
    <t>Select A4:B7, including the two headers. Do not select Fields or Formula in B.</t>
  </si>
  <si>
    <t>One category column and one numeric series</t>
  </si>
  <si>
    <t>2. Insert the chart</t>
  </si>
  <si>
    <t>Insert &gt; Column or Bar Chart &gt; Clustered Column.</t>
  </si>
  <si>
    <t>Excel calls vertical bars a column chart</t>
  </si>
  <si>
    <t>3. Check the source</t>
  </si>
  <si>
    <t>Chart Design &gt; Select Data. Varieties belong under Horizontal Axis Labels; Mean yield is the only series.</t>
  </si>
  <si>
    <t>Prevents an extra series or swapped rows and columns</t>
  </si>
  <si>
    <t>4. Change the title</t>
  </si>
  <si>
    <t>Click the chart title and type: Average canola yield by variety.</t>
  </si>
  <si>
    <t>States the comparison</t>
  </si>
  <si>
    <t>5. Add the y-axis title</t>
  </si>
  <si>
    <t>Chart Design &gt; Add Chart Element &gt; Axis Titles &gt; Primary Vertical. Type: Mean yield (bu/ac).</t>
  </si>
  <si>
    <t>States the measure and unit</t>
  </si>
  <si>
    <t>6. Alter the scale</t>
  </si>
  <si>
    <t>Right-click the y-axis numbers &gt; Format Axis. Set Minimum = 0, Maximum = 60 and Major unit = 10.</t>
  </si>
  <si>
    <t>Keeps bar length proportional and makes ticks readable</t>
  </si>
  <si>
    <t>7. Remove the legend</t>
  </si>
  <si>
    <t>Chart Design &gt; Add Chart Element &gt; Legend &gt; None.</t>
  </si>
  <si>
    <t>One series does not need a legend</t>
  </si>
  <si>
    <t>8. Add values if useful</t>
  </si>
  <si>
    <t>Chart Design &gt; Add Chart Element &gt; Data Labels &gt; Outside End; format the labels to one decimal place.</t>
  </si>
  <si>
    <t>Shows exact means when there are only three bars</t>
  </si>
  <si>
    <t>9. Format the bars</t>
  </si>
  <si>
    <t>Click one bar once to select the series, then set one fill colour. Avoid 3-D effects and heavy borders.</t>
  </si>
  <si>
    <t>Uses colour without implying three different variables</t>
  </si>
  <si>
    <t>Rainfall and canola yield move together</t>
  </si>
  <si>
    <t>Each point is one simulated field. The horizontal position uses growing-season rainfall and the vertical position uses yield; three fields with missing rainfall do not produce a point.</t>
  </si>
  <si>
    <t>Element</t>
  </si>
  <si>
    <t>Meaning</t>
  </si>
  <si>
    <t>Source or check</t>
  </si>
  <si>
    <t>Horizontal position</t>
  </si>
  <si>
    <t>Growing-season rainfall in millimetres</t>
  </si>
  <si>
    <t>'Canola data'!C2:C121</t>
  </si>
  <si>
    <t>Vertical position</t>
  </si>
  <si>
    <t>Yield in bushels per acre</t>
  </si>
  <si>
    <t>'Canola data'!E2:E121</t>
  </si>
  <si>
    <t>Points plotted</t>
  </si>
  <si>
    <t>One field with both values recorded</t>
  </si>
  <si>
    <t>Missing rainfall</t>
  </si>
  <si>
    <t>Rows without rainfall are omitted</t>
  </si>
  <si>
    <t>Correlation</t>
  </si>
  <si>
    <t>A compact check on the positive linear relationship</t>
  </si>
  <si>
    <t>Check</t>
  </si>
  <si>
    <t>Why</t>
  </si>
  <si>
    <t>In this chart</t>
  </si>
  <si>
    <t>Chart type</t>
  </si>
  <si>
    <t>An XY scatter chart treats rainfall as measured x-values.</t>
  </si>
  <si>
    <t>XY scatter, not a line chart</t>
  </si>
  <si>
    <t>Point count</t>
  </si>
  <si>
    <t>Missing observations should be disclosed.</t>
  </si>
  <si>
    <t>117 plotted; 3 omitted</t>
  </si>
  <si>
    <t>Pattern</t>
  </si>
  <si>
    <t>A fitted line should not replace inspection of the points.</t>
  </si>
  <si>
    <t>Correlation is about 0.65</t>
  </si>
  <si>
    <t>Distribution of canola trial yields</t>
  </si>
  <si>
    <t>The bin table counts yields in 4 bu/ac intervals. The final interval includes its upper boundary so every field is counted once.</t>
  </si>
  <si>
    <t>Lower bound</t>
  </si>
  <si>
    <t>Upper bound</t>
  </si>
  <si>
    <t>Formula in C</t>
  </si>
  <si>
    <t>=COUNTIFS('Canola data'!$E$2:$E$121,"&gt;="&amp;A5,'Canola data'!$E$2:$E$121,"&lt;"&amp;B5)</t>
  </si>
  <si>
    <t>=COUNTIFS('Canola data'!$E$2:$E$121,"&gt;="&amp;A6,'Canola data'!$E$2:$E$121,"&lt;"&amp;B6)</t>
  </si>
  <si>
    <t>=COUNTIFS('Canola data'!$E$2:$E$121,"&gt;="&amp;A7,'Canola data'!$E$2:$E$121,"&lt;"&amp;B7)</t>
  </si>
  <si>
    <t>=COUNTIFS('Canola data'!$E$2:$E$121,"&gt;="&amp;A8,'Canola data'!$E$2:$E$121,"&lt;"&amp;B8)</t>
  </si>
  <si>
    <t>=COUNTIFS('Canola data'!$E$2:$E$121,"&gt;="&amp;A9,'Canola data'!$E$2:$E$121,"&lt;"&amp;B9)</t>
  </si>
  <si>
    <t>=COUNTIFS('Canola data'!$E$2:$E$121,"&gt;="&amp;A10,'Canola data'!$E$2:$E$121,"&lt;"&amp;B10)</t>
  </si>
  <si>
    <t>=COUNTIFS('Canola data'!$E$2:$E$121,"&gt;="&amp;A11,'Canola data'!$E$2:$E$121,"&lt;"&amp;B11)</t>
  </si>
  <si>
    <t>=COUNTIFS('Canola data'!$E$2:$E$121,"&gt;="&amp;A12,'Canola data'!$E$2:$E$121,"&lt;"&amp;B12)</t>
  </si>
  <si>
    <t>=COUNTIFS('Canola data'!$E$2:$E$121,"&gt;="&amp;A13,'Canola data'!$E$2:$E$121,"&lt;="&amp;B13)</t>
  </si>
  <si>
    <t>Bin width</t>
  </si>
  <si>
    <t>Different bin widths can change the apparent shape.</t>
  </si>
  <si>
    <t>4 bu/ac</t>
  </si>
  <si>
    <t>Count</t>
  </si>
  <si>
    <t>The bin counts should reconcile to the recorded values.</t>
  </si>
  <si>
    <t>Range</t>
  </si>
  <si>
    <t>The first and last bins must contain the minimum and maximum.</t>
  </si>
  <si>
    <t>Observed range: 39.3 to 70.4 bu/ac</t>
  </si>
  <si>
    <t>Yield interval</t>
  </si>
  <si>
    <t>38--42</t>
  </si>
  <si>
    <t>42--46</t>
  </si>
  <si>
    <t>46--50</t>
  </si>
  <si>
    <t>50--54</t>
  </si>
  <si>
    <t>54--58</t>
  </si>
  <si>
    <t>58--62</t>
  </si>
  <si>
    <t>62--66</t>
  </si>
  <si>
    <t>66--70</t>
  </si>
  <si>
    <t>70--74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</si>
</sst>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8"/>
      <color rgb="FFFFFFFF"/>
      <name val="Aptos"/>
    </font>
    <font>
      <sz val="10"/>
      <color rgb="FF24332B"/>
      <name val="Aptos"/>
    </font>
    <font>
      <sz val="11"/>
      <name val="Aptos"/>
    </font>
    <font>
      <b/>
      <sz val="11"/>
      <color rgb="FFFFFFFF"/>
      <name val="Aptos"/>
    </font>
    <font>
      <sz val="11"/>
      <color rgb="FF24332B"/>
      <name val="Aptos"/>
    </font>
    <font>
      <sz val="9"/>
      <color rgb="FF2F5940"/>
      <name val="Aptos"/>
    </font>
    <font>
      <i/>
      <sz val="9"/>
      <color rgb="FF5F6E66"/>
      <name val="Aptos"/>
    </font>
  </fonts>
  <fills count="5">
    <fill>
      <patternFill patternType="none"/>
    </fill>
    <fill>
      <patternFill patternType="gray125"/>
    </fill>
    <fill>
      <patternFill patternType="solid">
        <fgColor rgb="FF3F6F52"/>
      </patternFill>
    </fill>
    <fill>
      <patternFill patternType="solid">
        <fgColor rgb="FFE4EEE7"/>
      </patternFill>
    </fill>
    <fill>
      <patternFill patternType="solid">
        <fgColor rgb="FFF5F7F5"/>
      </patternFill>
    </fill>
  </fills>
  <borders count="6">
    <border>
      <left/>
      <right/>
      <top/>
      <bottom/>
      <diagonal/>
    </border>
    <border>
      <left style="thin">
        <color rgb="FF2F5940"/>
      </left>
      <right/>
      <top style="thin">
        <color rgb="FF2F5940"/>
      </top>
      <bottom style="thin">
        <color rgb="FF2F5940"/>
      </bottom>
      <diagonal/>
    </border>
    <border>
      <left/>
      <right style="thin">
        <color rgb="FF2F5940"/>
      </right>
      <top style="thin">
        <color rgb="FF2F5940"/>
      </top>
      <bottom style="thin">
        <color rgb="FF2F5940"/>
      </bottom>
      <diagonal/>
    </border>
    <border>
      <left/>
      <right/>
      <top/>
      <bottom style="thin">
        <color rgb="FFC9D5CD"/>
      </bottom>
      <diagonal/>
    </border>
    <border>
      <left/>
      <right/>
      <top style="thin">
        <color rgb="FFC9D5CD"/>
      </top>
      <bottom style="thin">
        <color rgb="FFC9D5CD"/>
      </bottom>
      <diagonal/>
    </border>
    <border>
      <left/>
      <right/>
      <top style="thin">
        <color rgb="FF2F5940"/>
      </top>
      <bottom style="thin">
        <color rgb="FF2F594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3" xfId="0" applyFont="1" applyBorder="1"/>
    <xf numFmtId="164" fontId="5" fillId="0" borderId="3" xfId="0" applyNumberFormat="1" applyFont="1" applyBorder="1"/>
    <xf numFmtId="1" fontId="5" fillId="0" borderId="3" xfId="0" applyNumberFormat="1" applyFont="1" applyBorder="1"/>
    <xf numFmtId="0" fontId="6" fillId="0" borderId="3" xfId="0" applyFont="1" applyBorder="1" applyAlignment="1">
      <alignment wrapText="1"/>
    </xf>
    <xf numFmtId="0" fontId="5" fillId="0" borderId="4" xfId="0" applyFont="1" applyBorder="1"/>
    <xf numFmtId="164" fontId="5" fillId="0" borderId="4" xfId="0" applyNumberFormat="1" applyFont="1" applyBorder="1"/>
    <xf numFmtId="1" fontId="5" fillId="0" borderId="4" xfId="0" applyNumberFormat="1" applyFont="1" applyBorder="1"/>
    <xf numFmtId="0" fontId="6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2" fontId="5" fillId="0" borderId="4" xfId="0" applyNumberFormat="1" applyFont="1" applyBorder="1"/>
    <xf numFmtId="1" fontId="5" fillId="0" borderId="4" xfId="0" applyNumberFormat="1" applyFont="1" applyBorder="1" applyAlignment="1">
      <alignment wrapText="1"/>
    </xf>
    <xf numFmtId="164" fontId="3" fillId="0" borderId="0" xfId="0" applyNumberFormat="1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canola yield by variety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yield (bu/ac)</c:v>
          </c:tx>
          <c:spPr>
            <a:solidFill>
              <a:srgbClr val="3F6F52"/>
            </a:solidFill>
          </c:spPr>
          <c:invertIfNegative val="1"/>
          <c:cat>
            <c:strRef>
              <c:f>'Bar chart'!$A$5:$A$7</c:f>
              <c:strCache>
                <c:ptCount val="3"/>
                <c:pt idx="0">
                  <c:v>InVigor</c:v>
                </c:pt>
                <c:pt idx="1">
                  <c:v>Clearfield</c:v>
                </c:pt>
                <c:pt idx="2">
                  <c:v>DEKALB</c:v>
                </c:pt>
              </c:strCache>
            </c:strRef>
          </c:cat>
          <c:val>
            <c:numRef>
              <c:f>'Bar chart'!$B$5:$B$7</c:f>
              <c:numCache>
                <c:formatCode>0.0</c:formatCode>
                <c:ptCount val="3"/>
                <c:pt idx="0">
                  <c:v>54.488095238095227</c:v>
                </c:pt>
                <c:pt idx="1">
                  <c:v>53.458974358974359</c:v>
                </c:pt>
                <c:pt idx="2">
                  <c:v>52.166666666666671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038-4C85-BF90-356A8A963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6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yield (bu/ac)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Canola yield by growing-season rainfall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Fields</c:v>
          </c:tx>
          <c:xVal>
            <c:numLit>
              <c:ptCount val="0"/>
            </c:numLit>
          </c:xVal>
          <c:yVal>
            <c:numRef>
              <c:f>'Canola data'!$E$2:$E$121</c:f>
              <c:numCache>
                <c:formatCode>0.0</c:formatCode>
                <c:ptCount val="120"/>
                <c:pt idx="0">
                  <c:v>56.7</c:v>
                </c:pt>
                <c:pt idx="1">
                  <c:v>62</c:v>
                </c:pt>
                <c:pt idx="2">
                  <c:v>53.6</c:v>
                </c:pt>
                <c:pt idx="3">
                  <c:v>51.2</c:v>
                </c:pt>
                <c:pt idx="4">
                  <c:v>49.2</c:v>
                </c:pt>
                <c:pt idx="5">
                  <c:v>51.2</c:v>
                </c:pt>
                <c:pt idx="6">
                  <c:v>49</c:v>
                </c:pt>
                <c:pt idx="7">
                  <c:v>56.8</c:v>
                </c:pt>
                <c:pt idx="8">
                  <c:v>61</c:v>
                </c:pt>
                <c:pt idx="9">
                  <c:v>48.2</c:v>
                </c:pt>
                <c:pt idx="10">
                  <c:v>59.5</c:v>
                </c:pt>
                <c:pt idx="11">
                  <c:v>55.9</c:v>
                </c:pt>
                <c:pt idx="12">
                  <c:v>55.2</c:v>
                </c:pt>
                <c:pt idx="13">
                  <c:v>51.7</c:v>
                </c:pt>
                <c:pt idx="14">
                  <c:v>62.1</c:v>
                </c:pt>
                <c:pt idx="15">
                  <c:v>42.5</c:v>
                </c:pt>
                <c:pt idx="16">
                  <c:v>44.9</c:v>
                </c:pt>
                <c:pt idx="17">
                  <c:v>61</c:v>
                </c:pt>
                <c:pt idx="18">
                  <c:v>40.6</c:v>
                </c:pt>
                <c:pt idx="19">
                  <c:v>58.9</c:v>
                </c:pt>
                <c:pt idx="20">
                  <c:v>56.8</c:v>
                </c:pt>
                <c:pt idx="21">
                  <c:v>54.5</c:v>
                </c:pt>
                <c:pt idx="22">
                  <c:v>51.1</c:v>
                </c:pt>
                <c:pt idx="23">
                  <c:v>52.1</c:v>
                </c:pt>
                <c:pt idx="24">
                  <c:v>54.8</c:v>
                </c:pt>
                <c:pt idx="25">
                  <c:v>47.3</c:v>
                </c:pt>
                <c:pt idx="26">
                  <c:v>48.2</c:v>
                </c:pt>
                <c:pt idx="27">
                  <c:v>52.3</c:v>
                </c:pt>
                <c:pt idx="28">
                  <c:v>51.6</c:v>
                </c:pt>
                <c:pt idx="29">
                  <c:v>49</c:v>
                </c:pt>
                <c:pt idx="30">
                  <c:v>56.5</c:v>
                </c:pt>
                <c:pt idx="31">
                  <c:v>56.6</c:v>
                </c:pt>
                <c:pt idx="32">
                  <c:v>62.5</c:v>
                </c:pt>
                <c:pt idx="33">
                  <c:v>47.9</c:v>
                </c:pt>
                <c:pt idx="34">
                  <c:v>49.3</c:v>
                </c:pt>
                <c:pt idx="35">
                  <c:v>51.8</c:v>
                </c:pt>
                <c:pt idx="36">
                  <c:v>50.3</c:v>
                </c:pt>
                <c:pt idx="37">
                  <c:v>52.1</c:v>
                </c:pt>
                <c:pt idx="38">
                  <c:v>50.2</c:v>
                </c:pt>
                <c:pt idx="39">
                  <c:v>50.3</c:v>
                </c:pt>
                <c:pt idx="40">
                  <c:v>51.8</c:v>
                </c:pt>
                <c:pt idx="41">
                  <c:v>58</c:v>
                </c:pt>
                <c:pt idx="42">
                  <c:v>51.9</c:v>
                </c:pt>
                <c:pt idx="43">
                  <c:v>55.3</c:v>
                </c:pt>
                <c:pt idx="44">
                  <c:v>62.8</c:v>
                </c:pt>
                <c:pt idx="45">
                  <c:v>45.3</c:v>
                </c:pt>
                <c:pt idx="46">
                  <c:v>39.700000000000003</c:v>
                </c:pt>
                <c:pt idx="47">
                  <c:v>55.6</c:v>
                </c:pt>
                <c:pt idx="48">
                  <c:v>44.9</c:v>
                </c:pt>
                <c:pt idx="49">
                  <c:v>53.4</c:v>
                </c:pt>
                <c:pt idx="50">
                  <c:v>57.2</c:v>
                </c:pt>
                <c:pt idx="51">
                  <c:v>59.5</c:v>
                </c:pt>
                <c:pt idx="52">
                  <c:v>51.8</c:v>
                </c:pt>
                <c:pt idx="53">
                  <c:v>50</c:v>
                </c:pt>
                <c:pt idx="54">
                  <c:v>52</c:v>
                </c:pt>
                <c:pt idx="55">
                  <c:v>49.3</c:v>
                </c:pt>
                <c:pt idx="56">
                  <c:v>51.6</c:v>
                </c:pt>
                <c:pt idx="57">
                  <c:v>51.5</c:v>
                </c:pt>
                <c:pt idx="58">
                  <c:v>58.4</c:v>
                </c:pt>
                <c:pt idx="59">
                  <c:v>56.5</c:v>
                </c:pt>
                <c:pt idx="60">
                  <c:v>51.6</c:v>
                </c:pt>
                <c:pt idx="61">
                  <c:v>58.1</c:v>
                </c:pt>
                <c:pt idx="62">
                  <c:v>53.3</c:v>
                </c:pt>
                <c:pt idx="63">
                  <c:v>62.9</c:v>
                </c:pt>
                <c:pt idx="64">
                  <c:v>47.2</c:v>
                </c:pt>
                <c:pt idx="65">
                  <c:v>45.6</c:v>
                </c:pt>
                <c:pt idx="66">
                  <c:v>59.2</c:v>
                </c:pt>
                <c:pt idx="67">
                  <c:v>56.3</c:v>
                </c:pt>
                <c:pt idx="68">
                  <c:v>51.5</c:v>
                </c:pt>
                <c:pt idx="69">
                  <c:v>63.2</c:v>
                </c:pt>
                <c:pt idx="70">
                  <c:v>51.3</c:v>
                </c:pt>
                <c:pt idx="71">
                  <c:v>54.3</c:v>
                </c:pt>
                <c:pt idx="72">
                  <c:v>50.9</c:v>
                </c:pt>
                <c:pt idx="73">
                  <c:v>50.2</c:v>
                </c:pt>
                <c:pt idx="74">
                  <c:v>48.4</c:v>
                </c:pt>
                <c:pt idx="75">
                  <c:v>59.2</c:v>
                </c:pt>
                <c:pt idx="76">
                  <c:v>52</c:v>
                </c:pt>
                <c:pt idx="77">
                  <c:v>59</c:v>
                </c:pt>
                <c:pt idx="78">
                  <c:v>63.2</c:v>
                </c:pt>
                <c:pt idx="79">
                  <c:v>54.2</c:v>
                </c:pt>
                <c:pt idx="80">
                  <c:v>59.3</c:v>
                </c:pt>
                <c:pt idx="81">
                  <c:v>53.1</c:v>
                </c:pt>
                <c:pt idx="82">
                  <c:v>49.6</c:v>
                </c:pt>
                <c:pt idx="83">
                  <c:v>53.3</c:v>
                </c:pt>
                <c:pt idx="84">
                  <c:v>58.4</c:v>
                </c:pt>
                <c:pt idx="85">
                  <c:v>57.4</c:v>
                </c:pt>
                <c:pt idx="86">
                  <c:v>52.8</c:v>
                </c:pt>
                <c:pt idx="87">
                  <c:v>46.6</c:v>
                </c:pt>
                <c:pt idx="88">
                  <c:v>42.4</c:v>
                </c:pt>
                <c:pt idx="89">
                  <c:v>51.3</c:v>
                </c:pt>
                <c:pt idx="90">
                  <c:v>56.6</c:v>
                </c:pt>
                <c:pt idx="91">
                  <c:v>42.2</c:v>
                </c:pt>
                <c:pt idx="92">
                  <c:v>60</c:v>
                </c:pt>
                <c:pt idx="93">
                  <c:v>54.6</c:v>
                </c:pt>
                <c:pt idx="94">
                  <c:v>49.3</c:v>
                </c:pt>
                <c:pt idx="95">
                  <c:v>66</c:v>
                </c:pt>
                <c:pt idx="96">
                  <c:v>46.8</c:v>
                </c:pt>
                <c:pt idx="97">
                  <c:v>63.6</c:v>
                </c:pt>
                <c:pt idx="98">
                  <c:v>48.4</c:v>
                </c:pt>
                <c:pt idx="99">
                  <c:v>57.9</c:v>
                </c:pt>
                <c:pt idx="100">
                  <c:v>56.4</c:v>
                </c:pt>
                <c:pt idx="101">
                  <c:v>54.9</c:v>
                </c:pt>
                <c:pt idx="102">
                  <c:v>58.9</c:v>
                </c:pt>
                <c:pt idx="103">
                  <c:v>39.299999999999997</c:v>
                </c:pt>
                <c:pt idx="104">
                  <c:v>49</c:v>
                </c:pt>
                <c:pt idx="105">
                  <c:v>53.3</c:v>
                </c:pt>
                <c:pt idx="106">
                  <c:v>57.7</c:v>
                </c:pt>
                <c:pt idx="107">
                  <c:v>45.6</c:v>
                </c:pt>
                <c:pt idx="108">
                  <c:v>49.3</c:v>
                </c:pt>
                <c:pt idx="109">
                  <c:v>58.4</c:v>
                </c:pt>
                <c:pt idx="110">
                  <c:v>57.8</c:v>
                </c:pt>
                <c:pt idx="111">
                  <c:v>70.400000000000006</c:v>
                </c:pt>
                <c:pt idx="112">
                  <c:v>50.3</c:v>
                </c:pt>
                <c:pt idx="113">
                  <c:v>52.3</c:v>
                </c:pt>
                <c:pt idx="114">
                  <c:v>46.8</c:v>
                </c:pt>
                <c:pt idx="115">
                  <c:v>51.6</c:v>
                </c:pt>
                <c:pt idx="116">
                  <c:v>45</c:v>
                </c:pt>
                <c:pt idx="117">
                  <c:v>56.7</c:v>
                </c:pt>
                <c:pt idx="118">
                  <c:v>60</c:v>
                </c:pt>
                <c:pt idx="119">
                  <c:v>60.1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C-474A-B665-FFAEE865F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75"/>
          <c:min val="3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Yield (bu/ac)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340"/>
          <c:min val="10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Growing-season rainfall (mm)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Canola trial yields (4 bu/ac bins)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Fields</c:v>
          </c:tx>
          <c:spPr>
            <a:solidFill>
              <a:srgbClr val="D8A940"/>
            </a:solidFill>
          </c:spPr>
          <c:invertIfNegative val="1"/>
          <c:cat>
            <c:strRef>
              <c:f>Histogram!$J$26:$J$34</c:f>
              <c:strCache>
                <c:ptCount val="9"/>
                <c:pt idx="0">
                  <c:v>38--42</c:v>
                </c:pt>
                <c:pt idx="1">
                  <c:v>42--46</c:v>
                </c:pt>
                <c:pt idx="2">
                  <c:v>46--50</c:v>
                </c:pt>
                <c:pt idx="3">
                  <c:v>50--54</c:v>
                </c:pt>
                <c:pt idx="4">
                  <c:v>54--58</c:v>
                </c:pt>
                <c:pt idx="5">
                  <c:v>58--62</c:v>
                </c:pt>
                <c:pt idx="6">
                  <c:v>62--66</c:v>
                </c:pt>
                <c:pt idx="7">
                  <c:v>66--70</c:v>
                </c:pt>
                <c:pt idx="8">
                  <c:v>70--74</c:v>
                </c:pt>
              </c:strCache>
            </c:strRef>
          </c:cat>
          <c:val>
            <c:numRef>
              <c:f>Histogram!$K$26:$K$34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19</c:v>
                </c:pt>
                <c:pt idx="3">
                  <c:v>36</c:v>
                </c:pt>
                <c:pt idx="4">
                  <c:v>25</c:v>
                </c:pt>
                <c:pt idx="5">
                  <c:v>18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964-4ECA-AA24-B81B949D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olaTrial" displayName="CanolaTrial" ref="A1:E121" totalsRowShown="0">
  <tableColumns count="5">
    <tableColumn id="1" xr3:uid="{00000000-0010-0000-0000-000001000000}" name="field_id"/>
    <tableColumn id="2" xr3:uid="{00000000-0010-0000-0000-000002000000}" name="fertilizer_kg_ha"/>
    <tableColumn id="3" xr3:uid="{00000000-0010-0000-0000-000003000000}" name="rainfall_mm"/>
    <tableColumn id="4" xr3:uid="{00000000-0010-0000-0000-000004000000}" name="variety"/>
    <tableColumn id="5" xr3:uid="{00000000-0010-0000-0000-000005000000}" name="yield_bu_acr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showGridLines="0" tabSelected="1" workbookViewId="0"/>
  </sheetViews>
  <sheetFormatPr defaultRowHeight="15"/>
  <cols>
    <col min="1" max="1" width="12" customWidth="1"/>
    <col min="2" max="3" width="19" customWidth="1"/>
    <col min="4" max="4" width="15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7">
        <v>146.19999999999999</v>
      </c>
      <c r="C2" s="17">
        <v>198.7</v>
      </c>
      <c r="D2" s="1" t="s">
        <v>6</v>
      </c>
      <c r="E2" s="17">
        <v>56.7</v>
      </c>
    </row>
    <row r="3" spans="1:5">
      <c r="A3" s="1" t="s">
        <v>7</v>
      </c>
      <c r="B3" s="17">
        <v>136.5</v>
      </c>
      <c r="C3" s="17">
        <v>282.3</v>
      </c>
      <c r="D3" s="1" t="s">
        <v>8</v>
      </c>
      <c r="E3" s="17">
        <v>62</v>
      </c>
    </row>
    <row r="4" spans="1:5">
      <c r="A4" s="1" t="s">
        <v>9</v>
      </c>
      <c r="B4" s="17">
        <v>113.1</v>
      </c>
      <c r="C4" s="17">
        <v>273.60000000000002</v>
      </c>
      <c r="D4" s="1" t="s">
        <v>10</v>
      </c>
      <c r="E4" s="17">
        <v>53.6</v>
      </c>
    </row>
    <row r="5" spans="1:5">
      <c r="A5" s="1" t="s">
        <v>11</v>
      </c>
      <c r="B5" s="17">
        <v>111.8</v>
      </c>
      <c r="C5" s="17">
        <v>173</v>
      </c>
      <c r="D5" s="1" t="s">
        <v>6</v>
      </c>
      <c r="E5" s="17">
        <v>51.2</v>
      </c>
    </row>
    <row r="6" spans="1:5">
      <c r="A6" s="1" t="s">
        <v>12</v>
      </c>
      <c r="B6" s="17">
        <v>102.6</v>
      </c>
      <c r="C6" s="17">
        <v>215.5</v>
      </c>
      <c r="D6" s="1" t="s">
        <v>6</v>
      </c>
      <c r="E6" s="17">
        <v>49.2</v>
      </c>
    </row>
    <row r="7" spans="1:5">
      <c r="A7" s="1" t="s">
        <v>13</v>
      </c>
      <c r="B7" s="17">
        <v>140.5</v>
      </c>
      <c r="C7" s="17">
        <v>151.1</v>
      </c>
      <c r="D7" s="1" t="s">
        <v>6</v>
      </c>
      <c r="E7" s="17">
        <v>51.2</v>
      </c>
    </row>
    <row r="8" spans="1:5">
      <c r="A8" s="1" t="s">
        <v>14</v>
      </c>
      <c r="B8" s="17">
        <v>102</v>
      </c>
      <c r="C8" s="17">
        <v>217</v>
      </c>
      <c r="D8" s="1" t="s">
        <v>10</v>
      </c>
      <c r="E8" s="17">
        <v>49</v>
      </c>
    </row>
    <row r="9" spans="1:5">
      <c r="A9" s="1" t="s">
        <v>15</v>
      </c>
      <c r="B9" s="17">
        <v>136.80000000000001</v>
      </c>
      <c r="C9" s="17">
        <v>275.2</v>
      </c>
      <c r="D9" s="1" t="s">
        <v>6</v>
      </c>
      <c r="E9" s="17">
        <v>56.8</v>
      </c>
    </row>
    <row r="10" spans="1:5">
      <c r="A10" s="1" t="s">
        <v>16</v>
      </c>
      <c r="B10" s="17">
        <v>141.6</v>
      </c>
      <c r="C10" s="17">
        <v>258.5</v>
      </c>
      <c r="D10" s="1" t="s">
        <v>6</v>
      </c>
      <c r="E10" s="17">
        <v>61</v>
      </c>
    </row>
    <row r="11" spans="1:5">
      <c r="A11" s="1" t="s">
        <v>17</v>
      </c>
      <c r="B11" s="17">
        <v>97.9</v>
      </c>
      <c r="C11" s="17">
        <v>210.2</v>
      </c>
      <c r="D11" s="1" t="s">
        <v>10</v>
      </c>
      <c r="E11" s="17">
        <v>48.2</v>
      </c>
    </row>
    <row r="12" spans="1:5">
      <c r="A12" s="1" t="s">
        <v>18</v>
      </c>
      <c r="B12" s="17">
        <v>154.6</v>
      </c>
      <c r="C12" s="17">
        <v>288.5</v>
      </c>
      <c r="D12" s="1" t="s">
        <v>6</v>
      </c>
      <c r="E12" s="17">
        <v>59.5</v>
      </c>
    </row>
    <row r="13" spans="1:5">
      <c r="A13" s="1" t="s">
        <v>19</v>
      </c>
      <c r="B13" s="17">
        <v>139.80000000000001</v>
      </c>
      <c r="C13" s="17"/>
      <c r="D13" s="1" t="s">
        <v>8</v>
      </c>
      <c r="E13" s="17">
        <v>55.9</v>
      </c>
    </row>
    <row r="14" spans="1:5">
      <c r="A14" s="1" t="s">
        <v>20</v>
      </c>
      <c r="B14" s="17">
        <v>111.6</v>
      </c>
      <c r="C14" s="17">
        <v>264.60000000000002</v>
      </c>
      <c r="D14" s="1" t="s">
        <v>6</v>
      </c>
      <c r="E14" s="17">
        <v>55.2</v>
      </c>
    </row>
    <row r="15" spans="1:5">
      <c r="A15" s="1" t="s">
        <v>21</v>
      </c>
      <c r="B15" s="17">
        <v>120.3</v>
      </c>
      <c r="C15" s="17">
        <v>186.7</v>
      </c>
      <c r="D15" s="1" t="s">
        <v>6</v>
      </c>
      <c r="E15" s="17">
        <v>51.7</v>
      </c>
    </row>
    <row r="16" spans="1:5">
      <c r="A16" s="1" t="s">
        <v>22</v>
      </c>
      <c r="B16" s="17">
        <v>147</v>
      </c>
      <c r="C16" s="17">
        <v>261.60000000000002</v>
      </c>
      <c r="D16" s="1" t="s">
        <v>8</v>
      </c>
      <c r="E16" s="17">
        <v>62.1</v>
      </c>
    </row>
    <row r="17" spans="1:5">
      <c r="A17" s="1" t="s">
        <v>23</v>
      </c>
      <c r="B17" s="17">
        <v>104.6</v>
      </c>
      <c r="C17" s="17">
        <v>155.80000000000001</v>
      </c>
      <c r="D17" s="1" t="s">
        <v>6</v>
      </c>
      <c r="E17" s="17">
        <v>42.5</v>
      </c>
    </row>
    <row r="18" spans="1:5">
      <c r="A18" s="1" t="s">
        <v>24</v>
      </c>
      <c r="B18" s="17">
        <v>108.6</v>
      </c>
      <c r="C18" s="17">
        <v>242.9</v>
      </c>
      <c r="D18" s="1" t="s">
        <v>8</v>
      </c>
      <c r="E18" s="17">
        <v>44.9</v>
      </c>
    </row>
    <row r="19" spans="1:5">
      <c r="A19" s="1" t="s">
        <v>25</v>
      </c>
      <c r="B19" s="17">
        <v>144.19999999999999</v>
      </c>
      <c r="C19" s="17">
        <v>232</v>
      </c>
      <c r="D19" s="1" t="s">
        <v>8</v>
      </c>
      <c r="E19" s="17">
        <v>61</v>
      </c>
    </row>
    <row r="20" spans="1:5">
      <c r="A20" s="1" t="s">
        <v>26</v>
      </c>
      <c r="B20" s="17">
        <v>60.5</v>
      </c>
      <c r="C20" s="17">
        <v>155.69999999999999</v>
      </c>
      <c r="D20" s="1" t="s">
        <v>8</v>
      </c>
      <c r="E20" s="17">
        <v>40.6</v>
      </c>
    </row>
    <row r="21" spans="1:5">
      <c r="A21" s="1" t="s">
        <v>27</v>
      </c>
      <c r="B21" s="17">
        <v>138.4</v>
      </c>
      <c r="C21" s="17">
        <v>274.10000000000002</v>
      </c>
      <c r="D21" s="1" t="s">
        <v>10</v>
      </c>
      <c r="E21" s="17">
        <v>58.9</v>
      </c>
    </row>
    <row r="22" spans="1:5">
      <c r="A22" s="1" t="s">
        <v>28</v>
      </c>
      <c r="B22" s="17">
        <v>158.30000000000001</v>
      </c>
      <c r="C22" s="17">
        <v>243.3</v>
      </c>
      <c r="D22" s="1" t="s">
        <v>8</v>
      </c>
      <c r="E22" s="17">
        <v>56.8</v>
      </c>
    </row>
    <row r="23" spans="1:5">
      <c r="A23" s="1" t="s">
        <v>29</v>
      </c>
      <c r="B23" s="17">
        <v>144.5</v>
      </c>
      <c r="C23" s="17">
        <v>232.2</v>
      </c>
      <c r="D23" s="1" t="s">
        <v>10</v>
      </c>
      <c r="E23" s="17">
        <v>54.5</v>
      </c>
    </row>
    <row r="24" spans="1:5">
      <c r="A24" s="1" t="s">
        <v>30</v>
      </c>
      <c r="B24" s="17">
        <v>113.2</v>
      </c>
      <c r="C24" s="17">
        <v>265.8</v>
      </c>
      <c r="D24" s="1" t="s">
        <v>10</v>
      </c>
      <c r="E24" s="17">
        <v>51.1</v>
      </c>
    </row>
    <row r="25" spans="1:5">
      <c r="A25" s="1" t="s">
        <v>31</v>
      </c>
      <c r="B25" s="17">
        <v>116</v>
      </c>
      <c r="C25" s="17">
        <v>241.8</v>
      </c>
      <c r="D25" s="1" t="s">
        <v>6</v>
      </c>
      <c r="E25" s="17">
        <v>52.1</v>
      </c>
    </row>
    <row r="26" spans="1:5">
      <c r="A26" s="1" t="s">
        <v>32</v>
      </c>
      <c r="B26" s="17">
        <v>137.9</v>
      </c>
      <c r="C26" s="17">
        <v>256.3</v>
      </c>
      <c r="D26" s="1" t="s">
        <v>6</v>
      </c>
      <c r="E26" s="17">
        <v>54.8</v>
      </c>
    </row>
    <row r="27" spans="1:5">
      <c r="A27" s="1" t="s">
        <v>33</v>
      </c>
      <c r="B27" s="17">
        <v>90.7</v>
      </c>
      <c r="C27" s="17">
        <v>174.4</v>
      </c>
      <c r="D27" s="1" t="s">
        <v>6</v>
      </c>
      <c r="E27" s="17">
        <v>47.3</v>
      </c>
    </row>
    <row r="28" spans="1:5">
      <c r="A28" s="1" t="s">
        <v>34</v>
      </c>
      <c r="B28" s="17">
        <v>125.5</v>
      </c>
      <c r="C28" s="17">
        <v>248.9</v>
      </c>
      <c r="D28" s="1" t="s">
        <v>10</v>
      </c>
      <c r="E28" s="17">
        <v>48.2</v>
      </c>
    </row>
    <row r="29" spans="1:5">
      <c r="A29" s="1" t="s">
        <v>35</v>
      </c>
      <c r="B29" s="17">
        <v>112.1</v>
      </c>
      <c r="C29" s="17">
        <v>225.4</v>
      </c>
      <c r="D29" s="1" t="s">
        <v>8</v>
      </c>
      <c r="E29" s="17">
        <v>52.3</v>
      </c>
    </row>
    <row r="30" spans="1:5">
      <c r="A30" s="1" t="s">
        <v>36</v>
      </c>
      <c r="B30" s="17">
        <v>105</v>
      </c>
      <c r="C30" s="17">
        <v>215.2</v>
      </c>
      <c r="D30" s="1" t="s">
        <v>10</v>
      </c>
      <c r="E30" s="17">
        <v>51.6</v>
      </c>
    </row>
    <row r="31" spans="1:5">
      <c r="A31" s="1" t="s">
        <v>37</v>
      </c>
      <c r="B31" s="17">
        <v>132.19999999999999</v>
      </c>
      <c r="C31" s="17">
        <v>225.3</v>
      </c>
      <c r="D31" s="1" t="s">
        <v>10</v>
      </c>
      <c r="E31" s="17">
        <v>49</v>
      </c>
    </row>
    <row r="32" spans="1:5">
      <c r="A32" s="1" t="s">
        <v>38</v>
      </c>
      <c r="B32" s="17">
        <v>140.1</v>
      </c>
      <c r="C32" s="17">
        <v>238.3</v>
      </c>
      <c r="D32" s="1" t="s">
        <v>8</v>
      </c>
      <c r="E32" s="17">
        <v>56.5</v>
      </c>
    </row>
    <row r="33" spans="1:5">
      <c r="A33" s="1" t="s">
        <v>39</v>
      </c>
      <c r="B33" s="17">
        <v>134.69999999999999</v>
      </c>
      <c r="C33" s="17">
        <v>260.3</v>
      </c>
      <c r="D33" s="1" t="s">
        <v>8</v>
      </c>
      <c r="E33" s="17">
        <v>56.6</v>
      </c>
    </row>
    <row r="34" spans="1:5">
      <c r="A34" s="1" t="s">
        <v>40</v>
      </c>
      <c r="B34" s="17">
        <v>171.1</v>
      </c>
      <c r="C34" s="17">
        <v>258.5</v>
      </c>
      <c r="D34" s="1" t="s">
        <v>6</v>
      </c>
      <c r="E34" s="17">
        <v>62.5</v>
      </c>
    </row>
    <row r="35" spans="1:5">
      <c r="A35" s="1" t="s">
        <v>41</v>
      </c>
      <c r="B35" s="17">
        <v>108.1</v>
      </c>
      <c r="C35" s="17">
        <v>236.5</v>
      </c>
      <c r="D35" s="1" t="s">
        <v>8</v>
      </c>
      <c r="E35" s="17">
        <v>47.9</v>
      </c>
    </row>
    <row r="36" spans="1:5">
      <c r="A36" s="1" t="s">
        <v>42</v>
      </c>
      <c r="B36" s="17">
        <v>137.1</v>
      </c>
      <c r="C36" s="17">
        <v>214.5</v>
      </c>
      <c r="D36" s="1" t="s">
        <v>6</v>
      </c>
      <c r="E36" s="17">
        <v>49.3</v>
      </c>
    </row>
    <row r="37" spans="1:5">
      <c r="A37" s="1" t="s">
        <v>43</v>
      </c>
      <c r="B37" s="17">
        <v>135.6</v>
      </c>
      <c r="C37" s="17">
        <v>184.9</v>
      </c>
      <c r="D37" s="1" t="s">
        <v>6</v>
      </c>
      <c r="E37" s="17">
        <v>51.8</v>
      </c>
    </row>
    <row r="38" spans="1:5">
      <c r="A38" s="1" t="s">
        <v>44</v>
      </c>
      <c r="B38" s="17">
        <v>94</v>
      </c>
      <c r="C38" s="17">
        <v>261.8</v>
      </c>
      <c r="D38" s="1" t="s">
        <v>6</v>
      </c>
      <c r="E38" s="17">
        <v>50.3</v>
      </c>
    </row>
    <row r="39" spans="1:5">
      <c r="A39" s="1" t="s">
        <v>45</v>
      </c>
      <c r="B39" s="17">
        <v>130</v>
      </c>
      <c r="C39" s="17">
        <v>244.1</v>
      </c>
      <c r="D39" s="1" t="s">
        <v>10</v>
      </c>
      <c r="E39" s="17">
        <v>52.1</v>
      </c>
    </row>
    <row r="40" spans="1:5">
      <c r="A40" s="1" t="s">
        <v>46</v>
      </c>
      <c r="B40" s="17">
        <v>161.5</v>
      </c>
      <c r="C40" s="17">
        <v>208.6</v>
      </c>
      <c r="D40" s="1" t="s">
        <v>10</v>
      </c>
      <c r="E40" s="17">
        <v>50.2</v>
      </c>
    </row>
    <row r="41" spans="1:5">
      <c r="A41" s="1" t="s">
        <v>47</v>
      </c>
      <c r="B41" s="17">
        <v>88.2</v>
      </c>
      <c r="C41" s="17">
        <v>185.8</v>
      </c>
      <c r="D41" s="1" t="s">
        <v>10</v>
      </c>
      <c r="E41" s="17">
        <v>50.3</v>
      </c>
    </row>
    <row r="42" spans="1:5">
      <c r="A42" s="1" t="s">
        <v>48</v>
      </c>
      <c r="B42" s="17">
        <v>132.80000000000001</v>
      </c>
      <c r="C42" s="17">
        <v>188</v>
      </c>
      <c r="D42" s="1" t="s">
        <v>10</v>
      </c>
      <c r="E42" s="17">
        <v>51.8</v>
      </c>
    </row>
    <row r="43" spans="1:5">
      <c r="A43" s="1" t="s">
        <v>49</v>
      </c>
      <c r="B43" s="17">
        <v>129.9</v>
      </c>
      <c r="C43" s="17">
        <v>282.8</v>
      </c>
      <c r="D43" s="1" t="s">
        <v>10</v>
      </c>
      <c r="E43" s="17">
        <v>58</v>
      </c>
    </row>
    <row r="44" spans="1:5">
      <c r="A44" s="1" t="s">
        <v>50</v>
      </c>
      <c r="B44" s="17">
        <v>115.3</v>
      </c>
      <c r="C44" s="17">
        <v>216.6</v>
      </c>
      <c r="D44" s="1" t="s">
        <v>6</v>
      </c>
      <c r="E44" s="17">
        <v>51.9</v>
      </c>
    </row>
    <row r="45" spans="1:5">
      <c r="A45" s="1" t="s">
        <v>51</v>
      </c>
      <c r="B45" s="17">
        <v>128.30000000000001</v>
      </c>
      <c r="C45" s="17">
        <v>265.60000000000002</v>
      </c>
      <c r="D45" s="1" t="s">
        <v>6</v>
      </c>
      <c r="E45" s="17">
        <v>55.3</v>
      </c>
    </row>
    <row r="46" spans="1:5">
      <c r="A46" s="1" t="s">
        <v>52</v>
      </c>
      <c r="B46" s="17">
        <v>141.80000000000001</v>
      </c>
      <c r="C46" s="17">
        <v>264.5</v>
      </c>
      <c r="D46" s="1" t="s">
        <v>6</v>
      </c>
      <c r="E46" s="17">
        <v>62.8</v>
      </c>
    </row>
    <row r="47" spans="1:5">
      <c r="A47" s="1" t="s">
        <v>53</v>
      </c>
      <c r="B47" s="17">
        <v>109.1</v>
      </c>
      <c r="C47" s="17">
        <v>231.5</v>
      </c>
      <c r="D47" s="1" t="s">
        <v>8</v>
      </c>
      <c r="E47" s="17">
        <v>45.3</v>
      </c>
    </row>
    <row r="48" spans="1:5">
      <c r="A48" s="1" t="s">
        <v>54</v>
      </c>
      <c r="B48" s="17">
        <v>63.4</v>
      </c>
      <c r="C48" s="17"/>
      <c r="D48" s="1" t="s">
        <v>10</v>
      </c>
      <c r="E48" s="17">
        <v>39.700000000000003</v>
      </c>
    </row>
    <row r="49" spans="1:5">
      <c r="A49" s="1" t="s">
        <v>55</v>
      </c>
      <c r="B49" s="17">
        <v>125.9</v>
      </c>
      <c r="C49" s="17">
        <v>255.5</v>
      </c>
      <c r="D49" s="1" t="s">
        <v>6</v>
      </c>
      <c r="E49" s="17">
        <v>55.6</v>
      </c>
    </row>
    <row r="50" spans="1:5">
      <c r="A50" s="1" t="s">
        <v>56</v>
      </c>
      <c r="B50" s="17">
        <v>104.1</v>
      </c>
      <c r="C50" s="17">
        <v>173.3</v>
      </c>
      <c r="D50" s="1" t="s">
        <v>8</v>
      </c>
      <c r="E50" s="17">
        <v>44.9</v>
      </c>
    </row>
    <row r="51" spans="1:5">
      <c r="A51" s="1" t="s">
        <v>57</v>
      </c>
      <c r="B51" s="17">
        <v>139.30000000000001</v>
      </c>
      <c r="C51" s="17">
        <v>208.9</v>
      </c>
      <c r="D51" s="1" t="s">
        <v>6</v>
      </c>
      <c r="E51" s="17">
        <v>53.4</v>
      </c>
    </row>
    <row r="52" spans="1:5">
      <c r="A52" s="1" t="s">
        <v>58</v>
      </c>
      <c r="B52" s="17">
        <v>139.1</v>
      </c>
      <c r="C52" s="17">
        <v>224.9</v>
      </c>
      <c r="D52" s="1" t="s">
        <v>8</v>
      </c>
      <c r="E52" s="17">
        <v>57.2</v>
      </c>
    </row>
    <row r="53" spans="1:5">
      <c r="A53" s="1" t="s">
        <v>59</v>
      </c>
      <c r="B53" s="17">
        <v>145.19999999999999</v>
      </c>
      <c r="C53" s="17">
        <v>234.9</v>
      </c>
      <c r="D53" s="1" t="s">
        <v>6</v>
      </c>
      <c r="E53" s="17">
        <v>59.5</v>
      </c>
    </row>
    <row r="54" spans="1:5">
      <c r="A54" s="1" t="s">
        <v>60</v>
      </c>
      <c r="B54" s="17">
        <v>133.80000000000001</v>
      </c>
      <c r="C54" s="17">
        <v>180.9</v>
      </c>
      <c r="D54" s="1" t="s">
        <v>8</v>
      </c>
      <c r="E54" s="17">
        <v>51.8</v>
      </c>
    </row>
    <row r="55" spans="1:5">
      <c r="A55" s="1" t="s">
        <v>61</v>
      </c>
      <c r="B55" s="17">
        <v>109.5</v>
      </c>
      <c r="C55" s="17">
        <v>209.3</v>
      </c>
      <c r="D55" s="1" t="s">
        <v>8</v>
      </c>
      <c r="E55" s="17">
        <v>50</v>
      </c>
    </row>
    <row r="56" spans="1:5">
      <c r="A56" s="1" t="s">
        <v>62</v>
      </c>
      <c r="B56" s="17">
        <v>105.2</v>
      </c>
      <c r="C56" s="17">
        <v>220</v>
      </c>
      <c r="D56" s="1" t="s">
        <v>10</v>
      </c>
      <c r="E56" s="17">
        <v>52</v>
      </c>
    </row>
    <row r="57" spans="1:5">
      <c r="A57" s="1" t="s">
        <v>63</v>
      </c>
      <c r="B57" s="17">
        <v>123</v>
      </c>
      <c r="C57" s="17">
        <v>216.5</v>
      </c>
      <c r="D57" s="1" t="s">
        <v>10</v>
      </c>
      <c r="E57" s="17">
        <v>49.3</v>
      </c>
    </row>
    <row r="58" spans="1:5">
      <c r="A58" s="1" t="s">
        <v>64</v>
      </c>
      <c r="B58" s="17">
        <v>116.3</v>
      </c>
      <c r="C58" s="17">
        <v>172.4</v>
      </c>
      <c r="D58" s="1" t="s">
        <v>10</v>
      </c>
      <c r="E58" s="17">
        <v>51.6</v>
      </c>
    </row>
    <row r="59" spans="1:5">
      <c r="A59" s="1" t="s">
        <v>65</v>
      </c>
      <c r="B59" s="17">
        <v>143.4</v>
      </c>
      <c r="C59" s="17">
        <v>211.4</v>
      </c>
      <c r="D59" s="1" t="s">
        <v>10</v>
      </c>
      <c r="E59" s="17">
        <v>51.5</v>
      </c>
    </row>
    <row r="60" spans="1:5">
      <c r="A60" s="1" t="s">
        <v>66</v>
      </c>
      <c r="B60" s="17">
        <v>142.4</v>
      </c>
      <c r="C60" s="17">
        <v>231.1</v>
      </c>
      <c r="D60" s="1" t="s">
        <v>6</v>
      </c>
      <c r="E60" s="17">
        <v>58.4</v>
      </c>
    </row>
    <row r="61" spans="1:5">
      <c r="A61" s="1" t="s">
        <v>67</v>
      </c>
      <c r="B61" s="17">
        <v>119.5</v>
      </c>
      <c r="C61" s="17">
        <v>227.3</v>
      </c>
      <c r="D61" s="1" t="s">
        <v>6</v>
      </c>
      <c r="E61" s="17">
        <v>56.5</v>
      </c>
    </row>
    <row r="62" spans="1:5">
      <c r="A62" s="1" t="s">
        <v>68</v>
      </c>
      <c r="B62" s="17">
        <v>128.1</v>
      </c>
      <c r="C62" s="17">
        <v>235.7</v>
      </c>
      <c r="D62" s="1" t="s">
        <v>6</v>
      </c>
      <c r="E62" s="17">
        <v>51.6</v>
      </c>
    </row>
    <row r="63" spans="1:5">
      <c r="A63" s="1" t="s">
        <v>69</v>
      </c>
      <c r="B63" s="17">
        <v>124.3</v>
      </c>
      <c r="C63" s="17">
        <v>265</v>
      </c>
      <c r="D63" s="1" t="s">
        <v>6</v>
      </c>
      <c r="E63" s="17">
        <v>58.1</v>
      </c>
    </row>
    <row r="64" spans="1:5">
      <c r="A64" s="1" t="s">
        <v>70</v>
      </c>
      <c r="B64" s="17">
        <v>141.1</v>
      </c>
      <c r="C64" s="17">
        <v>198.8</v>
      </c>
      <c r="D64" s="1" t="s">
        <v>6</v>
      </c>
      <c r="E64" s="17">
        <v>53.3</v>
      </c>
    </row>
    <row r="65" spans="1:5">
      <c r="A65" s="1" t="s">
        <v>71</v>
      </c>
      <c r="B65" s="17">
        <v>186</v>
      </c>
      <c r="C65" s="17">
        <v>240.9</v>
      </c>
      <c r="D65" s="1" t="s">
        <v>10</v>
      </c>
      <c r="E65" s="17">
        <v>62.9</v>
      </c>
    </row>
    <row r="66" spans="1:5">
      <c r="A66" s="1" t="s">
        <v>72</v>
      </c>
      <c r="B66" s="17">
        <v>94.3</v>
      </c>
      <c r="C66" s="17">
        <v>223.5</v>
      </c>
      <c r="D66" s="1" t="s">
        <v>8</v>
      </c>
      <c r="E66" s="17">
        <v>47.2</v>
      </c>
    </row>
    <row r="67" spans="1:5">
      <c r="A67" s="1" t="s">
        <v>73</v>
      </c>
      <c r="B67" s="17">
        <v>102.9</v>
      </c>
      <c r="C67" s="17">
        <v>168.6</v>
      </c>
      <c r="D67" s="1" t="s">
        <v>8</v>
      </c>
      <c r="E67" s="17">
        <v>45.6</v>
      </c>
    </row>
    <row r="68" spans="1:5">
      <c r="A68" s="1" t="s">
        <v>74</v>
      </c>
      <c r="B68" s="17">
        <v>186.9</v>
      </c>
      <c r="C68" s="17">
        <v>258.60000000000002</v>
      </c>
      <c r="D68" s="1" t="s">
        <v>10</v>
      </c>
      <c r="E68" s="17">
        <v>59.2</v>
      </c>
    </row>
    <row r="69" spans="1:5">
      <c r="A69" s="1" t="s">
        <v>75</v>
      </c>
      <c r="B69" s="17">
        <v>120.3</v>
      </c>
      <c r="C69" s="17">
        <v>271.39999999999998</v>
      </c>
      <c r="D69" s="1" t="s">
        <v>10</v>
      </c>
      <c r="E69" s="17">
        <v>56.3</v>
      </c>
    </row>
    <row r="70" spans="1:5">
      <c r="A70" s="1" t="s">
        <v>76</v>
      </c>
      <c r="B70" s="17">
        <v>128.80000000000001</v>
      </c>
      <c r="C70" s="17">
        <v>203.4</v>
      </c>
      <c r="D70" s="1" t="s">
        <v>8</v>
      </c>
      <c r="E70" s="17">
        <v>51.5</v>
      </c>
    </row>
    <row r="71" spans="1:5">
      <c r="A71" s="1" t="s">
        <v>77</v>
      </c>
      <c r="B71" s="17">
        <v>158.19999999999999</v>
      </c>
      <c r="C71" s="17">
        <v>320.8</v>
      </c>
      <c r="D71" s="1" t="s">
        <v>10</v>
      </c>
      <c r="E71" s="17">
        <v>63.2</v>
      </c>
    </row>
    <row r="72" spans="1:5">
      <c r="A72" s="1" t="s">
        <v>78</v>
      </c>
      <c r="B72" s="17">
        <v>114.6</v>
      </c>
      <c r="C72" s="17">
        <v>285.2</v>
      </c>
      <c r="D72" s="1" t="s">
        <v>8</v>
      </c>
      <c r="E72" s="17">
        <v>51.3</v>
      </c>
    </row>
    <row r="73" spans="1:5">
      <c r="A73" s="1" t="s">
        <v>79</v>
      </c>
      <c r="B73" s="17">
        <v>141</v>
      </c>
      <c r="C73" s="17">
        <v>236.8</v>
      </c>
      <c r="D73" s="1" t="s">
        <v>10</v>
      </c>
      <c r="E73" s="17">
        <v>54.3</v>
      </c>
    </row>
    <row r="74" spans="1:5">
      <c r="A74" s="1" t="s">
        <v>80</v>
      </c>
      <c r="B74" s="17">
        <v>110.8</v>
      </c>
      <c r="C74" s="17">
        <v>255.2</v>
      </c>
      <c r="D74" s="1" t="s">
        <v>10</v>
      </c>
      <c r="E74" s="17">
        <v>50.9</v>
      </c>
    </row>
    <row r="75" spans="1:5">
      <c r="A75" s="1" t="s">
        <v>81</v>
      </c>
      <c r="B75" s="17">
        <v>120.9</v>
      </c>
      <c r="C75" s="17">
        <v>282.10000000000002</v>
      </c>
      <c r="D75" s="1" t="s">
        <v>8</v>
      </c>
      <c r="E75" s="17">
        <v>50.2</v>
      </c>
    </row>
    <row r="76" spans="1:5">
      <c r="A76" s="1" t="s">
        <v>82</v>
      </c>
      <c r="B76" s="17">
        <v>97.6</v>
      </c>
      <c r="C76" s="17">
        <v>190.3</v>
      </c>
      <c r="D76" s="1" t="s">
        <v>8</v>
      </c>
      <c r="E76" s="17">
        <v>48.4</v>
      </c>
    </row>
    <row r="77" spans="1:5">
      <c r="A77" s="1" t="s">
        <v>83</v>
      </c>
      <c r="B77" s="17">
        <v>153.1</v>
      </c>
      <c r="C77" s="17">
        <v>211.6</v>
      </c>
      <c r="D77" s="1" t="s">
        <v>6</v>
      </c>
      <c r="E77" s="17">
        <v>59.2</v>
      </c>
    </row>
    <row r="78" spans="1:5">
      <c r="A78" s="1" t="s">
        <v>84</v>
      </c>
      <c r="B78" s="17">
        <v>126.5</v>
      </c>
      <c r="C78" s="17">
        <v>164.4</v>
      </c>
      <c r="D78" s="1" t="s">
        <v>6</v>
      </c>
      <c r="E78" s="17">
        <v>52</v>
      </c>
    </row>
    <row r="79" spans="1:5">
      <c r="A79" s="1" t="s">
        <v>85</v>
      </c>
      <c r="B79" s="17">
        <v>160.19999999999999</v>
      </c>
      <c r="C79" s="17">
        <v>216.1</v>
      </c>
      <c r="D79" s="1" t="s">
        <v>8</v>
      </c>
      <c r="E79" s="17">
        <v>59</v>
      </c>
    </row>
    <row r="80" spans="1:5">
      <c r="A80" s="1" t="s">
        <v>86</v>
      </c>
      <c r="B80" s="17">
        <v>179.1</v>
      </c>
      <c r="C80" s="17">
        <v>257.2</v>
      </c>
      <c r="D80" s="1" t="s">
        <v>10</v>
      </c>
      <c r="E80" s="17">
        <v>63.2</v>
      </c>
    </row>
    <row r="81" spans="1:5">
      <c r="A81" s="1" t="s">
        <v>87</v>
      </c>
      <c r="B81" s="17">
        <v>116.7</v>
      </c>
      <c r="C81" s="17">
        <v>183.4</v>
      </c>
      <c r="D81" s="1" t="s">
        <v>10</v>
      </c>
      <c r="E81" s="17">
        <v>54.2</v>
      </c>
    </row>
    <row r="82" spans="1:5">
      <c r="A82" s="1" t="s">
        <v>88</v>
      </c>
      <c r="B82" s="17">
        <v>132.19999999999999</v>
      </c>
      <c r="C82" s="17">
        <v>252.8</v>
      </c>
      <c r="D82" s="1" t="s">
        <v>10</v>
      </c>
      <c r="E82" s="17">
        <v>59.3</v>
      </c>
    </row>
    <row r="83" spans="1:5">
      <c r="A83" s="1" t="s">
        <v>89</v>
      </c>
      <c r="B83" s="17">
        <v>111</v>
      </c>
      <c r="C83" s="17">
        <v>240</v>
      </c>
      <c r="D83" s="1" t="s">
        <v>8</v>
      </c>
      <c r="E83" s="17">
        <v>53.1</v>
      </c>
    </row>
    <row r="84" spans="1:5">
      <c r="A84" s="1" t="s">
        <v>90</v>
      </c>
      <c r="B84" s="17">
        <v>116.3</v>
      </c>
      <c r="C84" s="17">
        <v>243.9</v>
      </c>
      <c r="D84" s="1" t="s">
        <v>8</v>
      </c>
      <c r="E84" s="17">
        <v>49.6</v>
      </c>
    </row>
    <row r="85" spans="1:5">
      <c r="A85" s="1" t="s">
        <v>91</v>
      </c>
      <c r="B85" s="17">
        <v>120.8</v>
      </c>
      <c r="C85" s="17">
        <v>237.4</v>
      </c>
      <c r="D85" s="1" t="s">
        <v>6</v>
      </c>
      <c r="E85" s="17">
        <v>53.3</v>
      </c>
    </row>
    <row r="86" spans="1:5">
      <c r="A86" s="1" t="s">
        <v>92</v>
      </c>
      <c r="B86" s="17">
        <v>126.1</v>
      </c>
      <c r="C86" s="17">
        <v>243.2</v>
      </c>
      <c r="D86" s="1" t="s">
        <v>8</v>
      </c>
      <c r="E86" s="17">
        <v>58.4</v>
      </c>
    </row>
    <row r="87" spans="1:5">
      <c r="A87" s="1" t="s">
        <v>93</v>
      </c>
      <c r="B87" s="17">
        <v>141.80000000000001</v>
      </c>
      <c r="C87" s="17">
        <v>248.4</v>
      </c>
      <c r="D87" s="1" t="s">
        <v>8</v>
      </c>
      <c r="E87" s="17">
        <v>57.4</v>
      </c>
    </row>
    <row r="88" spans="1:5">
      <c r="A88" s="1" t="s">
        <v>94</v>
      </c>
      <c r="B88" s="17">
        <v>137.9</v>
      </c>
      <c r="C88" s="17">
        <v>242.5</v>
      </c>
      <c r="D88" s="1" t="s">
        <v>6</v>
      </c>
      <c r="E88" s="17">
        <v>52.8</v>
      </c>
    </row>
    <row r="89" spans="1:5">
      <c r="A89" s="1" t="s">
        <v>95</v>
      </c>
      <c r="B89" s="17">
        <v>105.8</v>
      </c>
      <c r="C89" s="17"/>
      <c r="D89" s="1" t="s">
        <v>6</v>
      </c>
      <c r="E89" s="17">
        <v>46.6</v>
      </c>
    </row>
    <row r="90" spans="1:5">
      <c r="A90" s="1" t="s">
        <v>96</v>
      </c>
      <c r="B90" s="17">
        <v>114.4</v>
      </c>
      <c r="C90" s="17">
        <v>187.5</v>
      </c>
      <c r="D90" s="1" t="s">
        <v>8</v>
      </c>
      <c r="E90" s="17">
        <v>42.4</v>
      </c>
    </row>
    <row r="91" spans="1:5">
      <c r="A91" s="1" t="s">
        <v>97</v>
      </c>
      <c r="B91" s="17">
        <v>115.2</v>
      </c>
      <c r="C91" s="17">
        <v>218</v>
      </c>
      <c r="D91" s="1" t="s">
        <v>10</v>
      </c>
      <c r="E91" s="17">
        <v>51.3</v>
      </c>
    </row>
    <row r="92" spans="1:5">
      <c r="A92" s="1" t="s">
        <v>98</v>
      </c>
      <c r="B92" s="17">
        <v>111.6</v>
      </c>
      <c r="C92" s="17">
        <v>241.9</v>
      </c>
      <c r="D92" s="1" t="s">
        <v>10</v>
      </c>
      <c r="E92" s="17">
        <v>56.6</v>
      </c>
    </row>
    <row r="93" spans="1:5">
      <c r="A93" s="1" t="s">
        <v>99</v>
      </c>
      <c r="B93" s="17">
        <v>98</v>
      </c>
      <c r="C93" s="17">
        <v>148</v>
      </c>
      <c r="D93" s="1" t="s">
        <v>10</v>
      </c>
      <c r="E93" s="17">
        <v>42.2</v>
      </c>
    </row>
    <row r="94" spans="1:5">
      <c r="A94" s="1" t="s">
        <v>100</v>
      </c>
      <c r="B94" s="17">
        <v>149.19999999999999</v>
      </c>
      <c r="C94" s="17">
        <v>281.39999999999998</v>
      </c>
      <c r="D94" s="1" t="s">
        <v>10</v>
      </c>
      <c r="E94" s="17">
        <v>60</v>
      </c>
    </row>
    <row r="95" spans="1:5">
      <c r="A95" s="1" t="s">
        <v>101</v>
      </c>
      <c r="B95" s="17">
        <v>107.4</v>
      </c>
      <c r="C95" s="17">
        <v>264.89999999999998</v>
      </c>
      <c r="D95" s="1" t="s">
        <v>8</v>
      </c>
      <c r="E95" s="17">
        <v>54.6</v>
      </c>
    </row>
    <row r="96" spans="1:5">
      <c r="A96" s="1" t="s">
        <v>102</v>
      </c>
      <c r="B96" s="17">
        <v>116.9</v>
      </c>
      <c r="C96" s="17">
        <v>128.9</v>
      </c>
      <c r="D96" s="1" t="s">
        <v>8</v>
      </c>
      <c r="E96" s="17">
        <v>49.3</v>
      </c>
    </row>
    <row r="97" spans="1:5">
      <c r="A97" s="1" t="s">
        <v>103</v>
      </c>
      <c r="B97" s="17">
        <v>146.6</v>
      </c>
      <c r="C97" s="17">
        <v>311</v>
      </c>
      <c r="D97" s="1" t="s">
        <v>8</v>
      </c>
      <c r="E97" s="17">
        <v>66</v>
      </c>
    </row>
    <row r="98" spans="1:5">
      <c r="A98" s="1" t="s">
        <v>104</v>
      </c>
      <c r="B98" s="17">
        <v>121.6</v>
      </c>
      <c r="C98" s="17">
        <v>255.9</v>
      </c>
      <c r="D98" s="1" t="s">
        <v>8</v>
      </c>
      <c r="E98" s="17">
        <v>46.8</v>
      </c>
    </row>
    <row r="99" spans="1:5">
      <c r="A99" s="1" t="s">
        <v>105</v>
      </c>
      <c r="B99" s="17">
        <v>163.4</v>
      </c>
      <c r="C99" s="17">
        <v>297.3</v>
      </c>
      <c r="D99" s="1" t="s">
        <v>10</v>
      </c>
      <c r="E99" s="17">
        <v>63.6</v>
      </c>
    </row>
    <row r="100" spans="1:5">
      <c r="A100" s="1" t="s">
        <v>106</v>
      </c>
      <c r="B100" s="17">
        <v>106.2</v>
      </c>
      <c r="C100" s="17">
        <v>150.9</v>
      </c>
      <c r="D100" s="1" t="s">
        <v>8</v>
      </c>
      <c r="E100" s="17">
        <v>48.4</v>
      </c>
    </row>
    <row r="101" spans="1:5">
      <c r="A101" s="1" t="s">
        <v>107</v>
      </c>
      <c r="B101" s="17">
        <v>142.69999999999999</v>
      </c>
      <c r="C101" s="17">
        <v>271.5</v>
      </c>
      <c r="D101" s="1" t="s">
        <v>6</v>
      </c>
      <c r="E101" s="17">
        <v>57.9</v>
      </c>
    </row>
    <row r="102" spans="1:5">
      <c r="A102" s="1" t="s">
        <v>108</v>
      </c>
      <c r="B102" s="17">
        <v>131</v>
      </c>
      <c r="C102" s="17">
        <v>237.2</v>
      </c>
      <c r="D102" s="1" t="s">
        <v>10</v>
      </c>
      <c r="E102" s="17">
        <v>56.4</v>
      </c>
    </row>
    <row r="103" spans="1:5">
      <c r="A103" s="1" t="s">
        <v>109</v>
      </c>
      <c r="B103" s="17">
        <v>151.4</v>
      </c>
      <c r="C103" s="17">
        <v>289.2</v>
      </c>
      <c r="D103" s="1" t="s">
        <v>10</v>
      </c>
      <c r="E103" s="17">
        <v>54.9</v>
      </c>
    </row>
    <row r="104" spans="1:5">
      <c r="A104" s="1" t="s">
        <v>110</v>
      </c>
      <c r="B104" s="17">
        <v>163.4</v>
      </c>
      <c r="C104" s="17">
        <v>263</v>
      </c>
      <c r="D104" s="1" t="s">
        <v>10</v>
      </c>
      <c r="E104" s="17">
        <v>58.9</v>
      </c>
    </row>
    <row r="105" spans="1:5">
      <c r="A105" s="1" t="s">
        <v>111</v>
      </c>
      <c r="B105" s="17">
        <v>72.3</v>
      </c>
      <c r="C105" s="17">
        <v>140.5</v>
      </c>
      <c r="D105" s="1" t="s">
        <v>6</v>
      </c>
      <c r="E105" s="17">
        <v>39.299999999999997</v>
      </c>
    </row>
    <row r="106" spans="1:5">
      <c r="A106" s="1" t="s">
        <v>112</v>
      </c>
      <c r="B106" s="17">
        <v>85.4</v>
      </c>
      <c r="C106" s="17">
        <v>239.5</v>
      </c>
      <c r="D106" s="1" t="s">
        <v>10</v>
      </c>
      <c r="E106" s="17">
        <v>49</v>
      </c>
    </row>
    <row r="107" spans="1:5">
      <c r="A107" s="1" t="s">
        <v>113</v>
      </c>
      <c r="B107" s="17">
        <v>129.6</v>
      </c>
      <c r="C107" s="17">
        <v>218.6</v>
      </c>
      <c r="D107" s="1" t="s">
        <v>8</v>
      </c>
      <c r="E107" s="17">
        <v>53.3</v>
      </c>
    </row>
    <row r="108" spans="1:5">
      <c r="A108" s="1" t="s">
        <v>114</v>
      </c>
      <c r="B108" s="17">
        <v>139.1</v>
      </c>
      <c r="C108" s="17">
        <v>270.89999999999998</v>
      </c>
      <c r="D108" s="1" t="s">
        <v>6</v>
      </c>
      <c r="E108" s="17">
        <v>57.7</v>
      </c>
    </row>
    <row r="109" spans="1:5">
      <c r="A109" s="1" t="s">
        <v>115</v>
      </c>
      <c r="B109" s="17">
        <v>133.30000000000001</v>
      </c>
      <c r="C109" s="17">
        <v>185</v>
      </c>
      <c r="D109" s="1" t="s">
        <v>10</v>
      </c>
      <c r="E109" s="17">
        <v>45.6</v>
      </c>
    </row>
    <row r="110" spans="1:5">
      <c r="A110" s="1" t="s">
        <v>116</v>
      </c>
      <c r="B110" s="17">
        <v>106.5</v>
      </c>
      <c r="C110" s="17">
        <v>190.3</v>
      </c>
      <c r="D110" s="1" t="s">
        <v>8</v>
      </c>
      <c r="E110" s="17">
        <v>49.3</v>
      </c>
    </row>
    <row r="111" spans="1:5">
      <c r="A111" s="1" t="s">
        <v>117</v>
      </c>
      <c r="B111" s="17">
        <v>146.80000000000001</v>
      </c>
      <c r="C111" s="17">
        <v>201.8</v>
      </c>
      <c r="D111" s="1" t="s">
        <v>8</v>
      </c>
      <c r="E111" s="17">
        <v>58.4</v>
      </c>
    </row>
    <row r="112" spans="1:5">
      <c r="A112" s="1" t="s">
        <v>118</v>
      </c>
      <c r="B112" s="17">
        <v>120</v>
      </c>
      <c r="C112" s="17">
        <v>283.3</v>
      </c>
      <c r="D112" s="1" t="s">
        <v>6</v>
      </c>
      <c r="E112" s="17">
        <v>57.8</v>
      </c>
    </row>
    <row r="113" spans="1:5">
      <c r="A113" s="1" t="s">
        <v>119</v>
      </c>
      <c r="B113" s="17">
        <v>151</v>
      </c>
      <c r="C113" s="17">
        <v>279.39999999999998</v>
      </c>
      <c r="D113" s="1" t="s">
        <v>6</v>
      </c>
      <c r="E113" s="17">
        <v>70.400000000000006</v>
      </c>
    </row>
    <row r="114" spans="1:5">
      <c r="A114" s="1" t="s">
        <v>120</v>
      </c>
      <c r="B114" s="17">
        <v>82.1</v>
      </c>
      <c r="C114" s="17">
        <v>200.3</v>
      </c>
      <c r="D114" s="1" t="s">
        <v>6</v>
      </c>
      <c r="E114" s="17">
        <v>50.3</v>
      </c>
    </row>
    <row r="115" spans="1:5">
      <c r="A115" s="1" t="s">
        <v>121</v>
      </c>
      <c r="B115" s="17">
        <v>115.1</v>
      </c>
      <c r="C115" s="17">
        <v>223.1</v>
      </c>
      <c r="D115" s="1" t="s">
        <v>10</v>
      </c>
      <c r="E115" s="17">
        <v>52.3</v>
      </c>
    </row>
    <row r="116" spans="1:5">
      <c r="A116" s="1" t="s">
        <v>122</v>
      </c>
      <c r="B116" s="17">
        <v>58.3</v>
      </c>
      <c r="C116" s="17">
        <v>192</v>
      </c>
      <c r="D116" s="1" t="s">
        <v>8</v>
      </c>
      <c r="E116" s="17">
        <v>46.8</v>
      </c>
    </row>
    <row r="117" spans="1:5">
      <c r="A117" s="1" t="s">
        <v>123</v>
      </c>
      <c r="B117" s="17">
        <v>121.4</v>
      </c>
      <c r="C117" s="17">
        <v>258.60000000000002</v>
      </c>
      <c r="D117" s="1" t="s">
        <v>6</v>
      </c>
      <c r="E117" s="17">
        <v>51.6</v>
      </c>
    </row>
    <row r="118" spans="1:5">
      <c r="A118" s="1" t="s">
        <v>124</v>
      </c>
      <c r="B118" s="17">
        <v>85.9</v>
      </c>
      <c r="C118" s="17">
        <v>173.7</v>
      </c>
      <c r="D118" s="1" t="s">
        <v>8</v>
      </c>
      <c r="E118" s="17">
        <v>45</v>
      </c>
    </row>
    <row r="119" spans="1:5">
      <c r="A119" s="1" t="s">
        <v>125</v>
      </c>
      <c r="B119" s="17">
        <v>100.7</v>
      </c>
      <c r="C119" s="17">
        <v>181.7</v>
      </c>
      <c r="D119" s="1" t="s">
        <v>8</v>
      </c>
      <c r="E119" s="17">
        <v>56.7</v>
      </c>
    </row>
    <row r="120" spans="1:5">
      <c r="A120" s="1" t="s">
        <v>126</v>
      </c>
      <c r="B120" s="17">
        <v>151.4</v>
      </c>
      <c r="C120" s="17">
        <v>266.60000000000002</v>
      </c>
      <c r="D120" s="1" t="s">
        <v>6</v>
      </c>
      <c r="E120" s="17">
        <v>60</v>
      </c>
    </row>
    <row r="121" spans="1:5">
      <c r="A121" s="1" t="s">
        <v>127</v>
      </c>
      <c r="B121" s="17">
        <v>133.30000000000001</v>
      </c>
      <c r="C121" s="17">
        <v>221.5</v>
      </c>
      <c r="D121" s="1" t="s">
        <v>6</v>
      </c>
      <c r="E121" s="17">
        <v>60.1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defaultRowHeight="15"/>
  <cols>
    <col min="1" max="1" width="20" customWidth="1"/>
    <col min="2" max="2" width="100" customWidth="1"/>
  </cols>
  <sheetData>
    <row r="1" spans="1:8" ht="30" customHeight="1">
      <c r="A1" s="18" t="s">
        <v>128</v>
      </c>
      <c r="B1" s="18"/>
      <c r="C1" s="18"/>
      <c r="D1" s="18"/>
      <c r="E1" s="18"/>
      <c r="F1" s="18"/>
      <c r="G1" s="18"/>
      <c r="H1" s="18"/>
    </row>
    <row r="2" spans="1:8" ht="36" customHeight="1">
      <c r="A2" s="19" t="s">
        <v>129</v>
      </c>
      <c r="B2" s="19"/>
      <c r="C2" s="19"/>
      <c r="D2" s="19"/>
      <c r="E2" s="19"/>
      <c r="F2" s="19"/>
      <c r="G2" s="19"/>
      <c r="H2" s="19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130</v>
      </c>
      <c r="B4" s="4" t="s">
        <v>131</v>
      </c>
      <c r="C4" s="1"/>
      <c r="D4" s="1"/>
      <c r="E4" s="1"/>
      <c r="F4" s="1"/>
      <c r="G4" s="1"/>
      <c r="H4" s="1"/>
    </row>
    <row r="5" spans="1:8" ht="15" customHeight="1">
      <c r="A5" s="5" t="s">
        <v>132</v>
      </c>
      <c r="B5" s="13" t="s">
        <v>133</v>
      </c>
      <c r="C5" s="1"/>
      <c r="D5" s="1"/>
      <c r="E5" s="1"/>
      <c r="F5" s="1"/>
      <c r="G5" s="1"/>
      <c r="H5" s="1"/>
    </row>
    <row r="6" spans="1:8" ht="15" customHeight="1">
      <c r="A6" s="9" t="s">
        <v>134</v>
      </c>
      <c r="B6" s="14" t="s">
        <v>135</v>
      </c>
      <c r="C6" s="1"/>
      <c r="D6" s="1"/>
      <c r="E6" s="1"/>
      <c r="F6" s="1"/>
      <c r="G6" s="1"/>
      <c r="H6" s="1"/>
    </row>
    <row r="7" spans="1:8" ht="15" customHeight="1">
      <c r="A7" s="9" t="s">
        <v>136</v>
      </c>
      <c r="B7" s="14" t="s">
        <v>137</v>
      </c>
      <c r="C7" s="1"/>
      <c r="D7" s="1"/>
      <c r="E7" s="1"/>
      <c r="F7" s="1"/>
      <c r="G7" s="1"/>
      <c r="H7" s="1"/>
    </row>
    <row r="8" spans="1:8" ht="15" customHeight="1">
      <c r="A8" s="9" t="s">
        <v>138</v>
      </c>
      <c r="B8" s="14" t="s">
        <v>139</v>
      </c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27.95" customHeight="1">
      <c r="A10" s="20" t="s">
        <v>140</v>
      </c>
      <c r="B10" s="20"/>
      <c r="C10" s="20"/>
      <c r="D10" s="20"/>
      <c r="E10" s="20"/>
      <c r="F10" s="20"/>
      <c r="G10" s="20"/>
      <c r="H10" s="20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workbookViewId="0"/>
  </sheetViews>
  <sheetFormatPr defaultRowHeight="15"/>
  <cols>
    <col min="1" max="1" width="20" customWidth="1"/>
    <col min="2" max="2" width="66" customWidth="1"/>
    <col min="3" max="3" width="40" customWidth="1"/>
    <col min="4" max="4" width="58" customWidth="1"/>
  </cols>
  <sheetData>
    <row r="1" spans="1:14" ht="30" customHeight="1">
      <c r="A1" s="18" t="s">
        <v>141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6" customHeight="1">
      <c r="A2" s="19" t="s">
        <v>142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143</v>
      </c>
      <c r="B4" s="3" t="s">
        <v>144</v>
      </c>
      <c r="C4" s="3" t="s">
        <v>145</v>
      </c>
      <c r="D4" s="4" t="s">
        <v>146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7.95" customHeight="1">
      <c r="A5" s="5" t="s">
        <v>6</v>
      </c>
      <c r="B5" s="6">
        <f>AVERAGEIF('Canola data'!$D$2:$D$121,A5,'Canola data'!$E$2:$E$121)</f>
        <v>54.488095238095227</v>
      </c>
      <c r="C5" s="7">
        <f>COUNTIF('Canola data'!$D$2:$D$121,A5)</f>
        <v>42</v>
      </c>
      <c r="D5" s="8" t="s">
        <v>147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.95" customHeight="1">
      <c r="A6" s="9" t="s">
        <v>10</v>
      </c>
      <c r="B6" s="10">
        <f>AVERAGEIF('Canola data'!$D$2:$D$121,A6,'Canola data'!$E$2:$E$121)</f>
        <v>53.458974358974359</v>
      </c>
      <c r="C6" s="11">
        <f>COUNTIF('Canola data'!$D$2:$D$121,A6)</f>
        <v>39</v>
      </c>
      <c r="D6" s="12" t="s">
        <v>148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7.95" customHeight="1">
      <c r="A7" s="9" t="s">
        <v>8</v>
      </c>
      <c r="B7" s="10">
        <f>AVERAGEIF('Canola data'!$D$2:$D$121,A7,'Canola data'!$E$2:$E$121)</f>
        <v>52.166666666666671</v>
      </c>
      <c r="C7" s="11">
        <f>COUNTIF('Canola data'!$D$2:$D$121,A7)</f>
        <v>39</v>
      </c>
      <c r="D7" s="12" t="s">
        <v>149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>
      <c r="A10" s="2" t="s">
        <v>150</v>
      </c>
      <c r="B10" s="3" t="s">
        <v>151</v>
      </c>
      <c r="C10" s="4" t="s">
        <v>152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" customHeight="1">
      <c r="A11" s="5" t="s">
        <v>153</v>
      </c>
      <c r="B11" s="13" t="s">
        <v>154</v>
      </c>
      <c r="C11" s="13" t="s">
        <v>155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customHeight="1">
      <c r="A12" s="9" t="s">
        <v>156</v>
      </c>
      <c r="B12" s="14" t="s">
        <v>157</v>
      </c>
      <c r="C12" s="14" t="s">
        <v>158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6.45" customHeight="1">
      <c r="A13" s="9" t="s">
        <v>159</v>
      </c>
      <c r="B13" s="14" t="s">
        <v>160</v>
      </c>
      <c r="C13" s="14" t="s">
        <v>161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>
      <c r="A14" s="9" t="s">
        <v>162</v>
      </c>
      <c r="B14" s="14" t="s">
        <v>163</v>
      </c>
      <c r="C14" s="14" t="s">
        <v>164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6.45" customHeight="1">
      <c r="A15" s="9" t="s">
        <v>165</v>
      </c>
      <c r="B15" s="14" t="s">
        <v>166</v>
      </c>
      <c r="C15" s="14" t="s">
        <v>167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6.45" customHeight="1">
      <c r="A16" s="9" t="s">
        <v>168</v>
      </c>
      <c r="B16" s="14" t="s">
        <v>169</v>
      </c>
      <c r="C16" s="14" t="s">
        <v>170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>
      <c r="A17" s="9" t="s">
        <v>171</v>
      </c>
      <c r="B17" s="14" t="s">
        <v>172</v>
      </c>
      <c r="C17" s="14" t="s">
        <v>173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6.45" customHeight="1">
      <c r="A18" s="9" t="s">
        <v>174</v>
      </c>
      <c r="B18" s="14" t="s">
        <v>175</v>
      </c>
      <c r="C18" s="14" t="s">
        <v>176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6.45" customHeight="1">
      <c r="A19" s="9" t="s">
        <v>177</v>
      </c>
      <c r="B19" s="14" t="s">
        <v>178</v>
      </c>
      <c r="C19" s="14" t="s">
        <v>179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workbookViewId="0"/>
  </sheetViews>
  <sheetFormatPr defaultRowHeight="15"/>
  <cols>
    <col min="1" max="1" width="15" customWidth="1"/>
    <col min="2" max="2" width="34" customWidth="1"/>
    <col min="3" max="3" width="23" customWidth="1"/>
  </cols>
  <sheetData>
    <row r="1" spans="1:14" ht="30" customHeight="1">
      <c r="A1" s="18" t="s">
        <v>180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6" customHeight="1">
      <c r="A2" s="19" t="s">
        <v>181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182</v>
      </c>
      <c r="B4" s="3" t="s">
        <v>183</v>
      </c>
      <c r="C4" s="4" t="s">
        <v>184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5" t="s">
        <v>185</v>
      </c>
      <c r="B5" s="5" t="s">
        <v>186</v>
      </c>
      <c r="C5" s="5" t="s">
        <v>187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9" t="s">
        <v>188</v>
      </c>
      <c r="B6" s="9" t="s">
        <v>189</v>
      </c>
      <c r="C6" s="9" t="s">
        <v>190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9" t="s">
        <v>191</v>
      </c>
      <c r="B7" s="9" t="s">
        <v>192</v>
      </c>
      <c r="C7" s="11">
        <f>COUNT('Canola data'!$C$2:$C$121)</f>
        <v>117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9" t="s">
        <v>193</v>
      </c>
      <c r="B8" s="9" t="s">
        <v>194</v>
      </c>
      <c r="C8" s="11">
        <f>COUNTBLANK('Canola data'!$C$2:$C$121)</f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9" t="s">
        <v>195</v>
      </c>
      <c r="B9" s="9" t="s">
        <v>196</v>
      </c>
      <c r="C9" s="15">
        <f>CORREL('Canola data'!$C$2:$C$121,'Canola data'!$E$2:$E$121)</f>
        <v>0.64798045914604163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customHeight="1">
      <c r="A12" s="2" t="s">
        <v>197</v>
      </c>
      <c r="B12" s="3" t="s">
        <v>198</v>
      </c>
      <c r="C12" s="4" t="s">
        <v>199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6.45" customHeight="1">
      <c r="A13" s="5" t="s">
        <v>200</v>
      </c>
      <c r="B13" s="13" t="s">
        <v>201</v>
      </c>
      <c r="C13" s="13" t="s">
        <v>202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>
      <c r="A14" s="9" t="s">
        <v>203</v>
      </c>
      <c r="B14" s="14" t="s">
        <v>204</v>
      </c>
      <c r="C14" s="14" t="s">
        <v>205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6.45" customHeight="1">
      <c r="A15" s="9" t="s">
        <v>206</v>
      </c>
      <c r="B15" s="14" t="s">
        <v>207</v>
      </c>
      <c r="C15" s="14" t="s">
        <v>208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showGridLines="0" workbookViewId="0"/>
  </sheetViews>
  <sheetFormatPr defaultRowHeight="15"/>
  <cols>
    <col min="1" max="1" width="15" customWidth="1"/>
    <col min="2" max="2" width="34" customWidth="1"/>
    <col min="3" max="3" width="23" customWidth="1"/>
    <col min="4" max="4" width="66" customWidth="1"/>
  </cols>
  <sheetData>
    <row r="1" spans="1:14" ht="30" customHeight="1">
      <c r="A1" s="18" t="s">
        <v>209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6" customHeight="1">
      <c r="A2" s="19" t="s">
        <v>210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211</v>
      </c>
      <c r="B4" s="3" t="s">
        <v>212</v>
      </c>
      <c r="C4" s="3" t="s">
        <v>145</v>
      </c>
      <c r="D4" s="4" t="s">
        <v>213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7.95" customHeight="1">
      <c r="A5" s="7">
        <v>38</v>
      </c>
      <c r="B5" s="7">
        <v>42</v>
      </c>
      <c r="C5" s="7">
        <f>COUNTIFS('Canola data'!$E$2:$E$121,"&gt;="&amp;A5,'Canola data'!$E$2:$E$121,"&lt;"&amp;B5)</f>
        <v>3</v>
      </c>
      <c r="D5" s="8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.95" customHeight="1">
      <c r="A6" s="11">
        <v>42</v>
      </c>
      <c r="B6" s="11">
        <v>46</v>
      </c>
      <c r="C6" s="11">
        <f>COUNTIFS('Canola data'!$E$2:$E$121,"&gt;="&amp;A6,'Canola data'!$E$2:$E$121,"&lt;"&amp;B6)</f>
        <v>9</v>
      </c>
      <c r="D6" s="12" t="s">
        <v>215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7.95" customHeight="1">
      <c r="A7" s="11">
        <v>46</v>
      </c>
      <c r="B7" s="11">
        <v>50</v>
      </c>
      <c r="C7" s="11">
        <f>COUNTIFS('Canola data'!$E$2:$E$121,"&gt;="&amp;A7,'Canola data'!$E$2:$E$121,"&lt;"&amp;B7)</f>
        <v>19</v>
      </c>
      <c r="D7" s="12" t="s">
        <v>216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7.95" customHeight="1">
      <c r="A8" s="11">
        <v>50</v>
      </c>
      <c r="B8" s="11">
        <v>54</v>
      </c>
      <c r="C8" s="11">
        <f>COUNTIFS('Canola data'!$E$2:$E$121,"&gt;="&amp;A8,'Canola data'!$E$2:$E$121,"&lt;"&amp;B8)</f>
        <v>36</v>
      </c>
      <c r="D8" s="12" t="s">
        <v>217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7.95" customHeight="1">
      <c r="A9" s="11">
        <v>54</v>
      </c>
      <c r="B9" s="11">
        <v>58</v>
      </c>
      <c r="C9" s="11">
        <f>COUNTIFS('Canola data'!$E$2:$E$121,"&gt;="&amp;A9,'Canola data'!$E$2:$E$121,"&lt;"&amp;B9)</f>
        <v>25</v>
      </c>
      <c r="D9" s="12" t="s">
        <v>218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7.95" customHeight="1">
      <c r="A10" s="11">
        <v>58</v>
      </c>
      <c r="B10" s="11">
        <v>62</v>
      </c>
      <c r="C10" s="11">
        <f>COUNTIFS('Canola data'!$E$2:$E$121,"&gt;="&amp;A10,'Canola data'!$E$2:$E$121,"&lt;"&amp;B10)</f>
        <v>18</v>
      </c>
      <c r="D10" s="12" t="s">
        <v>219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7.95" customHeight="1">
      <c r="A11" s="11">
        <v>62</v>
      </c>
      <c r="B11" s="11">
        <v>66</v>
      </c>
      <c r="C11" s="11">
        <f>COUNTIFS('Canola data'!$E$2:$E$121,"&gt;="&amp;A11,'Canola data'!$E$2:$E$121,"&lt;"&amp;B11)</f>
        <v>8</v>
      </c>
      <c r="D11" s="12" t="s">
        <v>220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7.95" customHeight="1">
      <c r="A12" s="11">
        <v>66</v>
      </c>
      <c r="B12" s="11">
        <v>70</v>
      </c>
      <c r="C12" s="11">
        <f>COUNTIFS('Canola data'!$E$2:$E$121,"&gt;="&amp;A12,'Canola data'!$E$2:$E$121,"&lt;"&amp;B12)</f>
        <v>1</v>
      </c>
      <c r="D12" s="12" t="s">
        <v>221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7.95" customHeight="1">
      <c r="A13" s="11">
        <v>70</v>
      </c>
      <c r="B13" s="11">
        <v>74</v>
      </c>
      <c r="C13" s="11">
        <f>COUNTIFS('Canola data'!$E$2:$E$121,"&gt;="&amp;A13,'Canola data'!$E$2:$E$121,"&lt;="&amp;B13)</f>
        <v>1</v>
      </c>
      <c r="D13" s="12" t="s">
        <v>222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>
      <c r="A16" s="2" t="s">
        <v>197</v>
      </c>
      <c r="B16" s="3" t="s">
        <v>198</v>
      </c>
      <c r="C16" s="4" t="s">
        <v>199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9.6" customHeight="1">
      <c r="A17" s="5" t="s">
        <v>223</v>
      </c>
      <c r="B17" s="13" t="s">
        <v>224</v>
      </c>
      <c r="C17" s="13" t="s">
        <v>225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52.7" customHeight="1">
      <c r="A18" s="9" t="s">
        <v>226</v>
      </c>
      <c r="B18" s="14" t="s">
        <v>227</v>
      </c>
      <c r="C18" s="16">
        <f>SUM(C5:C13)</f>
        <v>120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52.7" customHeight="1">
      <c r="A19" s="9" t="s">
        <v>228</v>
      </c>
      <c r="B19" s="14" t="s">
        <v>229</v>
      </c>
      <c r="C19" s="14" t="s">
        <v>230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 t="s">
        <v>231</v>
      </c>
      <c r="K25" s="1" t="s">
        <v>145</v>
      </c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 t="s">
        <v>232</v>
      </c>
      <c r="K26" s="1">
        <f>C5</f>
        <v>3</v>
      </c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 t="s">
        <v>233</v>
      </c>
      <c r="K27" s="1">
        <f>C6</f>
        <v>9</v>
      </c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 t="s">
        <v>234</v>
      </c>
      <c r="K28" s="1">
        <f>C7</f>
        <v>19</v>
      </c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 t="s">
        <v>235</v>
      </c>
      <c r="K29" s="1">
        <f>C8</f>
        <v>36</v>
      </c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 t="s">
        <v>236</v>
      </c>
      <c r="K30" s="1">
        <f>C9</f>
        <v>25</v>
      </c>
      <c r="L30" s="1"/>
      <c r="M30" s="1"/>
      <c r="N30" s="1"/>
    </row>
    <row r="31" spans="1:14">
      <c r="J31" t="s">
        <v>237</v>
      </c>
      <c r="K31">
        <f>C10</f>
        <v>18</v>
      </c>
    </row>
    <row r="32" spans="1:14">
      <c r="J32" t="s">
        <v>238</v>
      </c>
      <c r="K32">
        <f>C11</f>
        <v>8</v>
      </c>
    </row>
    <row r="33" spans="10:11">
      <c r="J33" t="s">
        <v>239</v>
      </c>
      <c r="K33">
        <f>C12</f>
        <v>1</v>
      </c>
    </row>
    <row r="34" spans="10:11">
      <c r="J34" t="s">
        <v>240</v>
      </c>
      <c r="K34">
        <f>C13</f>
        <v>1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Slade, Peter</cp:lastModifiedBy>
  <cp:revision/>
  <dcterms:created xsi:type="dcterms:W3CDTF">2026-08-25T01:26:50Z</dcterms:created>
  <dcterms:modified xsi:type="dcterms:W3CDTF">2026-08-25T01:26:50Z</dcterms:modified>
  <cp:category/>
  <cp:contentStatus/>
</cp:coreProperties>
</file>