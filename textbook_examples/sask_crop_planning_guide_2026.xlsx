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3780" yWindow="1740" windowWidth="21600" windowHeight="12645" tabRatio="692" firstSheet="0" activeTab="0" autoFilterDateGrouping="1"/>
  </bookViews>
  <sheets>
    <sheet name="Disclaimer" sheetId="1" state="visible" r:id="rId1"/>
    <sheet name="Guide2026" sheetId="2" state="visible" r:id="rId2"/>
    <sheet name="General Assumptions" sheetId="3" state="visible" r:id="rId3"/>
    <sheet name="Summary Calculator" sheetId="4" state="visible" r:id="rId4"/>
    <sheet name="MBarley" sheetId="5" state="visible" r:id="rId5"/>
    <sheet name="FBarley" sheetId="6" state="visible" r:id="rId6"/>
    <sheet name="Corn" sheetId="7" state="visible" r:id="rId7"/>
    <sheet name="HFallRye" sheetId="8" state="visible" r:id="rId8"/>
    <sheet name="Oats" sheetId="9" state="visible" r:id="rId9"/>
    <sheet name="Durum" sheetId="10" state="visible" r:id="rId10"/>
    <sheet name="SWheat" sheetId="11" state="visible" r:id="rId11"/>
    <sheet name="WWheat" sheetId="12" state="visible" r:id="rId12"/>
    <sheet name="Canola" sheetId="13" state="visible" r:id="rId13"/>
    <sheet name="Flax" sheetId="14" state="visible" r:id="rId14"/>
    <sheet name="BMustard" sheetId="15" state="visible" r:id="rId15"/>
    <sheet name="OMustard" sheetId="16" state="visible" r:id="rId16"/>
    <sheet name="YMustard" sheetId="17" state="visible" r:id="rId17"/>
    <sheet name="Hybrid Brown Mustard" sheetId="18" state="visible" r:id="rId18"/>
    <sheet name="Sunflower" sheetId="19" state="visible" r:id="rId19"/>
    <sheet name="Soybean" sheetId="20" state="visible" r:id="rId20"/>
    <sheet name="DesiChickpeas" sheetId="21" state="visible" r:id="rId21"/>
    <sheet name="Chickpeas, large" sheetId="22" state="visible" r:id="rId22"/>
    <sheet name="Chickpeas, small" sheetId="23" state="visible" r:id="rId23"/>
    <sheet name="LGLentil" sheetId="24" state="visible" r:id="rId24"/>
    <sheet name="RLentil" sheetId="25" state="visible" r:id="rId25"/>
    <sheet name="GPeas" sheetId="26" state="visible" r:id="rId26"/>
    <sheet name="Ypeas" sheetId="27" state="visible" r:id="rId27"/>
    <sheet name="Black Bean" sheetId="28" state="visible" r:id="rId28"/>
    <sheet name="Fbean" sheetId="29" state="visible" r:id="rId29"/>
    <sheet name="Camelina" sheetId="30" state="visible" r:id="rId30"/>
    <sheet name="Canaryseed" sheetId="31" state="visible" r:id="rId31"/>
    <sheet name="Caraway" sheetId="32" state="visible" r:id="rId32"/>
    <sheet name="Coriander" sheetId="33" state="visible" r:id="rId33"/>
    <sheet name="Fenugreek" sheetId="34" state="visible" r:id="rId34"/>
    <sheet name="Quinoa" sheetId="35" state="visible" r:id="rId35"/>
  </sheets>
  <definedNames>
    <definedName name="_xlnm.Print_Area" localSheetId="0">'Disclaimer'!$A$1:$L$26</definedName>
  </definedNames>
  <calcPr calcId="191028" fullCalcOnLoad="1" concurrentCalc="0"/>
</workbook>
</file>

<file path=xl/styles.xml><?xml version="1.0" encoding="utf-8"?>
<styleSheet xmlns="http://schemas.openxmlformats.org/spreadsheetml/2006/main">
  <numFmts count="7">
    <numFmt numFmtId="164" formatCode="0.00_)"/>
    <numFmt numFmtId="165" formatCode="General_)"/>
    <numFmt numFmtId="166" formatCode="0.0"/>
    <numFmt numFmtId="167" formatCode="0.0_)"/>
    <numFmt numFmtId="168" formatCode="_(* #,##0.0_);_(* \(#,##0.0\);_(* &quot;-&quot;??_);_(@_)"/>
    <numFmt numFmtId="169" formatCode="_-&quot;$&quot;* #,##0.00_-;\-&quot;$&quot;* #,##0.00_-;_-&quot;$&quot;* &quot;-&quot;??_-;_-@_-"/>
    <numFmt numFmtId="170" formatCode="&quot;$&quot;#,##0;\-&quot;$&quot;#,##0"/>
  </numFmts>
  <fonts count="65">
    <font>
      <name val="Arial"/>
      <sz val="10"/>
    </font>
    <font>
      <name val="Calibri"/>
      <family val="2"/>
      <color theme="1"/>
      <sz val="11"/>
      <scheme val="minor"/>
    </font>
    <font>
      <name val="Calibri"/>
      <family val="2"/>
      <color theme="1"/>
      <sz val="11"/>
      <scheme val="minor"/>
    </font>
    <font>
      <name val="Times New Roman"/>
      <family val="1"/>
      <color indexed="12"/>
      <sz val="12"/>
    </font>
    <font>
      <name val="Arial"/>
      <family val="2"/>
      <sz val="10"/>
    </font>
    <font>
      <name val="Arial"/>
      <family val="2"/>
      <b val="1"/>
      <sz val="10"/>
    </font>
    <font>
      <name val="Arial"/>
      <family val="2"/>
      <sz val="8"/>
    </font>
    <font>
      <name val="Arial Narrow"/>
      <family val="2"/>
      <sz val="10"/>
    </font>
    <font>
      <name val="Courier"/>
      <family val="3"/>
      <sz val="10"/>
    </font>
    <font>
      <name val="Arial Narrow"/>
      <family val="2"/>
      <b val="1"/>
      <sz val="10"/>
    </font>
    <font>
      <name val="Arial"/>
      <family val="2"/>
      <b val="1"/>
      <sz val="14"/>
    </font>
    <font>
      <name val="MS Sans Serif"/>
      <family val="2"/>
      <b val="1"/>
      <sz val="12"/>
    </font>
    <font>
      <name val="MS Sans Serif"/>
      <family val="2"/>
      <b val="1"/>
      <sz val="10"/>
    </font>
    <font>
      <name val="Arial"/>
      <family val="2"/>
      <sz val="11"/>
    </font>
    <font>
      <name val="Arial Narrow"/>
      <family val="2"/>
      <color indexed="8"/>
      <sz val="10"/>
    </font>
    <font>
      <name val="Times New Roman"/>
      <family val="1"/>
      <sz val="12"/>
    </font>
    <font>
      <name val="Courier"/>
      <sz val="10"/>
    </font>
    <font>
      <name val="Calibri"/>
      <family val="2"/>
      <color indexed="8"/>
      <sz val="11"/>
    </font>
    <font>
      <name val="Calibri"/>
      <family val="2"/>
      <color indexed="9"/>
      <sz val="11"/>
    </font>
    <font>
      <name val="Calibri"/>
      <family val="2"/>
      <color indexed="20"/>
      <sz val="11"/>
    </font>
    <font>
      <name val="Browallia New"/>
      <family val="2"/>
      <b val="1"/>
      <color theme="1"/>
      <sz val="14"/>
    </font>
    <font>
      <name val="Calibri"/>
      <family val="2"/>
      <b val="1"/>
      <color indexed="52"/>
      <sz val="11"/>
    </font>
    <font>
      <name val="Calibri"/>
      <family val="2"/>
      <b val="1"/>
      <color indexed="9"/>
      <sz val="11"/>
    </font>
    <font>
      <name val="Calibri"/>
      <family val="2"/>
      <i val="1"/>
      <color indexed="23"/>
      <sz val="11"/>
    </font>
    <font>
      <name val="Calibri"/>
      <family val="2"/>
      <color indexed="17"/>
      <sz val="11"/>
    </font>
    <font>
      <name val="Calibri"/>
      <family val="2"/>
      <b val="1"/>
      <color indexed="56"/>
      <sz val="15"/>
    </font>
    <font>
      <name val="Calibri"/>
      <family val="2"/>
      <b val="1"/>
      <color indexed="56"/>
      <sz val="13"/>
    </font>
    <font>
      <name val="Calibri"/>
      <family val="2"/>
      <b val="1"/>
      <color indexed="56"/>
      <sz val="11"/>
    </font>
    <font>
      <name val="Arial"/>
      <family val="2"/>
      <color indexed="12"/>
      <sz val="10"/>
      <u val="single"/>
    </font>
    <font>
      <name val="Calibri"/>
      <family val="2"/>
      <color indexed="62"/>
      <sz val="11"/>
    </font>
    <font>
      <name val="Calibri"/>
      <family val="2"/>
      <color indexed="52"/>
      <sz val="11"/>
    </font>
    <font>
      <name val="Calibri"/>
      <family val="2"/>
      <color indexed="60"/>
      <sz val="11"/>
    </font>
    <font>
      <name val="Calibri"/>
      <family val="2"/>
      <b val="1"/>
      <color indexed="63"/>
      <sz val="11"/>
    </font>
    <font>
      <name val="Cambria"/>
      <family val="2"/>
      <b val="1"/>
      <color indexed="56"/>
      <sz val="18"/>
    </font>
    <font>
      <name val="Calibri"/>
      <family val="2"/>
      <b val="1"/>
      <color indexed="8"/>
      <sz val="11"/>
    </font>
    <font>
      <name val="Calibri"/>
      <family val="2"/>
      <color indexed="10"/>
      <sz val="11"/>
    </font>
    <font>
      <name val="Arial"/>
      <family val="2"/>
      <color indexed="12"/>
      <sz val="7.5"/>
      <u val="single"/>
    </font>
    <font>
      <name val="Arial Black"/>
      <family val="2"/>
      <sz val="14"/>
    </font>
    <font>
      <name val="MS Sans Serif"/>
      <family val="2"/>
      <color indexed="8"/>
      <sz val="10"/>
    </font>
    <font>
      <name val="Arial"/>
      <family val="2"/>
      <color theme="1"/>
      <sz val="10"/>
    </font>
    <font>
      <name val="Times New Roman"/>
      <family val="1"/>
      <color rgb="FF000000"/>
      <sz val="10"/>
    </font>
    <font>
      <name val="Arial Narrow"/>
      <family val="2"/>
      <color indexed="8"/>
      <sz val="8.5"/>
    </font>
    <font>
      <name val="Courier New"/>
      <family val="3"/>
      <sz val="12"/>
    </font>
    <font>
      <name val="Courier New"/>
      <family val="3"/>
      <b val="1"/>
      <sz val="8"/>
    </font>
    <font>
      <name val="Arial"/>
      <family val="2"/>
      <sz val="10"/>
    </font>
    <font>
      <name val="Arial Narrow"/>
      <family val="2"/>
      <color theme="1"/>
      <sz val="10"/>
    </font>
    <font>
      <name val="Arial Narrow"/>
      <family val="2"/>
      <b val="1"/>
      <color indexed="8"/>
      <sz val="12"/>
    </font>
    <font>
      <name val="Arial"/>
      <family val="2"/>
      <b val="1"/>
      <sz val="20"/>
    </font>
    <font>
      <name val="Calibri"/>
      <family val="2"/>
      <b val="1"/>
      <sz val="14"/>
      <scheme val="minor"/>
    </font>
    <font>
      <name val="Arial"/>
      <family val="2"/>
      <sz val="12"/>
    </font>
    <font>
      <name val="Arial"/>
      <family val="2"/>
      <color rgb="FFFF0000"/>
      <sz val="10"/>
    </font>
    <font>
      <name val="Courier New"/>
      <family val="3"/>
      <sz val="8"/>
    </font>
    <font>
      <name val="Calibri"/>
      <family val="2"/>
      <sz val="12"/>
      <scheme val="minor"/>
    </font>
    <font>
      <name val="Calibri"/>
      <family val="2"/>
      <b val="1"/>
      <sz val="12"/>
      <scheme val="minor"/>
    </font>
    <font>
      <name val="Calibri"/>
      <family val="2"/>
      <b val="1"/>
      <sz val="16"/>
      <scheme val="minor"/>
    </font>
    <font>
      <name val="Arial Narrow"/>
      <family val="2"/>
      <color rgb="FFFF0000"/>
      <sz val="10"/>
    </font>
    <font>
      <name val="Arial"/>
      <family val="2"/>
      <b val="1"/>
      <color rgb="FFFF0000"/>
      <sz val="10"/>
    </font>
    <font>
      <name val="Arial Narrow"/>
      <family val="2"/>
      <b val="1"/>
      <color rgb="FFFF0000"/>
      <sz val="10"/>
    </font>
    <font>
      <name val="Arial Narrow"/>
      <family val="2"/>
      <color theme="1"/>
      <sz val="8.5"/>
    </font>
    <font>
      <name val="Arial"/>
      <family val="2"/>
      <b val="1"/>
      <color theme="1"/>
      <sz val="10"/>
    </font>
    <font>
      <name val="Arial Narrow"/>
      <family val="2"/>
      <b val="1"/>
      <color theme="1"/>
      <sz val="10"/>
    </font>
    <font>
      <name val="Arial"/>
      <family val="2"/>
      <b val="1"/>
      <sz val="10"/>
      <scheme val="minor"/>
    </font>
    <font>
      <name val="Arial"/>
      <family val="2"/>
      <sz val="10"/>
      <scheme val="minor"/>
    </font>
    <font>
      <name val="Arial"/>
      <family val="2"/>
      <b val="1"/>
      <color indexed="8"/>
      <sz val="10"/>
    </font>
    <font>
      <name val="Arial"/>
      <family val="2"/>
      <color indexed="8"/>
      <sz val="10"/>
    </font>
  </fonts>
  <fills count="33">
    <fill>
      <patternFill/>
    </fill>
    <fill>
      <patternFill patternType="gray125"/>
    </fill>
    <fill>
      <patternFill patternType="gray0625"/>
    </fill>
    <fill>
      <patternFill patternType="solid">
        <fgColor indexed="26"/>
        <bgColor indexed="64"/>
      </patternFill>
    </fill>
    <fill>
      <patternFill patternType="solid">
        <fgColor theme="0" tint="-0.149998474074526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1" tint="0.499984740745262"/>
        <bgColor indexed="64"/>
      </patternFill>
    </fill>
    <fill>
      <patternFill patternType="solid">
        <fgColor theme="0"/>
        <bgColor indexed="64"/>
      </patternFill>
    </fill>
    <fill>
      <patternFill patternType="solid">
        <fgColor rgb="FFFFFF00"/>
        <bgColor indexed="64"/>
      </patternFill>
    </fill>
    <fill>
      <patternFill patternType="solid">
        <fgColor indexed="65"/>
        <bgColor indexed="64"/>
      </patternFill>
    </fill>
    <fill>
      <patternFill patternType="solid">
        <fgColor theme="0" tint="-0.3499862666707358"/>
        <bgColor indexed="64"/>
      </patternFill>
    </fill>
    <fill>
      <patternFill patternType="solid">
        <fgColor theme="0" tint="-0.0499893185216834"/>
        <bgColor indexed="64"/>
      </patternFill>
    </fill>
  </fills>
  <borders count="60">
    <border>
      <left/>
      <right/>
      <top/>
      <bottom/>
      <diagonal/>
    </border>
    <border>
      <left/>
      <right style="thin">
        <color indexed="64"/>
      </right>
      <top/>
      <bottom/>
      <diagonal/>
    </border>
    <border>
      <left/>
      <right/>
      <top style="thin">
        <color indexed="64"/>
      </top>
      <bottom/>
      <diagonal/>
    </border>
    <border>
      <left/>
      <right style="medium">
        <color indexed="64"/>
      </right>
      <top/>
      <bottom style="medium">
        <color indexed="64"/>
      </bottom>
      <diagonal/>
    </border>
    <border>
      <left/>
      <right style="thick">
        <color indexed="64"/>
      </right>
      <top style="thick">
        <color indexed="64"/>
      </top>
      <bottom/>
      <diagonal/>
    </border>
    <border>
      <left/>
      <right style="thick">
        <color indexed="64"/>
      </right>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style="thick">
        <color indexed="64"/>
      </top>
      <bottom/>
      <diagonal/>
    </border>
    <border>
      <left/>
      <right/>
      <top style="thick">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top style="thin">
        <color indexed="64"/>
      </top>
      <bottom/>
      <diagonal/>
    </border>
  </borders>
  <cellStyleXfs count="118">
    <xf numFmtId="0" fontId="0" fillId="0" borderId="0"/>
    <xf numFmtId="164" fontId="3" fillId="2" borderId="0" applyProtection="1">
      <protection locked="0" hidden="0"/>
    </xf>
    <xf numFmtId="165" fontId="8" fillId="0" borderId="0"/>
    <xf numFmtId="0" fontId="8" fillId="0" borderId="0"/>
    <xf numFmtId="0" fontId="8" fillId="0" borderId="0"/>
    <xf numFmtId="0" fontId="44" fillId="0" borderId="0"/>
    <xf numFmtId="169" fontId="44" fillId="0" borderId="0"/>
    <xf numFmtId="0" fontId="2" fillId="0" borderId="0"/>
    <xf numFmtId="165" fontId="16" fillId="0" borderId="0"/>
    <xf numFmtId="165" fontId="15" fillId="2" borderId="1" applyAlignment="1">
      <alignment horizontal="left"/>
    </xf>
    <xf numFmtId="0" fontId="2" fillId="0" borderId="0"/>
    <xf numFmtId="44" fontId="2" fillId="0" borderId="0"/>
    <xf numFmtId="0" fontId="2" fillId="0" borderId="0"/>
    <xf numFmtId="9" fontId="2" fillId="0" borderId="0"/>
    <xf numFmtId="0" fontId="17" fillId="5" borderId="0"/>
    <xf numFmtId="0" fontId="17" fillId="6" borderId="0"/>
    <xf numFmtId="0" fontId="17" fillId="7" borderId="0"/>
    <xf numFmtId="0" fontId="17" fillId="8" borderId="0"/>
    <xf numFmtId="0" fontId="17" fillId="9" borderId="0"/>
    <xf numFmtId="0" fontId="17" fillId="10" borderId="0"/>
    <xf numFmtId="0" fontId="17" fillId="11" borderId="0"/>
    <xf numFmtId="0" fontId="17" fillId="12" borderId="0"/>
    <xf numFmtId="0" fontId="17" fillId="13" borderId="0"/>
    <xf numFmtId="0" fontId="17" fillId="8" borderId="0"/>
    <xf numFmtId="0" fontId="17" fillId="11" borderId="0"/>
    <xf numFmtId="0" fontId="17" fillId="14" borderId="0"/>
    <xf numFmtId="0" fontId="18" fillId="15" borderId="0"/>
    <xf numFmtId="0" fontId="18" fillId="12" borderId="0"/>
    <xf numFmtId="0" fontId="18" fillId="13" borderId="0"/>
    <xf numFmtId="0" fontId="18" fillId="16" borderId="0"/>
    <xf numFmtId="0" fontId="18" fillId="17" borderId="0"/>
    <xf numFmtId="0" fontId="18" fillId="18" borderId="0"/>
    <xf numFmtId="0" fontId="18" fillId="19" borderId="0"/>
    <xf numFmtId="0" fontId="18" fillId="20" borderId="0"/>
    <xf numFmtId="0" fontId="18" fillId="21" borderId="0"/>
    <xf numFmtId="0" fontId="18" fillId="16" borderId="0"/>
    <xf numFmtId="0" fontId="18" fillId="17" borderId="0"/>
    <xf numFmtId="0" fontId="18" fillId="22" borderId="0"/>
    <xf numFmtId="0" fontId="19" fillId="6" borderId="0"/>
    <xf numFmtId="0" fontId="20" fillId="4" borderId="16" applyAlignment="1">
      <alignment horizontal="center"/>
    </xf>
    <xf numFmtId="0" fontId="21" fillId="23" borderId="19"/>
    <xf numFmtId="0" fontId="22" fillId="24" borderId="20"/>
    <xf numFmtId="43" fontId="44" fillId="0" borderId="0"/>
    <xf numFmtId="43" fontId="44" fillId="0" borderId="0"/>
    <xf numFmtId="43" fontId="44" fillId="0" borderId="0"/>
    <xf numFmtId="43" fontId="44" fillId="0" borderId="0"/>
    <xf numFmtId="43" fontId="44" fillId="0" borderId="0"/>
    <xf numFmtId="3" fontId="44" fillId="0" borderId="0"/>
    <xf numFmtId="3" fontId="44" fillId="0" borderId="0"/>
    <xf numFmtId="44" fontId="44" fillId="0" borderId="0"/>
    <xf numFmtId="44" fontId="44" fillId="0" borderId="0"/>
    <xf numFmtId="44" fontId="44" fillId="0" borderId="0"/>
    <xf numFmtId="44" fontId="44" fillId="0" borderId="0"/>
    <xf numFmtId="170" fontId="44" fillId="0" borderId="0"/>
    <xf numFmtId="170" fontId="44" fillId="0" borderId="0"/>
    <xf numFmtId="14" fontId="44" fillId="0" borderId="0"/>
    <xf numFmtId="14" fontId="44" fillId="0" borderId="0"/>
    <xf numFmtId="0" fontId="23" fillId="0" borderId="0"/>
    <xf numFmtId="2" fontId="44" fillId="0" borderId="0"/>
    <xf numFmtId="2" fontId="44" fillId="0" borderId="0"/>
    <xf numFmtId="0" fontId="24" fillId="7" borderId="0"/>
    <xf numFmtId="0" fontId="25" fillId="0" borderId="21"/>
    <xf numFmtId="0" fontId="26" fillId="0" borderId="22"/>
    <xf numFmtId="0" fontId="27" fillId="0" borderId="23"/>
    <xf numFmtId="0" fontId="27" fillId="0" borderId="0"/>
    <xf numFmtId="0" fontId="28" fillId="0" borderId="0" applyAlignment="1" applyProtection="1">
      <alignment vertical="top"/>
      <protection locked="0" hidden="0"/>
    </xf>
    <xf numFmtId="0" fontId="29" fillId="10" borderId="19"/>
    <xf numFmtId="0" fontId="30" fillId="0" borderId="24"/>
    <xf numFmtId="0" fontId="31" fillId="25" borderId="0"/>
    <xf numFmtId="0" fontId="2" fillId="0" borderId="0"/>
    <xf numFmtId="0" fontId="17" fillId="26" borderId="25"/>
    <xf numFmtId="0" fontId="32" fillId="23" borderId="26"/>
    <xf numFmtId="9" fontId="44" fillId="0" borderId="0"/>
    <xf numFmtId="9" fontId="44" fillId="0" borderId="0"/>
    <xf numFmtId="9" fontId="44" fillId="0" borderId="0"/>
    <xf numFmtId="9" fontId="44" fillId="0" borderId="0"/>
    <xf numFmtId="0" fontId="33" fillId="0" borderId="0"/>
    <xf numFmtId="0" fontId="34" fillId="0" borderId="27"/>
    <xf numFmtId="0" fontId="35" fillId="0" borderId="0"/>
    <xf numFmtId="165" fontId="8" fillId="0" borderId="0"/>
    <xf numFmtId="43" fontId="2" fillId="0" borderId="0"/>
    <xf numFmtId="43" fontId="44" fillId="0" borderId="0"/>
    <xf numFmtId="0" fontId="28" fillId="0" borderId="0" applyAlignment="1" applyProtection="1">
      <alignment vertical="top"/>
      <protection locked="0" hidden="0"/>
    </xf>
    <xf numFmtId="0" fontId="36" fillId="0" borderId="0" applyAlignment="1" applyProtection="1">
      <alignment vertical="top"/>
      <protection locked="0" hidden="0"/>
    </xf>
    <xf numFmtId="164" fontId="3" fillId="2" borderId="0" applyProtection="1">
      <protection locked="0" hidden="0"/>
    </xf>
    <xf numFmtId="0" fontId="37" fillId="0" borderId="18" applyAlignment="1">
      <alignment vertical="center"/>
    </xf>
    <xf numFmtId="0" fontId="38" fillId="0" borderId="0"/>
    <xf numFmtId="0" fontId="2" fillId="0" borderId="0"/>
    <xf numFmtId="0" fontId="39" fillId="0" borderId="0"/>
    <xf numFmtId="0" fontId="2" fillId="0" borderId="0"/>
    <xf numFmtId="0" fontId="2" fillId="0" borderId="0"/>
    <xf numFmtId="0" fontId="44" fillId="0" borderId="0"/>
    <xf numFmtId="0" fontId="2" fillId="0" borderId="0"/>
    <xf numFmtId="0" fontId="2" fillId="0" borderId="0"/>
    <xf numFmtId="0" fontId="44" fillId="0" borderId="0"/>
    <xf numFmtId="0" fontId="2" fillId="0" borderId="0"/>
    <xf numFmtId="0" fontId="44" fillId="0" borderId="0"/>
    <xf numFmtId="165" fontId="8" fillId="0" borderId="0"/>
    <xf numFmtId="0" fontId="44" fillId="0" borderId="0"/>
    <xf numFmtId="44" fontId="2" fillId="0" borderId="0"/>
    <xf numFmtId="165" fontId="15" fillId="2" borderId="1" applyAlignment="1">
      <alignment horizontal="left"/>
    </xf>
    <xf numFmtId="9" fontId="8" fillId="0" borderId="0"/>
    <xf numFmtId="0" fontId="2" fillId="0" borderId="0"/>
    <xf numFmtId="43" fontId="8" fillId="0" borderId="0"/>
    <xf numFmtId="44" fontId="8" fillId="0" borderId="0"/>
    <xf numFmtId="0" fontId="2" fillId="0" borderId="0"/>
    <xf numFmtId="0" fontId="2" fillId="0" borderId="0"/>
    <xf numFmtId="0" fontId="2" fillId="0" borderId="0"/>
    <xf numFmtId="44" fontId="2" fillId="0" borderId="0"/>
    <xf numFmtId="0" fontId="2" fillId="0" borderId="0"/>
    <xf numFmtId="0" fontId="2" fillId="0" borderId="0"/>
    <xf numFmtId="0" fontId="40" fillId="0" borderId="0"/>
    <xf numFmtId="0" fontId="40" fillId="0" borderId="0"/>
    <xf numFmtId="165" fontId="15" fillId="2" borderId="1" applyAlignment="1">
      <alignment horizontal="left"/>
    </xf>
    <xf numFmtId="165" fontId="15" fillId="2" borderId="1" applyAlignment="1">
      <alignment horizontal="left"/>
    </xf>
    <xf numFmtId="165" fontId="15" fillId="2" borderId="1" applyAlignment="1">
      <alignment horizontal="left"/>
    </xf>
    <xf numFmtId="0" fontId="8" fillId="0" borderId="0"/>
    <xf numFmtId="43" fontId="44" fillId="0" borderId="0"/>
  </cellStyleXfs>
  <cellXfs count="944">
    <xf numFmtId="0" fontId="0" fillId="0" borderId="0" pivotButton="0" quotePrefix="0" xfId="0"/>
    <xf numFmtId="0" fontId="0" fillId="0" borderId="4" pivotButton="0" quotePrefix="0" xfId="0"/>
    <xf numFmtId="0" fontId="0" fillId="0" borderId="5" pivotButton="0" quotePrefix="0" xfId="0"/>
    <xf numFmtId="0" fontId="11" fillId="0" borderId="6" pivotButton="0" quotePrefix="0" xfId="0"/>
    <xf numFmtId="0" fontId="11" fillId="0" borderId="0" pivotButton="0" quotePrefix="0" xfId="0"/>
    <xf numFmtId="0" fontId="0" fillId="0" borderId="6" pivotButton="0" quotePrefix="0" xfId="0"/>
    <xf numFmtId="0" fontId="12" fillId="0" borderId="0" pivotButton="0" quotePrefix="0" xfId="0"/>
    <xf numFmtId="0" fontId="12" fillId="3" borderId="6" applyAlignment="1" pivotButton="0" quotePrefix="0" xfId="0">
      <alignment horizontal="left"/>
    </xf>
    <xf numFmtId="0" fontId="0" fillId="3" borderId="0" pivotButton="0" quotePrefix="0" xfId="0"/>
    <xf numFmtId="0" fontId="0" fillId="3" borderId="5" pivotButton="0" quotePrefix="0" xfId="0"/>
    <xf numFmtId="0" fontId="13" fillId="3" borderId="6" pivotButton="0" quotePrefix="0" xfId="0"/>
    <xf numFmtId="0" fontId="0" fillId="3" borderId="6" pivotButton="0" quotePrefix="0" xfId="0"/>
    <xf numFmtId="0" fontId="0" fillId="3" borderId="7" applyProtection="1" pivotButton="0" quotePrefix="0" xfId="0">
      <protection locked="0" hidden="0"/>
    </xf>
    <xf numFmtId="0" fontId="0" fillId="3" borderId="8" applyProtection="1" pivotButton="0" quotePrefix="0" xfId="0">
      <protection locked="0" hidden="0"/>
    </xf>
    <xf numFmtId="0" fontId="0" fillId="3" borderId="9" applyProtection="1" pivotButton="0" quotePrefix="0" xfId="0">
      <protection locked="0" hidden="0"/>
    </xf>
    <xf numFmtId="0" fontId="0" fillId="0" borderId="0" applyProtection="1" pivotButton="0" quotePrefix="0" xfId="0">
      <protection locked="0" hidden="0"/>
    </xf>
    <xf numFmtId="2" fontId="5" fillId="0" borderId="28" applyAlignment="1" pivotButton="0" quotePrefix="0" xfId="0">
      <alignment horizontal="right"/>
    </xf>
    <xf numFmtId="2" fontId="5" fillId="0" borderId="0" applyAlignment="1" pivotButton="0" quotePrefix="0" xfId="1">
      <alignment horizontal="right"/>
    </xf>
    <xf numFmtId="2" fontId="5" fillId="0" borderId="3" applyAlignment="1" pivotButton="0" quotePrefix="0" xfId="0">
      <alignment horizontal="right"/>
    </xf>
    <xf numFmtId="2" fontId="5" fillId="0" borderId="31" applyAlignment="1" pivotButton="0" quotePrefix="0" xfId="1">
      <alignment horizontal="right"/>
    </xf>
    <xf numFmtId="2" fontId="5" fillId="0" borderId="31" applyAlignment="1" pivotButton="0" quotePrefix="0" xfId="0">
      <alignment horizontal="right"/>
    </xf>
    <xf numFmtId="2" fontId="5" fillId="0" borderId="33" applyAlignment="1" pivotButton="0" quotePrefix="0" xfId="0">
      <alignment horizontal="right"/>
    </xf>
    <xf numFmtId="0" fontId="5" fillId="0" borderId="0" applyAlignment="1" pivotButton="0" quotePrefix="0" xfId="5">
      <alignment horizontal="left"/>
    </xf>
    <xf numFmtId="0" fontId="5" fillId="0" borderId="2" pivotButton="0" quotePrefix="0" xfId="5"/>
    <xf numFmtId="0" fontId="4" fillId="0" borderId="0" pivotButton="0" quotePrefix="0" xfId="5"/>
    <xf numFmtId="0" fontId="5" fillId="0" borderId="0" pivotButton="0" quotePrefix="0" xfId="5"/>
    <xf numFmtId="0" fontId="5" fillId="0" borderId="31" applyAlignment="1" pivotButton="0" quotePrefix="0" xfId="5">
      <alignment horizontal="left" vertical="center"/>
    </xf>
    <xf numFmtId="0" fontId="41" fillId="0" borderId="31" applyAlignment="1" pivotButton="0" quotePrefix="0" xfId="5">
      <alignment horizontal="center" vertical="center"/>
    </xf>
    <xf numFmtId="0" fontId="41" fillId="0" borderId="28" applyAlignment="1" pivotButton="0" quotePrefix="0" xfId="5">
      <alignment horizontal="center" vertical="center"/>
    </xf>
    <xf numFmtId="0" fontId="0" fillId="0" borderId="15" pivotButton="0" quotePrefix="0" xfId="0"/>
    <xf numFmtId="0" fontId="4" fillId="0" borderId="31" applyAlignment="1" pivotButton="0" quotePrefix="0" xfId="5">
      <alignment horizontal="left" vertical="center"/>
    </xf>
    <xf numFmtId="0" fontId="0" fillId="0" borderId="35" pivotButton="0" quotePrefix="0" xfId="0"/>
    <xf numFmtId="0" fontId="5" fillId="0" borderId="35" applyAlignment="1" pivotButton="0" quotePrefix="0" xfId="5">
      <alignment horizontal="left"/>
    </xf>
    <xf numFmtId="2" fontId="7" fillId="0" borderId="31" pivotButton="0" quotePrefix="0" xfId="116"/>
    <xf numFmtId="2" fontId="7" fillId="0" borderId="0" pivotButton="0" quotePrefix="0" xfId="116"/>
    <xf numFmtId="2" fontId="7" fillId="0" borderId="28" pivotButton="0" quotePrefix="0" xfId="116"/>
    <xf numFmtId="0" fontId="4" fillId="0" borderId="35" applyAlignment="1" pivotButton="0" quotePrefix="0" xfId="5">
      <alignment horizontal="left"/>
    </xf>
    <xf numFmtId="2" fontId="0" fillId="0" borderId="0" pivotButton="0" quotePrefix="0" xfId="0"/>
    <xf numFmtId="2" fontId="0" fillId="0" borderId="35" pivotButton="0" quotePrefix="0" xfId="0"/>
    <xf numFmtId="0" fontId="5" fillId="0" borderId="12" applyAlignment="1" pivotButton="0" quotePrefix="0" xfId="5">
      <alignment horizontal="left"/>
    </xf>
    <xf numFmtId="0" fontId="5" fillId="0" borderId="12" pivotButton="0" quotePrefix="0" xfId="0"/>
    <xf numFmtId="2" fontId="7" fillId="0" borderId="31" pivotButton="0" quotePrefix="0" xfId="1"/>
    <xf numFmtId="2" fontId="5" fillId="0" borderId="16" applyAlignment="1" pivotButton="0" quotePrefix="0" xfId="1">
      <alignment horizontal="right"/>
    </xf>
    <xf numFmtId="2" fontId="5" fillId="0" borderId="12" pivotButton="0" quotePrefix="0" xfId="0"/>
    <xf numFmtId="164" fontId="0" fillId="0" borderId="35" pivotButton="0" quotePrefix="0" xfId="0"/>
    <xf numFmtId="0" fontId="5" fillId="0" borderId="12" pivotButton="0" quotePrefix="0" xfId="5"/>
    <xf numFmtId="0" fontId="4" fillId="0" borderId="35" pivotButton="0" quotePrefix="0" xfId="5"/>
    <xf numFmtId="0" fontId="5" fillId="0" borderId="15" pivotButton="0" quotePrefix="0" xfId="5"/>
    <xf numFmtId="2" fontId="7" fillId="0" borderId="32" pivotButton="0" quotePrefix="0" xfId="116"/>
    <xf numFmtId="0" fontId="5" fillId="0" borderId="35" pivotButton="0" quotePrefix="0" xfId="5"/>
    <xf numFmtId="165" fontId="5" fillId="0" borderId="14" applyAlignment="1" pivotButton="0" quotePrefix="0" xfId="5">
      <alignment horizontal="left"/>
    </xf>
    <xf numFmtId="0" fontId="5" fillId="0" borderId="15" applyAlignment="1" pivotButton="0" quotePrefix="0" xfId="5">
      <alignment horizontal="left"/>
    </xf>
    <xf numFmtId="2" fontId="9" fillId="0" borderId="32" pivotButton="0" quotePrefix="0" xfId="116"/>
    <xf numFmtId="0" fontId="5" fillId="0" borderId="14" applyAlignment="1" pivotButton="0" quotePrefix="0" xfId="5">
      <alignment horizontal="left"/>
    </xf>
    <xf numFmtId="166" fontId="5" fillId="0" borderId="31" applyAlignment="1" pivotButton="0" quotePrefix="0" xfId="1">
      <alignment horizontal="right"/>
    </xf>
    <xf numFmtId="0" fontId="42" fillId="0" borderId="0" applyAlignment="1" pivotButton="0" quotePrefix="0" xfId="5">
      <alignment horizontal="left"/>
    </xf>
    <xf numFmtId="0" fontId="42" fillId="0" borderId="0" pivotButton="0" quotePrefix="0" xfId="0"/>
    <xf numFmtId="0" fontId="43" fillId="0" borderId="0" applyAlignment="1" pivotButton="0" quotePrefix="0" xfId="0">
      <alignment horizontal="left"/>
    </xf>
    <xf numFmtId="2" fontId="7" fillId="0" borderId="29" pivotButton="0" quotePrefix="0" xfId="116"/>
    <xf numFmtId="2" fontId="7" fillId="0" borderId="30" pivotButton="0" quotePrefix="0" xfId="116"/>
    <xf numFmtId="0" fontId="41" fillId="0" borderId="39" applyAlignment="1" pivotButton="0" quotePrefix="0" xfId="5">
      <alignment horizontal="right" vertical="center"/>
    </xf>
    <xf numFmtId="0" fontId="41" fillId="0" borderId="40" applyAlignment="1" pivotButton="0" quotePrefix="0" xfId="5">
      <alignment horizontal="right" vertical="center"/>
    </xf>
    <xf numFmtId="2" fontId="4" fillId="0" borderId="0" pivotButton="0" quotePrefix="0" xfId="0"/>
    <xf numFmtId="0" fontId="4" fillId="0" borderId="0" pivotButton="0" quotePrefix="0" xfId="0"/>
    <xf numFmtId="2" fontId="5" fillId="27" borderId="29" applyAlignment="1" pivotButton="0" quotePrefix="0" xfId="1">
      <alignment horizontal="right"/>
    </xf>
    <xf numFmtId="2" fontId="5" fillId="27" borderId="0" applyAlignment="1" pivotButton="0" quotePrefix="0" xfId="1">
      <alignment horizontal="right"/>
    </xf>
    <xf numFmtId="2" fontId="5" fillId="27" borderId="34" applyAlignment="1" pivotButton="0" quotePrefix="0" xfId="1">
      <alignment horizontal="right"/>
    </xf>
    <xf numFmtId="0" fontId="4" fillId="28" borderId="35" applyAlignment="1" pivotButton="0" quotePrefix="0" xfId="5">
      <alignment horizontal="left"/>
    </xf>
    <xf numFmtId="2" fontId="7" fillId="28" borderId="31" applyProtection="1" pivotButton="0" quotePrefix="0" xfId="116">
      <protection locked="0" hidden="0"/>
    </xf>
    <xf numFmtId="2" fontId="7" fillId="28" borderId="31" applyProtection="1" pivotButton="0" quotePrefix="0" xfId="1">
      <protection locked="0" hidden="0"/>
    </xf>
    <xf numFmtId="0" fontId="5" fillId="28" borderId="12" applyAlignment="1" pivotButton="0" quotePrefix="0" xfId="5">
      <alignment horizontal="left"/>
    </xf>
    <xf numFmtId="2" fontId="5" fillId="28" borderId="16" applyAlignment="1" pivotButton="0" quotePrefix="0" xfId="0">
      <alignment horizontal="right"/>
    </xf>
    <xf numFmtId="2" fontId="7" fillId="28" borderId="31" pivotButton="0" quotePrefix="0" xfId="116"/>
    <xf numFmtId="0" fontId="5" fillId="28" borderId="35" applyAlignment="1" pivotButton="0" quotePrefix="0" xfId="5">
      <alignment horizontal="left"/>
    </xf>
    <xf numFmtId="2" fontId="7" fillId="28" borderId="31" pivotButton="0" quotePrefix="0" xfId="0"/>
    <xf numFmtId="2" fontId="7" fillId="28" borderId="31" pivotButton="0" quotePrefix="0" xfId="1"/>
    <xf numFmtId="2" fontId="7" fillId="28" borderId="28" pivotButton="0" quotePrefix="0" xfId="1"/>
    <xf numFmtId="2" fontId="7" fillId="28" borderId="31" applyAlignment="1" pivotButton="0" quotePrefix="0" xfId="0">
      <alignment horizontal="right"/>
    </xf>
    <xf numFmtId="2" fontId="5" fillId="28" borderId="16" applyAlignment="1" pivotButton="0" quotePrefix="0" xfId="1">
      <alignment horizontal="right"/>
    </xf>
    <xf numFmtId="164" fontId="14" fillId="28" borderId="31" applyProtection="1" pivotButton="0" quotePrefix="0" xfId="2">
      <protection locked="0" hidden="0"/>
    </xf>
    <xf numFmtId="164" fontId="7" fillId="28" borderId="31" applyProtection="1" pivotButton="0" quotePrefix="0" xfId="1">
      <protection locked="0" hidden="0"/>
    </xf>
    <xf numFmtId="164" fontId="7" fillId="28" borderId="31" applyProtection="1" pivotButton="0" quotePrefix="0" xfId="2">
      <protection locked="0" hidden="0"/>
    </xf>
    <xf numFmtId="164" fontId="14" fillId="28" borderId="31" applyProtection="1" pivotButton="0" quotePrefix="0" xfId="1">
      <protection locked="0" hidden="0"/>
    </xf>
    <xf numFmtId="0" fontId="41" fillId="28" borderId="31" applyAlignment="1" pivotButton="0" quotePrefix="0" xfId="5">
      <alignment horizontal="center" vertical="center"/>
    </xf>
    <xf numFmtId="0" fontId="4" fillId="28" borderId="31" applyAlignment="1" pivotButton="0" quotePrefix="0" xfId="5">
      <alignment horizontal="left" vertical="center"/>
    </xf>
    <xf numFmtId="2" fontId="7" fillId="28" borderId="28" pivotButton="0" quotePrefix="0" xfId="116"/>
    <xf numFmtId="2" fontId="7" fillId="28" borderId="32" pivotButton="0" quotePrefix="0" xfId="116"/>
    <xf numFmtId="2" fontId="7" fillId="28" borderId="29" pivotButton="0" quotePrefix="0" xfId="116"/>
    <xf numFmtId="2" fontId="7" fillId="28" borderId="30" pivotButton="0" quotePrefix="0" xfId="116"/>
    <xf numFmtId="0" fontId="5" fillId="28" borderId="12" pivotButton="0" quotePrefix="0" xfId="5"/>
    <xf numFmtId="0" fontId="4" fillId="28" borderId="35" pivotButton="0" quotePrefix="0" xfId="5"/>
    <xf numFmtId="2" fontId="5" fillId="28" borderId="31" applyAlignment="1" pivotButton="0" quotePrefix="0" xfId="1">
      <alignment horizontal="right"/>
    </xf>
    <xf numFmtId="2" fontId="5" fillId="28" borderId="0" applyAlignment="1" pivotButton="0" quotePrefix="0" xfId="1">
      <alignment horizontal="right"/>
    </xf>
    <xf numFmtId="0" fontId="5" fillId="28" borderId="15" pivotButton="0" quotePrefix="0" xfId="5"/>
    <xf numFmtId="164" fontId="14" fillId="28" borderId="30" pivotButton="0" quotePrefix="0" xfId="2"/>
    <xf numFmtId="2" fontId="5" fillId="28" borderId="31" applyAlignment="1" pivotButton="0" quotePrefix="0" xfId="0">
      <alignment horizontal="right"/>
    </xf>
    <xf numFmtId="0" fontId="5" fillId="28" borderId="15" applyAlignment="1" pivotButton="0" quotePrefix="0" xfId="5">
      <alignment horizontal="left"/>
    </xf>
    <xf numFmtId="2" fontId="7" fillId="28" borderId="33" applyProtection="1" pivotButton="0" quotePrefix="0" xfId="1">
      <protection locked="0" hidden="0"/>
    </xf>
    <xf numFmtId="2" fontId="7" fillId="28" borderId="0" pivotButton="0" quotePrefix="0" xfId="116"/>
    <xf numFmtId="2" fontId="5" fillId="0" borderId="35" applyAlignment="1" pivotButton="0" quotePrefix="0" xfId="0">
      <alignment horizontal="right"/>
    </xf>
    <xf numFmtId="2" fontId="5" fillId="0" borderId="14" applyAlignment="1" pivotButton="0" quotePrefix="0" xfId="0">
      <alignment horizontal="right"/>
    </xf>
    <xf numFmtId="2" fontId="5" fillId="28" borderId="3" applyAlignment="1" pivotButton="0" quotePrefix="0" xfId="0">
      <alignment horizontal="right"/>
    </xf>
    <xf numFmtId="2" fontId="5" fillId="28" borderId="34" applyAlignment="1" pivotButton="0" quotePrefix="0" xfId="1">
      <alignment horizontal="right"/>
    </xf>
    <xf numFmtId="167" fontId="7" fillId="28" borderId="32" pivotButton="0" quotePrefix="0" xfId="3"/>
    <xf numFmtId="167" fontId="7" fillId="28" borderId="29" pivotButton="0" quotePrefix="0" xfId="4"/>
    <xf numFmtId="2" fontId="5" fillId="28" borderId="35" applyAlignment="1" pivotButton="0" quotePrefix="0" xfId="0">
      <alignment horizontal="right"/>
    </xf>
    <xf numFmtId="2" fontId="5" fillId="0" borderId="12" applyAlignment="1" pivotButton="0" quotePrefix="0" xfId="1">
      <alignment horizontal="right"/>
    </xf>
    <xf numFmtId="2" fontId="5" fillId="28" borderId="29" applyAlignment="1" pivotButton="0" quotePrefix="0" xfId="1">
      <alignment horizontal="right"/>
    </xf>
    <xf numFmtId="166" fontId="5" fillId="0" borderId="33" applyAlignment="1" pivotButton="0" quotePrefix="0" xfId="0">
      <alignment horizontal="right"/>
    </xf>
    <xf numFmtId="165" fontId="5" fillId="0" borderId="31" applyAlignment="1" pivotButton="0" quotePrefix="0" xfId="0">
      <alignment horizontal="right"/>
    </xf>
    <xf numFmtId="0" fontId="4" fillId="28" borderId="31" applyAlignment="1" pivotButton="0" quotePrefix="0" xfId="5">
      <alignment horizontal="left"/>
    </xf>
    <xf numFmtId="0" fontId="5" fillId="28" borderId="31" applyAlignment="1" pivotButton="0" quotePrefix="0" xfId="5">
      <alignment horizontal="left"/>
    </xf>
    <xf numFmtId="0" fontId="5" fillId="28" borderId="16" applyAlignment="1" pivotButton="0" quotePrefix="0" xfId="5">
      <alignment horizontal="left"/>
    </xf>
    <xf numFmtId="0" fontId="4" fillId="0" borderId="31" applyAlignment="1" pivotButton="0" quotePrefix="0" xfId="5">
      <alignment horizontal="left"/>
    </xf>
    <xf numFmtId="0" fontId="5" fillId="0" borderId="16" pivotButton="0" quotePrefix="0" xfId="5"/>
    <xf numFmtId="0" fontId="4" fillId="0" borderId="31" pivotButton="0" quotePrefix="0" xfId="5"/>
    <xf numFmtId="0" fontId="5" fillId="0" borderId="32" pivotButton="0" quotePrefix="0" xfId="5"/>
    <xf numFmtId="0" fontId="5" fillId="0" borderId="31" applyAlignment="1" pivotButton="0" quotePrefix="0" xfId="5">
      <alignment horizontal="left"/>
    </xf>
    <xf numFmtId="0" fontId="41" fillId="28" borderId="12" applyAlignment="1" pivotButton="0" quotePrefix="0" xfId="5">
      <alignment horizontal="right" vertical="center"/>
    </xf>
    <xf numFmtId="2" fontId="7" fillId="28" borderId="35" pivotButton="0" quotePrefix="0" xfId="116"/>
    <xf numFmtId="2" fontId="7" fillId="28" borderId="35" applyProtection="1" pivotButton="0" quotePrefix="0" xfId="116">
      <protection locked="0" hidden="0"/>
    </xf>
    <xf numFmtId="2" fontId="7" fillId="28" borderId="35" applyProtection="1" pivotButton="0" quotePrefix="0" xfId="1">
      <protection locked="0" hidden="0"/>
    </xf>
    <xf numFmtId="2" fontId="5" fillId="28" borderId="15" applyAlignment="1" pivotButton="0" quotePrefix="0" xfId="0">
      <alignment horizontal="right"/>
    </xf>
    <xf numFmtId="2" fontId="7" fillId="28" borderId="15" pivotButton="0" quotePrefix="0" xfId="116"/>
    <xf numFmtId="2" fontId="7" fillId="28" borderId="35" pivotButton="0" quotePrefix="0" xfId="0"/>
    <xf numFmtId="2" fontId="7" fillId="28" borderId="35" pivotButton="0" quotePrefix="0" xfId="1"/>
    <xf numFmtId="2" fontId="7" fillId="28" borderId="35" applyAlignment="1" pivotButton="0" quotePrefix="0" xfId="0">
      <alignment horizontal="right"/>
    </xf>
    <xf numFmtId="2" fontId="7" fillId="28" borderId="14" pivotButton="0" quotePrefix="0" xfId="0"/>
    <xf numFmtId="2" fontId="5" fillId="28" borderId="14" applyAlignment="1" pivotButton="0" quotePrefix="0" xfId="1">
      <alignment horizontal="right"/>
    </xf>
    <xf numFmtId="164" fontId="14" fillId="28" borderId="35" applyProtection="1" pivotButton="0" quotePrefix="0" xfId="2">
      <protection locked="0" hidden="0"/>
    </xf>
    <xf numFmtId="164" fontId="7" fillId="28" borderId="35" applyProtection="1" pivotButton="0" quotePrefix="0" xfId="1">
      <protection locked="0" hidden="0"/>
    </xf>
    <xf numFmtId="164" fontId="7" fillId="28" borderId="35" applyProtection="1" pivotButton="0" quotePrefix="0" xfId="2">
      <protection locked="0" hidden="0"/>
    </xf>
    <xf numFmtId="164" fontId="14" fillId="28" borderId="35" applyProtection="1" pivotButton="0" quotePrefix="0" xfId="1">
      <protection locked="0" hidden="0"/>
    </xf>
    <xf numFmtId="2" fontId="5" fillId="28" borderId="12" applyAlignment="1" pivotButton="0" quotePrefix="0" xfId="1">
      <alignment horizontal="right"/>
    </xf>
    <xf numFmtId="2" fontId="7" fillId="0" borderId="35" pivotButton="0" quotePrefix="0" xfId="1"/>
    <xf numFmtId="2" fontId="5" fillId="0" borderId="35" applyAlignment="1" pivotButton="0" quotePrefix="0" xfId="1">
      <alignment horizontal="right"/>
    </xf>
    <xf numFmtId="2" fontId="7" fillId="0" borderId="15" pivotButton="0" quotePrefix="0" xfId="116"/>
    <xf numFmtId="2" fontId="9" fillId="0" borderId="15" pivotButton="0" quotePrefix="0" xfId="116"/>
    <xf numFmtId="166" fontId="5" fillId="0" borderId="35" applyAlignment="1" pivotButton="0" quotePrefix="0" xfId="1">
      <alignment horizontal="right"/>
    </xf>
    <xf numFmtId="2" fontId="5" fillId="27" borderId="15" applyAlignment="1" pivotButton="0" quotePrefix="0" xfId="1">
      <alignment horizontal="right"/>
    </xf>
    <xf numFmtId="2" fontId="5" fillId="27" borderId="35" applyAlignment="1" pivotButton="0" quotePrefix="0" xfId="1">
      <alignment horizontal="right"/>
    </xf>
    <xf numFmtId="2" fontId="5" fillId="27" borderId="14" applyAlignment="1" pivotButton="0" quotePrefix="0" xfId="1">
      <alignment horizontal="right"/>
    </xf>
    <xf numFmtId="0" fontId="5" fillId="28" borderId="16" applyAlignment="1" pivotButton="0" quotePrefix="0" xfId="5">
      <alignment horizontal="left" vertical="center"/>
    </xf>
    <xf numFmtId="0" fontId="0" fillId="29" borderId="0" pivotButton="0" quotePrefix="0" xfId="0"/>
    <xf numFmtId="0" fontId="4" fillId="0" borderId="0" applyAlignment="1" pivotButton="0" quotePrefix="0" xfId="0">
      <alignment wrapText="1"/>
    </xf>
    <xf numFmtId="0" fontId="4" fillId="0" borderId="0" applyAlignment="1" pivotButton="0" quotePrefix="0" xfId="0">
      <alignment vertical="top" wrapText="1"/>
    </xf>
    <xf numFmtId="0" fontId="4" fillId="0" borderId="0" applyAlignment="1" pivotButton="0" quotePrefix="0" xfId="0">
      <alignment horizontal="left" vertical="top" wrapText="1"/>
    </xf>
    <xf numFmtId="0" fontId="47" fillId="0" borderId="0" pivotButton="0" quotePrefix="0" xfId="0"/>
    <xf numFmtId="0" fontId="48" fillId="0" borderId="0" pivotButton="0" quotePrefix="0" xfId="0"/>
    <xf numFmtId="0" fontId="49" fillId="0" borderId="0" pivotButton="0" quotePrefix="0" xfId="0"/>
    <xf numFmtId="0" fontId="5" fillId="28" borderId="2" pivotButton="0" quotePrefix="0" xfId="5"/>
    <xf numFmtId="0" fontId="5" fillId="28" borderId="0" pivotButton="0" quotePrefix="0" xfId="5"/>
    <xf numFmtId="0" fontId="5" fillId="0" borderId="0" pivotButton="0" quotePrefix="0" xfId="0"/>
    <xf numFmtId="0" fontId="5" fillId="28" borderId="12" applyAlignment="1" pivotButton="0" quotePrefix="0" xfId="5">
      <alignment horizontal="left" vertical="center"/>
    </xf>
    <xf numFmtId="0" fontId="5" fillId="28" borderId="35" applyAlignment="1" pivotButton="0" quotePrefix="0" xfId="5">
      <alignment horizontal="left" vertical="center"/>
    </xf>
    <xf numFmtId="0" fontId="4" fillId="28" borderId="35" applyAlignment="1" pivotButton="0" quotePrefix="0" xfId="5">
      <alignment horizontal="left" vertical="center"/>
    </xf>
    <xf numFmtId="0" fontId="41" fillId="28" borderId="35" applyAlignment="1" pivotButton="0" quotePrefix="0" xfId="5">
      <alignment horizontal="right" vertical="center"/>
    </xf>
    <xf numFmtId="0" fontId="41" fillId="0" borderId="31" applyAlignment="1" pivotButton="0" quotePrefix="0" xfId="5">
      <alignment horizontal="right" vertical="center"/>
    </xf>
    <xf numFmtId="2" fontId="5" fillId="28" borderId="12" applyAlignment="1" pivotButton="0" quotePrefix="0" xfId="0">
      <alignment horizontal="right"/>
    </xf>
    <xf numFmtId="2" fontId="5" fillId="28" borderId="35" applyAlignment="1" pivotButton="0" quotePrefix="0" xfId="1">
      <alignment horizontal="right"/>
    </xf>
    <xf numFmtId="2" fontId="5" fillId="28" borderId="14" applyAlignment="1" pivotButton="0" quotePrefix="0" xfId="0">
      <alignment horizontal="right"/>
    </xf>
    <xf numFmtId="2" fontId="9" fillId="28" borderId="15" pivotButton="0" quotePrefix="0" xfId="116"/>
    <xf numFmtId="43" fontId="5" fillId="0" borderId="28" applyAlignment="1" pivotButton="0" quotePrefix="0" xfId="42">
      <alignment horizontal="right"/>
    </xf>
    <xf numFmtId="43" fontId="5" fillId="0" borderId="35" applyAlignment="1" pivotButton="0" quotePrefix="0" xfId="42">
      <alignment horizontal="right"/>
    </xf>
    <xf numFmtId="0" fontId="5" fillId="28" borderId="14" applyAlignment="1" pivotButton="0" quotePrefix="0" xfId="5">
      <alignment horizontal="left"/>
    </xf>
    <xf numFmtId="43" fontId="5" fillId="0" borderId="3" applyAlignment="1" pivotButton="0" quotePrefix="0" xfId="42">
      <alignment horizontal="right"/>
    </xf>
    <xf numFmtId="43" fontId="5" fillId="0" borderId="14" applyAlignment="1" pivotButton="0" quotePrefix="0" xfId="42">
      <alignment horizontal="right"/>
    </xf>
    <xf numFmtId="166" fontId="5" fillId="28" borderId="35" applyAlignment="1" pivotButton="0" quotePrefix="0" xfId="1">
      <alignment horizontal="right"/>
    </xf>
    <xf numFmtId="0" fontId="42" fillId="30" borderId="0" applyAlignment="1" pivotButton="0" quotePrefix="0" xfId="5">
      <alignment horizontal="left"/>
    </xf>
    <xf numFmtId="2" fontId="5" fillId="31" borderId="29" applyAlignment="1" pivotButton="0" quotePrefix="0" xfId="1">
      <alignment horizontal="right"/>
    </xf>
    <xf numFmtId="0" fontId="5" fillId="28" borderId="35" pivotButton="0" quotePrefix="0" xfId="5"/>
    <xf numFmtId="2" fontId="5" fillId="31" borderId="0" applyAlignment="1" pivotButton="0" quotePrefix="0" xfId="1">
      <alignment horizontal="right"/>
    </xf>
    <xf numFmtId="165" fontId="5" fillId="28" borderId="14" applyAlignment="1" pivotButton="0" quotePrefix="0" xfId="5">
      <alignment horizontal="left"/>
    </xf>
    <xf numFmtId="2" fontId="5" fillId="31" borderId="34" applyAlignment="1" pivotButton="0" quotePrefix="0" xfId="1">
      <alignment horizontal="right"/>
    </xf>
    <xf numFmtId="164" fontId="5" fillId="0" borderId="0" pivotButton="0" quotePrefix="0" xfId="5"/>
    <xf numFmtId="0" fontId="43" fillId="30" borderId="0" pivotButton="0" quotePrefix="0" xfId="5"/>
    <xf numFmtId="0" fontId="43" fillId="30" borderId="0" applyAlignment="1" pivotButton="0" quotePrefix="0" xfId="0">
      <alignment horizontal="left"/>
    </xf>
    <xf numFmtId="0" fontId="6" fillId="0" borderId="0" pivotButton="0" quotePrefix="0" xfId="0"/>
    <xf numFmtId="0" fontId="51" fillId="30" borderId="0" pivotButton="0" quotePrefix="0" xfId="0"/>
    <xf numFmtId="0" fontId="5" fillId="0" borderId="12" applyAlignment="1" pivotButton="0" quotePrefix="0" xfId="5">
      <alignment horizontal="left" vertical="center"/>
    </xf>
    <xf numFmtId="0" fontId="5" fillId="0" borderId="35" applyAlignment="1" pivotButton="0" quotePrefix="0" xfId="5">
      <alignment horizontal="left" vertical="center"/>
    </xf>
    <xf numFmtId="0" fontId="4" fillId="0" borderId="35" applyAlignment="1" pivotButton="0" quotePrefix="0" xfId="5">
      <alignment horizontal="left" vertical="center"/>
    </xf>
    <xf numFmtId="0" fontId="41" fillId="0" borderId="35" applyAlignment="1" pivotButton="0" quotePrefix="0" xfId="5">
      <alignment horizontal="right" vertical="center"/>
    </xf>
    <xf numFmtId="43" fontId="5" fillId="0" borderId="31" applyAlignment="1" pivotButton="0" quotePrefix="0" xfId="42">
      <alignment horizontal="right"/>
    </xf>
    <xf numFmtId="43" fontId="5" fillId="0" borderId="33" applyAlignment="1" pivotButton="0" quotePrefix="0" xfId="42">
      <alignment horizontal="right"/>
    </xf>
    <xf numFmtId="0" fontId="41" fillId="0" borderId="0" applyAlignment="1" pivotButton="0" quotePrefix="0" xfId="5">
      <alignment horizontal="right" vertical="center"/>
    </xf>
    <xf numFmtId="164" fontId="7" fillId="28" borderId="14" applyProtection="1" pivotButton="0" quotePrefix="0" xfId="1">
      <protection locked="0" hidden="0"/>
    </xf>
    <xf numFmtId="2" fontId="9" fillId="28" borderId="35" pivotButton="0" quotePrefix="0" xfId="116"/>
    <xf numFmtId="0" fontId="41" fillId="28" borderId="45" applyAlignment="1" pivotButton="0" quotePrefix="0" xfId="5">
      <alignment horizontal="right" vertical="center"/>
    </xf>
    <xf numFmtId="2" fontId="5" fillId="0" borderId="15" applyAlignment="1" pivotButton="0" quotePrefix="0" xfId="1">
      <alignment horizontal="right"/>
    </xf>
    <xf numFmtId="2" fontId="5" fillId="0" borderId="14" applyAlignment="1" pivotButton="0" quotePrefix="0" xfId="1">
      <alignment horizontal="right"/>
    </xf>
    <xf numFmtId="0" fontId="41" fillId="28" borderId="31" applyAlignment="1" pivotButton="0" quotePrefix="0" xfId="5">
      <alignment horizontal="right" vertical="center"/>
    </xf>
    <xf numFmtId="2" fontId="7" fillId="28" borderId="14" applyProtection="1" pivotButton="0" quotePrefix="0" xfId="1">
      <protection locked="0" hidden="0"/>
    </xf>
    <xf numFmtId="0" fontId="4" fillId="28" borderId="14" applyAlignment="1" pivotButton="0" quotePrefix="0" xfId="5">
      <alignment horizontal="left"/>
    </xf>
    <xf numFmtId="0" fontId="4" fillId="28" borderId="15" applyAlignment="1" pivotButton="0" quotePrefix="0" xfId="5">
      <alignment horizontal="left"/>
    </xf>
    <xf numFmtId="164" fontId="14" fillId="28" borderId="15" applyProtection="1" pivotButton="0" quotePrefix="0" xfId="2">
      <protection locked="0" hidden="0"/>
    </xf>
    <xf numFmtId="0" fontId="0" fillId="28" borderId="0" pivotButton="0" quotePrefix="0" xfId="0"/>
    <xf numFmtId="2" fontId="0" fillId="28" borderId="35" pivotButton="0" quotePrefix="0" xfId="0"/>
    <xf numFmtId="0" fontId="0" fillId="28" borderId="35" pivotButton="0" quotePrefix="0" xfId="0"/>
    <xf numFmtId="2" fontId="5" fillId="28" borderId="12" pivotButton="0" quotePrefix="0" xfId="0"/>
    <xf numFmtId="164" fontId="0" fillId="28" borderId="35" pivotButton="0" quotePrefix="0" xfId="0"/>
    <xf numFmtId="166" fontId="7" fillId="4" borderId="28" pivotButton="0" quotePrefix="0" xfId="0"/>
    <xf numFmtId="2" fontId="7" fillId="0" borderId="35" pivotButton="0" quotePrefix="0" xfId="116"/>
    <xf numFmtId="2" fontId="7" fillId="4" borderId="35" pivotButton="0" quotePrefix="0" xfId="0"/>
    <xf numFmtId="2" fontId="7" fillId="4" borderId="35" pivotButton="0" quotePrefix="0" xfId="1"/>
    <xf numFmtId="0" fontId="41" fillId="28" borderId="46" applyAlignment="1" pivotButton="0" quotePrefix="0" xfId="5">
      <alignment horizontal="right" vertical="center"/>
    </xf>
    <xf numFmtId="43" fontId="7" fillId="4" borderId="28" pivotButton="0" quotePrefix="0" xfId="117"/>
    <xf numFmtId="0" fontId="41" fillId="0" borderId="47" applyAlignment="1" pivotButton="0" quotePrefix="0" xfId="5">
      <alignment horizontal="right" vertical="center"/>
    </xf>
    <xf numFmtId="0" fontId="41" fillId="28" borderId="34" applyAlignment="1" pivotButton="0" quotePrefix="0" xfId="5">
      <alignment horizontal="center" vertical="center"/>
    </xf>
    <xf numFmtId="0" fontId="41" fillId="0" borderId="1" applyAlignment="1" pivotButton="0" quotePrefix="0" xfId="5">
      <alignment horizontal="right" vertical="center"/>
    </xf>
    <xf numFmtId="0" fontId="41" fillId="0" borderId="48" applyAlignment="1" pivotButton="0" quotePrefix="0" xfId="5">
      <alignment horizontal="right" vertical="center"/>
    </xf>
    <xf numFmtId="0" fontId="41" fillId="0" borderId="33" applyAlignment="1" pivotButton="0" quotePrefix="0" xfId="5">
      <alignment horizontal="center" vertical="center"/>
    </xf>
    <xf numFmtId="0" fontId="41" fillId="0" borderId="3" applyAlignment="1" pivotButton="0" quotePrefix="0" xfId="5">
      <alignment horizontal="center" vertical="center"/>
    </xf>
    <xf numFmtId="0" fontId="41" fillId="28" borderId="47" applyAlignment="1" pivotButton="0" quotePrefix="0" xfId="5">
      <alignment horizontal="right" vertical="center"/>
    </xf>
    <xf numFmtId="0" fontId="41" fillId="28" borderId="48" applyAlignment="1" pivotButton="0" quotePrefix="0" xfId="5">
      <alignment horizontal="right" vertical="center"/>
    </xf>
    <xf numFmtId="0" fontId="41" fillId="0" borderId="34" applyAlignment="1" pivotButton="0" quotePrefix="0" xfId="5">
      <alignment horizontal="center" vertical="center"/>
    </xf>
    <xf numFmtId="0" fontId="41" fillId="28" borderId="1" applyAlignment="1" pivotButton="0" quotePrefix="0" xfId="5">
      <alignment horizontal="right" vertical="center"/>
    </xf>
    <xf numFmtId="0" fontId="48" fillId="28" borderId="0" pivotButton="0" quotePrefix="0" xfId="0"/>
    <xf numFmtId="0" fontId="52" fillId="28" borderId="0" pivotButton="0" quotePrefix="0" xfId="0"/>
    <xf numFmtId="0" fontId="52" fillId="0" borderId="41" applyAlignment="1" pivotButton="0" quotePrefix="0" xfId="0">
      <alignment wrapText="1"/>
    </xf>
    <xf numFmtId="0" fontId="52" fillId="0" borderId="0" pivotButton="0" quotePrefix="0" xfId="0"/>
    <xf numFmtId="0" fontId="53" fillId="0" borderId="42" pivotButton="0" quotePrefix="0" xfId="0"/>
    <xf numFmtId="0" fontId="52" fillId="0" borderId="0" applyProtection="1" pivotButton="0" quotePrefix="0" xfId="0">
      <protection locked="0" hidden="0"/>
    </xf>
    <xf numFmtId="0" fontId="54" fillId="0" borderId="0" pivotButton="0" quotePrefix="0" xfId="0"/>
    <xf numFmtId="0" fontId="53" fillId="0" borderId="41" pivotButton="0" quotePrefix="0" xfId="0"/>
    <xf numFmtId="0" fontId="53" fillId="0" borderId="50" pivotButton="0" quotePrefix="0" xfId="0"/>
    <xf numFmtId="167" fontId="7" fillId="4" borderId="0" pivotButton="0" quotePrefix="0" xfId="4"/>
    <xf numFmtId="2" fontId="52" fillId="28" borderId="18" applyAlignment="1" pivotButton="0" quotePrefix="0" xfId="0">
      <alignment horizontal="center"/>
    </xf>
    <xf numFmtId="0" fontId="0" fillId="0" borderId="0" applyAlignment="1" applyProtection="1" pivotButton="0" quotePrefix="0" xfId="0">
      <alignment horizontal="center"/>
      <protection locked="0" hidden="0"/>
    </xf>
    <xf numFmtId="0" fontId="0" fillId="0" borderId="0" applyAlignment="1" pivotButton="0" quotePrefix="0" xfId="0">
      <alignment horizontal="center"/>
    </xf>
    <xf numFmtId="0" fontId="52" fillId="0" borderId="0" applyAlignment="1" pivotButton="0" quotePrefix="0" xfId="0">
      <alignment horizontal="center"/>
    </xf>
    <xf numFmtId="0" fontId="52" fillId="0" borderId="0" applyAlignment="1" applyProtection="1" pivotButton="0" quotePrefix="0" xfId="0">
      <alignment horizontal="center"/>
      <protection locked="0" hidden="0"/>
    </xf>
    <xf numFmtId="0" fontId="52" fillId="0" borderId="49" applyAlignment="1" pivotButton="0" quotePrefix="0" xfId="0">
      <alignment horizontal="center"/>
    </xf>
    <xf numFmtId="0" fontId="52" fillId="0" borderId="43" applyAlignment="1" pivotButton="0" quotePrefix="0" xfId="0">
      <alignment horizontal="center"/>
    </xf>
    <xf numFmtId="0" fontId="52" fillId="0" borderId="51" applyAlignment="1" pivotButton="0" quotePrefix="0" xfId="0">
      <alignment horizontal="center"/>
    </xf>
    <xf numFmtId="0" fontId="52" fillId="28" borderId="0" applyAlignment="1" pivotButton="0" quotePrefix="0" xfId="0">
      <alignment horizontal="center"/>
    </xf>
    <xf numFmtId="2" fontId="52" fillId="28" borderId="44" applyAlignment="1" pivotButton="0" quotePrefix="0" xfId="0">
      <alignment horizontal="center"/>
    </xf>
    <xf numFmtId="0" fontId="53" fillId="0" borderId="38" applyAlignment="1" pivotButton="0" quotePrefix="0" xfId="0">
      <alignment horizontal="center" wrapText="1"/>
    </xf>
    <xf numFmtId="0" fontId="52" fillId="0" borderId="52" applyAlignment="1" pivotButton="0" quotePrefix="0" xfId="0">
      <alignment horizontal="center"/>
    </xf>
    <xf numFmtId="0" fontId="53" fillId="0" borderId="36" pivotButton="0" quotePrefix="0" xfId="0"/>
    <xf numFmtId="0" fontId="52" fillId="0" borderId="37" applyAlignment="1" pivotButton="0" quotePrefix="0" xfId="0">
      <alignment horizontal="center"/>
    </xf>
    <xf numFmtId="2" fontId="52" fillId="28" borderId="53" applyAlignment="1" pivotButton="0" quotePrefix="0" xfId="0">
      <alignment horizontal="center"/>
    </xf>
    <xf numFmtId="0" fontId="52" fillId="32" borderId="54" applyAlignment="1" applyProtection="1" pivotButton="0" quotePrefix="0" xfId="0">
      <alignment horizontal="center"/>
      <protection locked="0" hidden="0"/>
    </xf>
    <xf numFmtId="2" fontId="52" fillId="28" borderId="54" applyAlignment="1" pivotButton="0" quotePrefix="0" xfId="0">
      <alignment horizontal="center"/>
    </xf>
    <xf numFmtId="0" fontId="53" fillId="28" borderId="39" applyAlignment="1" pivotButton="0" quotePrefix="0" xfId="0">
      <alignment horizontal="center" vertical="center" wrapText="1"/>
    </xf>
    <xf numFmtId="0" fontId="53" fillId="32" borderId="55" applyAlignment="1" applyProtection="1" pivotButton="0" quotePrefix="0" xfId="0">
      <alignment horizontal="center" vertical="center" wrapText="1"/>
      <protection locked="0" hidden="0"/>
    </xf>
    <xf numFmtId="0" fontId="53" fillId="28" borderId="55" applyAlignment="1" pivotButton="0" quotePrefix="0" xfId="0">
      <alignment horizontal="center" vertical="center" wrapText="1"/>
    </xf>
    <xf numFmtId="0" fontId="53" fillId="32" borderId="40" applyAlignment="1" applyProtection="1" pivotButton="0" quotePrefix="0" xfId="0">
      <alignment horizontal="center" vertical="center" wrapText="1"/>
      <protection locked="0" hidden="0"/>
    </xf>
    <xf numFmtId="0" fontId="0" fillId="32" borderId="54" applyAlignment="1" applyProtection="1" pivotButton="0" quotePrefix="0" xfId="0">
      <alignment horizontal="center"/>
      <protection locked="0" hidden="0"/>
    </xf>
    <xf numFmtId="0" fontId="0" fillId="32" borderId="54" applyProtection="1" pivotButton="0" quotePrefix="0" xfId="0">
      <protection locked="0" hidden="0"/>
    </xf>
    <xf numFmtId="0" fontId="52" fillId="32" borderId="54" applyProtection="1" pivotButton="0" quotePrefix="0" xfId="0">
      <protection locked="0" hidden="0"/>
    </xf>
    <xf numFmtId="0" fontId="41" fillId="28" borderId="14" applyAlignment="1" pivotButton="0" quotePrefix="0" xfId="5">
      <alignment horizontal="right" vertical="center"/>
    </xf>
    <xf numFmtId="43" fontId="7" fillId="4" borderId="28" pivotButton="0" quotePrefix="0" xfId="42"/>
    <xf numFmtId="167" fontId="7" fillId="4" borderId="31" pivotButton="0" quotePrefix="0" xfId="3"/>
    <xf numFmtId="167" fontId="7" fillId="4" borderId="0" pivotButton="0" quotePrefix="0" xfId="3"/>
    <xf numFmtId="43" fontId="7" fillId="4" borderId="35" pivotButton="0" quotePrefix="0" xfId="42"/>
    <xf numFmtId="164" fontId="7" fillId="28" borderId="35" pivotButton="0" quotePrefix="0" xfId="1"/>
    <xf numFmtId="164" fontId="7" fillId="28" borderId="35" pivotButton="0" quotePrefix="0" xfId="2"/>
    <xf numFmtId="164" fontId="7" fillId="28" borderId="14" pivotButton="0" quotePrefix="0" xfId="1"/>
    <xf numFmtId="43" fontId="7" fillId="4" borderId="31" pivotButton="0" quotePrefix="0" xfId="117"/>
    <xf numFmtId="43" fontId="7" fillId="4" borderId="0" pivotButton="0" quotePrefix="0" xfId="117"/>
    <xf numFmtId="0" fontId="41" fillId="0" borderId="14" applyAlignment="1" pivotButton="0" quotePrefix="0" xfId="5">
      <alignment horizontal="right" vertical="center"/>
    </xf>
    <xf numFmtId="0" fontId="0" fillId="0" borderId="56" pivotButton="0" quotePrefix="0" xfId="0"/>
    <xf numFmtId="0" fontId="41" fillId="0" borderId="57" applyAlignment="1" pivotButton="0" quotePrefix="0" xfId="5">
      <alignment horizontal="right" vertical="center"/>
    </xf>
    <xf numFmtId="0" fontId="41" fillId="0" borderId="33" applyAlignment="1" pivotButton="0" quotePrefix="0" xfId="5">
      <alignment horizontal="right" vertical="center"/>
    </xf>
    <xf numFmtId="0" fontId="41" fillId="0" borderId="34" applyAlignment="1" pivotButton="0" quotePrefix="0" xfId="5">
      <alignment horizontal="right" vertical="center"/>
    </xf>
    <xf numFmtId="0" fontId="41" fillId="0" borderId="3" applyAlignment="1" pivotButton="0" quotePrefix="0" xfId="5">
      <alignment horizontal="right" vertical="center"/>
    </xf>
    <xf numFmtId="0" fontId="41" fillId="0" borderId="50" applyAlignment="1" pivotButton="0" quotePrefix="0" xfId="5">
      <alignment horizontal="right" vertical="center"/>
    </xf>
    <xf numFmtId="0" fontId="41" fillId="0" borderId="51" applyAlignment="1" pivotButton="0" quotePrefix="0" xfId="5">
      <alignment horizontal="right" vertical="center"/>
    </xf>
    <xf numFmtId="0" fontId="41" fillId="0" borderId="58" applyAlignment="1" pivotButton="0" quotePrefix="0" xfId="5">
      <alignment horizontal="right" vertical="center"/>
    </xf>
    <xf numFmtId="0" fontId="41" fillId="28" borderId="33" applyAlignment="1" pivotButton="0" quotePrefix="0" xfId="5">
      <alignment horizontal="center" vertical="center"/>
    </xf>
    <xf numFmtId="0" fontId="0" fillId="0" borderId="12" pivotButton="0" quotePrefix="0" xfId="0"/>
    <xf numFmtId="0" fontId="41" fillId="28" borderId="14" applyAlignment="1" pivotButton="0" quotePrefix="0" xfId="5">
      <alignment horizontal="center" vertical="center"/>
    </xf>
    <xf numFmtId="0" fontId="41" fillId="0" borderId="55" applyAlignment="1" pivotButton="0" quotePrefix="0" xfId="5">
      <alignment horizontal="right" vertical="center"/>
    </xf>
    <xf numFmtId="0" fontId="41" fillId="28" borderId="3" applyAlignment="1" pivotButton="0" quotePrefix="0" xfId="5">
      <alignment horizontal="right" vertical="center"/>
    </xf>
    <xf numFmtId="0" fontId="41" fillId="28" borderId="12" applyAlignment="1" pivotButton="0" quotePrefix="0" xfId="5">
      <alignment horizontal="center" vertical="center"/>
    </xf>
    <xf numFmtId="0" fontId="41" fillId="0" borderId="12" applyAlignment="1" pivotButton="0" quotePrefix="0" xfId="5">
      <alignment horizontal="right" vertical="center"/>
    </xf>
    <xf numFmtId="0" fontId="41" fillId="0" borderId="14" applyAlignment="1" pivotButton="0" quotePrefix="0" xfId="5">
      <alignment horizontal="center" vertical="center"/>
    </xf>
    <xf numFmtId="0" fontId="5" fillId="0" borderId="16" applyAlignment="1" pivotButton="0" quotePrefix="0" xfId="5">
      <alignment horizontal="left" vertical="center"/>
    </xf>
    <xf numFmtId="0" fontId="41" fillId="0" borderId="12" applyAlignment="1" pivotButton="0" quotePrefix="0" xfId="5">
      <alignment horizontal="center" vertical="center"/>
    </xf>
    <xf numFmtId="0" fontId="41" fillId="0" borderId="16" applyAlignment="1" pivotButton="0" quotePrefix="0" xfId="5">
      <alignment horizontal="center" vertical="center"/>
    </xf>
    <xf numFmtId="0" fontId="46" fillId="0" borderId="17" applyAlignment="1" pivotButton="0" quotePrefix="0" xfId="5">
      <alignment horizontal="center" vertical="center"/>
    </xf>
    <xf numFmtId="0" fontId="41" fillId="0" borderId="13" applyAlignment="1" pivotButton="0" quotePrefix="0" xfId="5">
      <alignment horizontal="center" vertical="center"/>
    </xf>
    <xf numFmtId="0" fontId="46" fillId="0" borderId="16" applyAlignment="1" pivotButton="0" quotePrefix="0" xfId="5">
      <alignment horizontal="center" vertical="center"/>
    </xf>
    <xf numFmtId="0" fontId="46" fillId="0" borderId="13" applyAlignment="1" pivotButton="0" quotePrefix="0" xfId="5">
      <alignment horizontal="center" vertical="center"/>
    </xf>
    <xf numFmtId="0" fontId="46" fillId="0" borderId="12" applyAlignment="1" pivotButton="0" quotePrefix="0" xfId="5">
      <alignment horizontal="center" vertical="center"/>
    </xf>
    <xf numFmtId="0" fontId="46" fillId="28" borderId="16" applyAlignment="1" pivotButton="0" quotePrefix="0" xfId="5">
      <alignment vertical="center"/>
    </xf>
    <xf numFmtId="0" fontId="41" fillId="0" borderId="17" applyAlignment="1" pivotButton="0" quotePrefix="0" xfId="5">
      <alignment horizontal="center" vertical="center"/>
    </xf>
    <xf numFmtId="0" fontId="41" fillId="28" borderId="59" applyAlignment="1" pivotButton="0" quotePrefix="0" xfId="5">
      <alignment horizontal="right" vertical="center"/>
    </xf>
    <xf numFmtId="0" fontId="41" fillId="28" borderId="2" applyAlignment="1" pivotButton="0" quotePrefix="0" xfId="5">
      <alignment horizontal="right" vertical="center"/>
    </xf>
    <xf numFmtId="166" fontId="0" fillId="4" borderId="35" pivotButton="0" quotePrefix="0" xfId="0"/>
    <xf numFmtId="168" fontId="0" fillId="4" borderId="35" pivotButton="0" quotePrefix="0" xfId="42"/>
    <xf numFmtId="166" fontId="7" fillId="4" borderId="32" pivotButton="0" quotePrefix="0" xfId="116"/>
    <xf numFmtId="166" fontId="7" fillId="4" borderId="29" pivotButton="0" quotePrefix="0" xfId="116"/>
    <xf numFmtId="166" fontId="7" fillId="4" borderId="30" pivotButton="0" quotePrefix="0" xfId="116"/>
    <xf numFmtId="2" fontId="55" fillId="28" borderId="31" pivotButton="0" quotePrefix="0" xfId="116"/>
    <xf numFmtId="0" fontId="55" fillId="28" borderId="31" applyAlignment="1" pivotButton="0" quotePrefix="0" xfId="3">
      <alignment horizontal="center"/>
    </xf>
    <xf numFmtId="164" fontId="55" fillId="28" borderId="0" pivotButton="0" quotePrefix="0" xfId="4"/>
    <xf numFmtId="164" fontId="55" fillId="28" borderId="28" pivotButton="0" quotePrefix="0" xfId="2"/>
    <xf numFmtId="165" fontId="55" fillId="28" borderId="28" pivotButton="0" quotePrefix="0" xfId="2"/>
    <xf numFmtId="2" fontId="55" fillId="28" borderId="31" pivotButton="0" quotePrefix="0" xfId="0"/>
    <xf numFmtId="2" fontId="55" fillId="28" borderId="31" pivotButton="0" quotePrefix="0" xfId="1"/>
    <xf numFmtId="2" fontId="55" fillId="28" borderId="31" applyAlignment="1" pivotButton="0" quotePrefix="0" xfId="0">
      <alignment horizontal="right"/>
    </xf>
    <xf numFmtId="2" fontId="55" fillId="28" borderId="33" pivotButton="0" quotePrefix="0" xfId="0"/>
    <xf numFmtId="164" fontId="57" fillId="28" borderId="32" pivotButton="0" quotePrefix="0" xfId="3"/>
    <xf numFmtId="164" fontId="55" fillId="28" borderId="29" pivotButton="0" quotePrefix="0" xfId="4"/>
    <xf numFmtId="164" fontId="55" fillId="28" borderId="30" pivotButton="0" quotePrefix="0" xfId="2"/>
    <xf numFmtId="164" fontId="57" fillId="28" borderId="31" pivotButton="0" quotePrefix="0" xfId="3"/>
    <xf numFmtId="164" fontId="55" fillId="28" borderId="31" applyProtection="1" pivotButton="0" quotePrefix="0" xfId="2">
      <protection locked="0" hidden="0"/>
    </xf>
    <xf numFmtId="164" fontId="55" fillId="28" borderId="31" applyProtection="1" pivotButton="0" quotePrefix="0" xfId="1">
      <protection locked="0" hidden="0"/>
    </xf>
    <xf numFmtId="2" fontId="55" fillId="0" borderId="31" pivotButton="0" quotePrefix="0" xfId="1"/>
    <xf numFmtId="164" fontId="55" fillId="0" borderId="31" pivotButton="0" quotePrefix="0" xfId="3"/>
    <xf numFmtId="164" fontId="55" fillId="0" borderId="0" pivotButton="0" quotePrefix="0" xfId="4"/>
    <xf numFmtId="164" fontId="55" fillId="0" borderId="28" pivotButton="0" quotePrefix="0" xfId="2"/>
    <xf numFmtId="2" fontId="56" fillId="0" borderId="31" applyAlignment="1" pivotButton="0" quotePrefix="0" xfId="1">
      <alignment horizontal="right"/>
    </xf>
    <xf numFmtId="2" fontId="56" fillId="0" borderId="0" applyAlignment="1" pivotButton="0" quotePrefix="0" xfId="1">
      <alignment horizontal="right"/>
    </xf>
    <xf numFmtId="2" fontId="56" fillId="0" borderId="28" applyAlignment="1" pivotButton="0" quotePrefix="0" xfId="1">
      <alignment horizontal="right"/>
    </xf>
    <xf numFmtId="2" fontId="55" fillId="0" borderId="32" pivotButton="0" quotePrefix="0" xfId="116"/>
    <xf numFmtId="164" fontId="57" fillId="0" borderId="32" pivotButton="0" quotePrefix="0" xfId="3"/>
    <xf numFmtId="164" fontId="57" fillId="0" borderId="29" pivotButton="0" quotePrefix="0" xfId="4"/>
    <xf numFmtId="164" fontId="55" fillId="0" borderId="30" pivotButton="0" quotePrefix="0" xfId="2"/>
    <xf numFmtId="164" fontId="57" fillId="0" borderId="31" pivotButton="0" quotePrefix="0" xfId="4"/>
    <xf numFmtId="164" fontId="57" fillId="0" borderId="0" pivotButton="0" quotePrefix="0" xfId="4"/>
    <xf numFmtId="164" fontId="57" fillId="0" borderId="28" pivotButton="0" quotePrefix="0" xfId="2"/>
    <xf numFmtId="164" fontId="57" fillId="0" borderId="32" pivotButton="0" quotePrefix="0" xfId="4"/>
    <xf numFmtId="164" fontId="57" fillId="0" borderId="30" pivotButton="0" quotePrefix="0" xfId="2"/>
    <xf numFmtId="2" fontId="56" fillId="27" borderId="29" applyAlignment="1" pivotButton="0" quotePrefix="0" xfId="1">
      <alignment horizontal="right"/>
    </xf>
    <xf numFmtId="2" fontId="56" fillId="27" borderId="0" applyAlignment="1" pivotButton="0" quotePrefix="0" xfId="1">
      <alignment horizontal="right"/>
    </xf>
    <xf numFmtId="2" fontId="56" fillId="27" borderId="34" applyAlignment="1" pivotButton="0" quotePrefix="0" xfId="1">
      <alignment horizontal="right"/>
    </xf>
    <xf numFmtId="167" fontId="45" fillId="4" borderId="31" pivotButton="0" quotePrefix="0" xfId="3"/>
    <xf numFmtId="167" fontId="45" fillId="4" borderId="0" pivotButton="0" quotePrefix="0" xfId="4"/>
    <xf numFmtId="166" fontId="45" fillId="4" borderId="28" pivotButton="0" quotePrefix="0" xfId="0"/>
    <xf numFmtId="0" fontId="50" fillId="0" borderId="35" pivotButton="0" quotePrefix="0" xfId="0"/>
    <xf numFmtId="0" fontId="50" fillId="0" borderId="15" pivotButton="0" quotePrefix="0" xfId="0"/>
    <xf numFmtId="0" fontId="50" fillId="0" borderId="32" pivotButton="0" quotePrefix="0" xfId="0"/>
    <xf numFmtId="166" fontId="39" fillId="4" borderId="35" pivotButton="0" quotePrefix="0" xfId="0"/>
    <xf numFmtId="2" fontId="55" fillId="0" borderId="29" pivotButton="0" quotePrefix="0" xfId="116"/>
    <xf numFmtId="2" fontId="55" fillId="0" borderId="30" pivotButton="0" quotePrefix="0" xfId="116"/>
    <xf numFmtId="2" fontId="56" fillId="28" borderId="0" applyAlignment="1" pivotButton="0" quotePrefix="0" xfId="1">
      <alignment horizontal="right"/>
    </xf>
    <xf numFmtId="2" fontId="56" fillId="28" borderId="28" applyAlignment="1" pivotButton="0" quotePrefix="0" xfId="1">
      <alignment horizontal="right"/>
    </xf>
    <xf numFmtId="167" fontId="55" fillId="28" borderId="32" pivotButton="0" quotePrefix="0" xfId="3"/>
    <xf numFmtId="167" fontId="55" fillId="28" borderId="29" pivotButton="0" quotePrefix="0" xfId="4"/>
    <xf numFmtId="164" fontId="55" fillId="28" borderId="31" pivotButton="0" quotePrefix="0" xfId="3"/>
    <xf numFmtId="2" fontId="56" fillId="28" borderId="31" applyAlignment="1" pivotButton="0" quotePrefix="0" xfId="1">
      <alignment horizontal="right"/>
    </xf>
    <xf numFmtId="167" fontId="45" fillId="4" borderId="0" pivotButton="0" quotePrefix="0" xfId="3"/>
    <xf numFmtId="2" fontId="55" fillId="28" borderId="29" pivotButton="0" quotePrefix="0" xfId="116"/>
    <xf numFmtId="2" fontId="55" fillId="28" borderId="30" pivotButton="0" quotePrefix="0" xfId="116"/>
    <xf numFmtId="1" fontId="55" fillId="28" borderId="29" applyAlignment="1" pivotButton="0" quotePrefix="0" xfId="4">
      <alignment horizontal="center"/>
    </xf>
    <xf numFmtId="166" fontId="4" fillId="4" borderId="35" pivotButton="0" quotePrefix="0" xfId="0"/>
    <xf numFmtId="0" fontId="50" fillId="0" borderId="0" pivotButton="0" quotePrefix="0" xfId="0"/>
    <xf numFmtId="2" fontId="55" fillId="28" borderId="32" pivotButton="0" quotePrefix="0" xfId="116"/>
    <xf numFmtId="2" fontId="55" fillId="0" borderId="31" pivotButton="0" quotePrefix="0" xfId="116"/>
    <xf numFmtId="2" fontId="55" fillId="28" borderId="31" applyProtection="1" pivotButton="0" quotePrefix="0" xfId="116">
      <protection locked="0" hidden="0"/>
    </xf>
    <xf numFmtId="2" fontId="55" fillId="28" borderId="31" applyProtection="1" pivotButton="0" quotePrefix="0" xfId="1">
      <protection locked="0" hidden="0"/>
    </xf>
    <xf numFmtId="167" fontId="55" fillId="28" borderId="30" pivotButton="0" quotePrefix="0" xfId="4"/>
    <xf numFmtId="164" fontId="55" fillId="28" borderId="28" pivotButton="0" quotePrefix="0" xfId="4"/>
    <xf numFmtId="167" fontId="45" fillId="4" borderId="28" pivotButton="0" quotePrefix="0" xfId="4"/>
    <xf numFmtId="166" fontId="45" fillId="4" borderId="31" pivotButton="0" quotePrefix="0" xfId="0"/>
    <xf numFmtId="0" fontId="55" fillId="28" borderId="31" applyAlignment="1" pivotButton="0" quotePrefix="0" xfId="3">
      <alignment horizontal="left"/>
    </xf>
    <xf numFmtId="2" fontId="55" fillId="28" borderId="0" pivotButton="0" quotePrefix="0" xfId="116"/>
    <xf numFmtId="2" fontId="55" fillId="28" borderId="28" pivotButton="0" quotePrefix="0" xfId="116"/>
    <xf numFmtId="43" fontId="45" fillId="4" borderId="31" pivotButton="0" quotePrefix="0" xfId="42"/>
    <xf numFmtId="2" fontId="55" fillId="28" borderId="35" pivotButton="0" quotePrefix="0" xfId="116"/>
    <xf numFmtId="2" fontId="55" fillId="28" borderId="15" pivotButton="0" quotePrefix="0" xfId="116"/>
    <xf numFmtId="2" fontId="55" fillId="0" borderId="35" pivotButton="0" quotePrefix="0" xfId="1"/>
    <xf numFmtId="2" fontId="56" fillId="0" borderId="35" applyAlignment="1" pivotButton="0" quotePrefix="0" xfId="1">
      <alignment horizontal="right"/>
    </xf>
    <xf numFmtId="2" fontId="55" fillId="0" borderId="15" pivotButton="0" quotePrefix="0" xfId="116"/>
    <xf numFmtId="0" fontId="50" fillId="28" borderId="35" pivotButton="0" quotePrefix="0" xfId="0"/>
    <xf numFmtId="168" fontId="4" fillId="4" borderId="35" pivotButton="0" quotePrefix="0" xfId="42"/>
    <xf numFmtId="168" fontId="39" fillId="4" borderId="35" pivotButton="0" quotePrefix="0" xfId="42"/>
    <xf numFmtId="43" fontId="45" fillId="4" borderId="0" pivotButton="0" quotePrefix="0" xfId="42"/>
    <xf numFmtId="0" fontId="58" fillId="28" borderId="1" applyAlignment="1" pivotButton="0" quotePrefix="0" xfId="5">
      <alignment horizontal="right" vertical="center"/>
    </xf>
    <xf numFmtId="0" fontId="58" fillId="28" borderId="47" applyAlignment="1" pivotButton="0" quotePrefix="0" xfId="5">
      <alignment horizontal="right" vertical="center"/>
    </xf>
    <xf numFmtId="0" fontId="58" fillId="28" borderId="48" applyAlignment="1" pivotButton="0" quotePrefix="0" xfId="5">
      <alignment horizontal="right" vertical="center"/>
    </xf>
    <xf numFmtId="43" fontId="45" fillId="4" borderId="28" pivotButton="0" quotePrefix="0" xfId="42"/>
    <xf numFmtId="2" fontId="7" fillId="28" borderId="33" pivotButton="0" quotePrefix="0" xfId="1"/>
    <xf numFmtId="2" fontId="7" fillId="28" borderId="34" pivotButton="0" quotePrefix="0" xfId="1"/>
    <xf numFmtId="2" fontId="7" fillId="28" borderId="3" pivotButton="0" quotePrefix="0" xfId="1"/>
    <xf numFmtId="2" fontId="4" fillId="0" borderId="35" pivotButton="0" quotePrefix="0" xfId="0"/>
    <xf numFmtId="2" fontId="5" fillId="28" borderId="32" applyAlignment="1" pivotButton="0" quotePrefix="0" xfId="0">
      <alignment horizontal="right"/>
    </xf>
    <xf numFmtId="2" fontId="5" fillId="28" borderId="17" applyAlignment="1" pivotButton="0" quotePrefix="0" xfId="1">
      <alignment horizontal="right"/>
    </xf>
    <xf numFmtId="2" fontId="5" fillId="28" borderId="13" applyAlignment="1" pivotButton="0" quotePrefix="0" xfId="1">
      <alignment horizontal="right"/>
    </xf>
    <xf numFmtId="2" fontId="7" fillId="28" borderId="0" pivotButton="0" quotePrefix="0" xfId="0"/>
    <xf numFmtId="2" fontId="7" fillId="28" borderId="28" pivotButton="0" quotePrefix="0" xfId="0"/>
    <xf numFmtId="2" fontId="7" fillId="4" borderId="28" pivotButton="0" quotePrefix="0" xfId="0"/>
    <xf numFmtId="2" fontId="7" fillId="4" borderId="0" pivotButton="0" quotePrefix="0" xfId="0"/>
    <xf numFmtId="2" fontId="7" fillId="4" borderId="31" pivotButton="0" quotePrefix="0" xfId="0"/>
    <xf numFmtId="2" fontId="7" fillId="4" borderId="31" pivotButton="0" quotePrefix="0" xfId="1"/>
    <xf numFmtId="2" fontId="7" fillId="4" borderId="0" pivotButton="0" quotePrefix="0" xfId="1"/>
    <xf numFmtId="2" fontId="7" fillId="4" borderId="28" pivotButton="0" quotePrefix="0" xfId="1"/>
    <xf numFmtId="2" fontId="7" fillId="28" borderId="0" pivotButton="0" quotePrefix="0" xfId="1"/>
    <xf numFmtId="164" fontId="7" fillId="28" borderId="28" pivotButton="0" quotePrefix="0" xfId="2"/>
    <xf numFmtId="164" fontId="7" fillId="28" borderId="0" pivotButton="0" quotePrefix="0" xfId="2"/>
    <xf numFmtId="164" fontId="7" fillId="28" borderId="31" pivotButton="0" quotePrefix="0" xfId="2"/>
    <xf numFmtId="164" fontId="4" fillId="0" borderId="35" pivotButton="0" quotePrefix="0" xfId="0"/>
    <xf numFmtId="164" fontId="7" fillId="28" borderId="31" pivotButton="0" quotePrefix="0" xfId="1"/>
    <xf numFmtId="164" fontId="7" fillId="28" borderId="0" pivotButton="0" quotePrefix="0" xfId="1"/>
    <xf numFmtId="164" fontId="7" fillId="28" borderId="28" pivotButton="0" quotePrefix="0" xfId="1"/>
    <xf numFmtId="2" fontId="5" fillId="0" borderId="17" applyAlignment="1" pivotButton="0" quotePrefix="0" xfId="1">
      <alignment horizontal="right"/>
    </xf>
    <xf numFmtId="2" fontId="5" fillId="0" borderId="13" applyAlignment="1" pivotButton="0" quotePrefix="0" xfId="1">
      <alignment horizontal="right"/>
    </xf>
    <xf numFmtId="2" fontId="5" fillId="0" borderId="0" applyAlignment="1" pivotButton="0" quotePrefix="0" xfId="0">
      <alignment horizontal="right"/>
    </xf>
    <xf numFmtId="2" fontId="5" fillId="0" borderId="34" applyAlignment="1" pivotButton="0" quotePrefix="0" xfId="0">
      <alignment horizontal="right"/>
    </xf>
    <xf numFmtId="164" fontId="9" fillId="0" borderId="32" pivotButton="0" quotePrefix="0" xfId="4"/>
    <xf numFmtId="164" fontId="9" fillId="0" borderId="29" pivotButton="0" quotePrefix="0" xfId="4"/>
    <xf numFmtId="164" fontId="9" fillId="0" borderId="30" pivotButton="0" quotePrefix="0" xfId="2"/>
    <xf numFmtId="164" fontId="9" fillId="0" borderId="31" pivotButton="0" quotePrefix="0" xfId="4"/>
    <xf numFmtId="164" fontId="9" fillId="0" borderId="0" pivotButton="0" quotePrefix="0" xfId="4"/>
    <xf numFmtId="164" fontId="9" fillId="0" borderId="28" pivotButton="0" quotePrefix="0" xfId="2"/>
    <xf numFmtId="2" fontId="5" fillId="0" borderId="29" applyAlignment="1" pivotButton="0" quotePrefix="0" xfId="1">
      <alignment horizontal="right"/>
    </xf>
    <xf numFmtId="2" fontId="5" fillId="0" borderId="34" applyAlignment="1" pivotButton="0" quotePrefix="0" xfId="1">
      <alignment horizontal="right"/>
    </xf>
    <xf numFmtId="0" fontId="4" fillId="0" borderId="35" pivotButton="0" quotePrefix="0" xfId="0"/>
    <xf numFmtId="0" fontId="4" fillId="0" borderId="15" pivotButton="0" quotePrefix="0" xfId="0"/>
    <xf numFmtId="2" fontId="5" fillId="28" borderId="28" applyAlignment="1" pivotButton="0" quotePrefix="0" xfId="1">
      <alignment horizontal="right"/>
    </xf>
    <xf numFmtId="0" fontId="4" fillId="0" borderId="30" pivotButton="0" quotePrefix="0" xfId="0"/>
    <xf numFmtId="2" fontId="7" fillId="28" borderId="28" pivotButton="0" quotePrefix="0" xfId="1"/>
    <xf numFmtId="2" fontId="5" fillId="28" borderId="30" applyAlignment="1" pivotButton="0" quotePrefix="0" xfId="1">
      <alignment horizontal="right"/>
    </xf>
    <xf numFmtId="2" fontId="45" fillId="28" borderId="31" pivotButton="0" quotePrefix="0" xfId="0"/>
    <xf numFmtId="2" fontId="45" fillId="28" borderId="0" pivotButton="0" quotePrefix="0" xfId="0"/>
    <xf numFmtId="2" fontId="45" fillId="28" borderId="28" pivotButton="0" quotePrefix="0" xfId="0"/>
    <xf numFmtId="2" fontId="4" fillId="0" borderId="0" pivotButton="0" quotePrefix="0" xfId="5"/>
    <xf numFmtId="2" fontId="45" fillId="28" borderId="33" pivotButton="0" quotePrefix="0" xfId="0"/>
    <xf numFmtId="2" fontId="45" fillId="28" borderId="34" pivotButton="0" quotePrefix="0" xfId="0"/>
    <xf numFmtId="2" fontId="45" fillId="28" borderId="3" pivotButton="0" quotePrefix="0" xfId="0"/>
    <xf numFmtId="2" fontId="59" fillId="28" borderId="33" applyAlignment="1" pivotButton="0" quotePrefix="0" xfId="1">
      <alignment horizontal="right"/>
    </xf>
    <xf numFmtId="2" fontId="59" fillId="28" borderId="16" applyAlignment="1" pivotButton="0" quotePrefix="0" xfId="1">
      <alignment horizontal="right"/>
    </xf>
    <xf numFmtId="2" fontId="59" fillId="28" borderId="17" applyAlignment="1" pivotButton="0" quotePrefix="0" xfId="1">
      <alignment horizontal="right"/>
    </xf>
    <xf numFmtId="2" fontId="59" fillId="28" borderId="13" applyAlignment="1" pivotButton="0" quotePrefix="0" xfId="1">
      <alignment horizontal="right"/>
    </xf>
    <xf numFmtId="2" fontId="39" fillId="0" borderId="35" pivotButton="0" quotePrefix="0" xfId="0"/>
    <xf numFmtId="2" fontId="59" fillId="0" borderId="12" pivotButton="0" quotePrefix="0" xfId="0"/>
    <xf numFmtId="2" fontId="42" fillId="0" borderId="0" pivotButton="0" quotePrefix="0" xfId="0"/>
    <xf numFmtId="2" fontId="59" fillId="28" borderId="34" applyAlignment="1" pivotButton="0" quotePrefix="0" xfId="1">
      <alignment horizontal="right"/>
    </xf>
    <xf numFmtId="2" fontId="59" fillId="28" borderId="3" applyAlignment="1" pivotButton="0" quotePrefix="0" xfId="1">
      <alignment horizontal="right"/>
    </xf>
    <xf numFmtId="2" fontId="45" fillId="28" borderId="31" pivotButton="0" quotePrefix="0" xfId="1"/>
    <xf numFmtId="2" fontId="45" fillId="28" borderId="0" pivotButton="0" quotePrefix="0" xfId="1"/>
    <xf numFmtId="2" fontId="45" fillId="28" borderId="28" pivotButton="0" quotePrefix="0" xfId="1"/>
    <xf numFmtId="164" fontId="45" fillId="28" borderId="31" pivotButton="0" quotePrefix="0" xfId="2"/>
    <xf numFmtId="164" fontId="45" fillId="28" borderId="0" pivotButton="0" quotePrefix="0" xfId="2"/>
    <xf numFmtId="164" fontId="45" fillId="28" borderId="28" pivotButton="0" quotePrefix="0" xfId="2"/>
    <xf numFmtId="164" fontId="39" fillId="0" borderId="35" pivotButton="0" quotePrefix="0" xfId="0"/>
    <xf numFmtId="164" fontId="45" fillId="28" borderId="31" pivotButton="0" quotePrefix="0" xfId="1"/>
    <xf numFmtId="164" fontId="45" fillId="28" borderId="0" pivotButton="0" quotePrefix="0" xfId="1"/>
    <xf numFmtId="164" fontId="45" fillId="28" borderId="28" pivotButton="0" quotePrefix="0" xfId="1"/>
    <xf numFmtId="2" fontId="59" fillId="0" borderId="16" applyAlignment="1" pivotButton="0" quotePrefix="0" xfId="1">
      <alignment horizontal="right"/>
    </xf>
    <xf numFmtId="2" fontId="59" fillId="0" borderId="17" applyAlignment="1" pivotButton="0" quotePrefix="0" xfId="1">
      <alignment horizontal="right"/>
    </xf>
    <xf numFmtId="2" fontId="59" fillId="0" borderId="13" applyAlignment="1" pivotButton="0" quotePrefix="0" xfId="1">
      <alignment horizontal="right"/>
    </xf>
    <xf numFmtId="2" fontId="59" fillId="0" borderId="31" applyAlignment="1" pivotButton="0" quotePrefix="0" xfId="1">
      <alignment horizontal="right"/>
    </xf>
    <xf numFmtId="2" fontId="59" fillId="0" borderId="0" applyAlignment="1" pivotButton="0" quotePrefix="0" xfId="1">
      <alignment horizontal="right"/>
    </xf>
    <xf numFmtId="2" fontId="59" fillId="0" borderId="28" applyAlignment="1" pivotButton="0" quotePrefix="0" xfId="1">
      <alignment horizontal="right"/>
    </xf>
    <xf numFmtId="164" fontId="60" fillId="0" borderId="32" pivotButton="0" quotePrefix="0" xfId="3"/>
    <xf numFmtId="164" fontId="60" fillId="0" borderId="29" pivotButton="0" quotePrefix="0" xfId="4"/>
    <xf numFmtId="164" fontId="45" fillId="0" borderId="30" pivotButton="0" quotePrefix="0" xfId="2"/>
    <xf numFmtId="2" fontId="59" fillId="0" borderId="31" applyAlignment="1" pivotButton="0" quotePrefix="0" xfId="0">
      <alignment horizontal="right"/>
    </xf>
    <xf numFmtId="2" fontId="59" fillId="0" borderId="0" applyAlignment="1" pivotButton="0" quotePrefix="0" xfId="0">
      <alignment horizontal="right"/>
    </xf>
    <xf numFmtId="2" fontId="59" fillId="0" borderId="28" applyAlignment="1" pivotButton="0" quotePrefix="0" xfId="0">
      <alignment horizontal="right"/>
    </xf>
    <xf numFmtId="2" fontId="59" fillId="0" borderId="33" applyAlignment="1" pivotButton="0" quotePrefix="0" xfId="0">
      <alignment horizontal="right"/>
    </xf>
    <xf numFmtId="2" fontId="59" fillId="0" borderId="34" applyAlignment="1" pivotButton="0" quotePrefix="0" xfId="0">
      <alignment horizontal="right"/>
    </xf>
    <xf numFmtId="2" fontId="59" fillId="0" borderId="3" applyAlignment="1" pivotButton="0" quotePrefix="0" xfId="0">
      <alignment horizontal="right"/>
    </xf>
    <xf numFmtId="164" fontId="60" fillId="0" borderId="31" pivotButton="0" quotePrefix="0" xfId="4"/>
    <xf numFmtId="164" fontId="60" fillId="0" borderId="0" pivotButton="0" quotePrefix="0" xfId="4"/>
    <xf numFmtId="164" fontId="60" fillId="0" borderId="28" pivotButton="0" quotePrefix="0" xfId="2"/>
    <xf numFmtId="164" fontId="60" fillId="0" borderId="32" pivotButton="0" quotePrefix="0" xfId="4"/>
    <xf numFmtId="164" fontId="60" fillId="0" borderId="30" pivotButton="0" quotePrefix="0" xfId="2"/>
    <xf numFmtId="2" fontId="59" fillId="0" borderId="29" applyAlignment="1" pivotButton="0" quotePrefix="0" xfId="1">
      <alignment horizontal="right"/>
    </xf>
    <xf numFmtId="2" fontId="59" fillId="0" borderId="34" applyAlignment="1" pivotButton="0" quotePrefix="0" xfId="1">
      <alignment horizontal="right"/>
    </xf>
    <xf numFmtId="0" fontId="39" fillId="0" borderId="35" pivotButton="0" quotePrefix="0" xfId="0"/>
    <xf numFmtId="0" fontId="39" fillId="0" borderId="15" pivotButton="0" quotePrefix="0" xfId="0"/>
    <xf numFmtId="0" fontId="39" fillId="0" borderId="30" pivotButton="0" quotePrefix="0" xfId="0"/>
    <xf numFmtId="2" fontId="59" fillId="0" borderId="35" applyAlignment="1" pivotButton="0" quotePrefix="0" xfId="0">
      <alignment horizontal="right"/>
    </xf>
    <xf numFmtId="2" fontId="59" fillId="0" borderId="14" applyAlignment="1" pivotButton="0" quotePrefix="0" xfId="0">
      <alignment horizontal="right"/>
    </xf>
    <xf numFmtId="2" fontId="45" fillId="28" borderId="34" pivotButton="0" quotePrefix="0" xfId="1"/>
    <xf numFmtId="2" fontId="45" fillId="28" borderId="3" pivotButton="0" quotePrefix="0" xfId="1"/>
    <xf numFmtId="2" fontId="59" fillId="28" borderId="31" applyAlignment="1" pivotButton="0" quotePrefix="0" xfId="0">
      <alignment horizontal="right"/>
    </xf>
    <xf numFmtId="2" fontId="59" fillId="28" borderId="0" applyAlignment="1" pivotButton="0" quotePrefix="0" xfId="1">
      <alignment horizontal="right"/>
    </xf>
    <xf numFmtId="2" fontId="59" fillId="28" borderId="28" applyAlignment="1" pivotButton="0" quotePrefix="0" xfId="1">
      <alignment horizontal="right"/>
    </xf>
    <xf numFmtId="0" fontId="59" fillId="0" borderId="12" pivotButton="0" quotePrefix="0" xfId="0"/>
    <xf numFmtId="2" fontId="45" fillId="4" borderId="31" pivotButton="0" quotePrefix="0" xfId="0"/>
    <xf numFmtId="2" fontId="45" fillId="4" borderId="0" pivotButton="0" quotePrefix="0" xfId="0"/>
    <xf numFmtId="2" fontId="45" fillId="4" borderId="28" pivotButton="0" quotePrefix="0" xfId="0"/>
    <xf numFmtId="2" fontId="45" fillId="4" borderId="31" pivotButton="0" quotePrefix="0" xfId="1"/>
    <xf numFmtId="2" fontId="45" fillId="4" borderId="0" pivotButton="0" quotePrefix="0" xfId="1"/>
    <xf numFmtId="2" fontId="45" fillId="4" borderId="28" pivotButton="0" quotePrefix="0" xfId="1"/>
    <xf numFmtId="164" fontId="45" fillId="28" borderId="31" pivotButton="0" quotePrefix="0" xfId="3"/>
    <xf numFmtId="164" fontId="45" fillId="28" borderId="0" pivotButton="0" quotePrefix="0" xfId="4"/>
    <xf numFmtId="2" fontId="45" fillId="28" borderId="33" pivotButton="0" quotePrefix="0" xfId="1"/>
    <xf numFmtId="164" fontId="45" fillId="0" borderId="31" pivotButton="0" quotePrefix="0" xfId="3"/>
    <xf numFmtId="164" fontId="45" fillId="0" borderId="0" pivotButton="0" quotePrefix="0" xfId="4"/>
    <xf numFmtId="164" fontId="45" fillId="0" borderId="28" pivotButton="0" quotePrefix="0" xfId="2"/>
    <xf numFmtId="0" fontId="39" fillId="0" borderId="29" pivotButton="0" quotePrefix="0" xfId="0"/>
    <xf numFmtId="2" fontId="59" fillId="28" borderId="16" applyAlignment="1" pivotButton="0" quotePrefix="0" xfId="0">
      <alignment horizontal="right"/>
    </xf>
    <xf numFmtId="164" fontId="45" fillId="0" borderId="28" pivotButton="0" quotePrefix="0" xfId="4"/>
    <xf numFmtId="164" fontId="60" fillId="0" borderId="30" pivotButton="0" quotePrefix="0" xfId="4"/>
    <xf numFmtId="164" fontId="60" fillId="0" borderId="28" pivotButton="0" quotePrefix="0" xfId="4"/>
    <xf numFmtId="2" fontId="45" fillId="0" borderId="31" pivotButton="0" quotePrefix="0" xfId="1"/>
    <xf numFmtId="2" fontId="45" fillId="0" borderId="32" pivotButton="0" quotePrefix="0" xfId="116"/>
    <xf numFmtId="2" fontId="60" fillId="0" borderId="32" pivotButton="0" quotePrefix="0" xfId="116"/>
    <xf numFmtId="166" fontId="59" fillId="0" borderId="31" applyAlignment="1" pivotButton="0" quotePrefix="0" xfId="1">
      <alignment horizontal="right"/>
    </xf>
    <xf numFmtId="2" fontId="59" fillId="0" borderId="35" pivotButton="0" quotePrefix="0" xfId="0"/>
    <xf numFmtId="2" fontId="59" fillId="0" borderId="14" pivotButton="0" quotePrefix="0" xfId="0"/>
    <xf numFmtId="2" fontId="59" fillId="28" borderId="0" applyAlignment="1" pivotButton="0" quotePrefix="0" xfId="0">
      <alignment horizontal="right"/>
    </xf>
    <xf numFmtId="2" fontId="59" fillId="28" borderId="28" applyAlignment="1" pivotButton="0" quotePrefix="0" xfId="0">
      <alignment horizontal="right"/>
    </xf>
    <xf numFmtId="2" fontId="59" fillId="28" borderId="3" applyAlignment="1" pivotButton="0" quotePrefix="0" xfId="0">
      <alignment horizontal="right"/>
    </xf>
    <xf numFmtId="2" fontId="59" fillId="28" borderId="13" applyAlignment="1" pivotButton="0" quotePrefix="0" xfId="0">
      <alignment horizontal="right"/>
    </xf>
    <xf numFmtId="2" fontId="59" fillId="28" borderId="31" applyAlignment="1" pivotButton="0" quotePrefix="0" xfId="1">
      <alignment horizontal="right"/>
    </xf>
    <xf numFmtId="164" fontId="60" fillId="28" borderId="32" pivotButton="0" quotePrefix="0" xfId="3"/>
    <xf numFmtId="164" fontId="60" fillId="28" borderId="29" pivotButton="0" quotePrefix="0" xfId="4"/>
    <xf numFmtId="164" fontId="45" fillId="28" borderId="30" pivotButton="0" quotePrefix="0" xfId="2"/>
    <xf numFmtId="2" fontId="59" fillId="28" borderId="35" applyAlignment="1" pivotButton="0" quotePrefix="0" xfId="0">
      <alignment horizontal="right"/>
    </xf>
    <xf numFmtId="0" fontId="59" fillId="0" borderId="15" pivotButton="0" quotePrefix="0" xfId="0"/>
    <xf numFmtId="0" fontId="59" fillId="0" borderId="30" pivotButton="0" quotePrefix="0" xfId="0"/>
    <xf numFmtId="2" fontId="45" fillId="28" borderId="31" applyAlignment="1" pivotButton="0" quotePrefix="0" xfId="0">
      <alignment horizontal="right"/>
    </xf>
    <xf numFmtId="2" fontId="45" fillId="28" borderId="0" applyAlignment="1" pivotButton="0" quotePrefix="0" xfId="0">
      <alignment horizontal="right"/>
    </xf>
    <xf numFmtId="2" fontId="45" fillId="28" borderId="28" applyAlignment="1" pivotButton="0" quotePrefix="0" xfId="0">
      <alignment horizontal="right"/>
    </xf>
    <xf numFmtId="2" fontId="45" fillId="0" borderId="0" pivotButton="0" quotePrefix="0" xfId="1"/>
    <xf numFmtId="2" fontId="45" fillId="0" borderId="28" pivotButton="0" quotePrefix="0" xfId="1"/>
    <xf numFmtId="2" fontId="45" fillId="0" borderId="29" pivotButton="0" quotePrefix="0" xfId="116"/>
    <xf numFmtId="2" fontId="45" fillId="0" borderId="30" pivotButton="0" quotePrefix="0" xfId="116"/>
    <xf numFmtId="2" fontId="60" fillId="0" borderId="29" pivotButton="0" quotePrefix="0" xfId="116"/>
    <xf numFmtId="2" fontId="60" fillId="0" borderId="30" pivotButton="0" quotePrefix="0" xfId="116"/>
    <xf numFmtId="166" fontId="59" fillId="0" borderId="0" applyAlignment="1" pivotButton="0" quotePrefix="0" xfId="1">
      <alignment horizontal="right"/>
    </xf>
    <xf numFmtId="166" fontId="59" fillId="0" borderId="28" applyAlignment="1" pivotButton="0" quotePrefix="0" xfId="1">
      <alignment horizontal="right"/>
    </xf>
    <xf numFmtId="0" fontId="39" fillId="0" borderId="32" pivotButton="0" quotePrefix="0" xfId="0"/>
    <xf numFmtId="2" fontId="59" fillId="28" borderId="32" applyAlignment="1" pivotButton="0" quotePrefix="0" xfId="0">
      <alignment horizontal="right"/>
    </xf>
    <xf numFmtId="164" fontId="45" fillId="28" borderId="33" pivotButton="0" quotePrefix="0" xfId="1"/>
    <xf numFmtId="43" fontId="59" fillId="0" borderId="31" applyAlignment="1" pivotButton="0" quotePrefix="0" xfId="42">
      <alignment horizontal="right"/>
    </xf>
    <xf numFmtId="43" fontId="59" fillId="0" borderId="33" applyAlignment="1" pivotButton="0" quotePrefix="0" xfId="42">
      <alignment horizontal="right"/>
    </xf>
    <xf numFmtId="2" fontId="59" fillId="0" borderId="32" applyAlignment="1" pivotButton="0" quotePrefix="0" xfId="1">
      <alignment horizontal="right"/>
    </xf>
    <xf numFmtId="2" fontId="59" fillId="0" borderId="33" applyAlignment="1" pivotButton="0" quotePrefix="0" xfId="1">
      <alignment horizontal="right"/>
    </xf>
    <xf numFmtId="43" fontId="59" fillId="0" borderId="35" applyAlignment="1" pivotButton="0" quotePrefix="0" xfId="42">
      <alignment horizontal="right"/>
    </xf>
    <xf numFmtId="43" fontId="59" fillId="0" borderId="14" applyAlignment="1" pivotButton="0" quotePrefix="0" xfId="42">
      <alignment horizontal="right"/>
    </xf>
    <xf numFmtId="43" fontId="59" fillId="0" borderId="0" applyAlignment="1" pivotButton="0" quotePrefix="0" xfId="42">
      <alignment horizontal="right"/>
    </xf>
    <xf numFmtId="2" fontId="4" fillId="28" borderId="35" pivotButton="0" quotePrefix="0" xfId="0"/>
    <xf numFmtId="0" fontId="5" fillId="28" borderId="12" pivotButton="0" quotePrefix="0" xfId="0"/>
    <xf numFmtId="2" fontId="43" fillId="30" borderId="0" pivotButton="0" quotePrefix="0" xfId="5"/>
    <xf numFmtId="43" fontId="5" fillId="28" borderId="0" applyAlignment="1" pivotButton="0" quotePrefix="0" xfId="42">
      <alignment horizontal="right"/>
    </xf>
    <xf numFmtId="0" fontId="4" fillId="28" borderId="35" pivotButton="0" quotePrefix="0" xfId="0"/>
    <xf numFmtId="164" fontId="4" fillId="28" borderId="35" pivotButton="0" quotePrefix="0" xfId="0"/>
    <xf numFmtId="2" fontId="7" fillId="28" borderId="33" pivotButton="0" quotePrefix="0" xfId="0"/>
    <xf numFmtId="2" fontId="7" fillId="28" borderId="34" pivotButton="0" quotePrefix="0" xfId="0"/>
    <xf numFmtId="2" fontId="7" fillId="28" borderId="3" pivotButton="0" quotePrefix="0" xfId="0"/>
    <xf numFmtId="2" fontId="5" fillId="28" borderId="33" applyAlignment="1" pivotButton="0" quotePrefix="0" xfId="1">
      <alignment horizontal="right"/>
    </xf>
    <xf numFmtId="2" fontId="5" fillId="28" borderId="3" applyAlignment="1" pivotButton="0" quotePrefix="0" xfId="1">
      <alignment horizontal="right"/>
    </xf>
    <xf numFmtId="164" fontId="7" fillId="0" borderId="31" pivotButton="0" quotePrefix="0" xfId="3"/>
    <xf numFmtId="164" fontId="7" fillId="0" borderId="0" pivotButton="0" quotePrefix="0" xfId="4"/>
    <xf numFmtId="164" fontId="7" fillId="0" borderId="28" pivotButton="0" quotePrefix="0" xfId="2"/>
    <xf numFmtId="2" fontId="5" fillId="0" borderId="28" applyAlignment="1" pivotButton="0" quotePrefix="0" xfId="1">
      <alignment horizontal="right"/>
    </xf>
    <xf numFmtId="164" fontId="9" fillId="0" borderId="32" pivotButton="0" quotePrefix="0" xfId="3"/>
    <xf numFmtId="164" fontId="7" fillId="0" borderId="30" pivotButton="0" quotePrefix="0" xfId="2"/>
    <xf numFmtId="0" fontId="4" fillId="0" borderId="32" pivotButton="0" quotePrefix="0" xfId="0"/>
    <xf numFmtId="164" fontId="7" fillId="28" borderId="33" pivotButton="0" quotePrefix="0" xfId="1"/>
    <xf numFmtId="43" fontId="5" fillId="0" borderId="0" applyAlignment="1" pivotButton="0" quotePrefix="0" xfId="42">
      <alignment horizontal="right"/>
    </xf>
    <xf numFmtId="2" fontId="5" fillId="28" borderId="17" applyAlignment="1" pivotButton="0" quotePrefix="0" xfId="0">
      <alignment horizontal="right"/>
    </xf>
    <xf numFmtId="2" fontId="9" fillId="0" borderId="29" pivotButton="0" quotePrefix="0" xfId="116"/>
    <xf numFmtId="43" fontId="5" fillId="0" borderId="34" applyAlignment="1" pivotButton="0" quotePrefix="0" xfId="42">
      <alignment horizontal="right"/>
    </xf>
    <xf numFmtId="166" fontId="5" fillId="0" borderId="0" applyAlignment="1" pivotButton="0" quotePrefix="0" xfId="1">
      <alignment horizontal="right"/>
    </xf>
    <xf numFmtId="43" fontId="7" fillId="4" borderId="0" pivotButton="0" quotePrefix="0" xfId="42"/>
    <xf numFmtId="2" fontId="4" fillId="0" borderId="14" pivotButton="0" quotePrefix="0" xfId="0"/>
    <xf numFmtId="2" fontId="7" fillId="0" borderId="33" pivotButton="0" quotePrefix="0" xfId="1"/>
    <xf numFmtId="2" fontId="7" fillId="0" borderId="34" pivotButton="0" quotePrefix="0" xfId="1"/>
    <xf numFmtId="2" fontId="7" fillId="0" borderId="3" pivotButton="0" quotePrefix="0" xfId="1"/>
    <xf numFmtId="0" fontId="4" fillId="0" borderId="29" pivotButton="0" quotePrefix="0" xfId="0"/>
    <xf numFmtId="164" fontId="7" fillId="28" borderId="31" pivotButton="0" quotePrefix="0" xfId="3"/>
    <xf numFmtId="164" fontId="7" fillId="28" borderId="0" pivotButton="0" quotePrefix="0" xfId="4"/>
    <xf numFmtId="164" fontId="9" fillId="28" borderId="32" pivotButton="0" quotePrefix="0" xfId="3"/>
    <xf numFmtId="164" fontId="9" fillId="28" borderId="29" pivotButton="0" quotePrefix="0" xfId="4"/>
    <xf numFmtId="164" fontId="7" fillId="28" borderId="30" pivotButton="0" quotePrefix="0" xfId="2"/>
    <xf numFmtId="2" fontId="5" fillId="28" borderId="0" applyAlignment="1" pivotButton="0" quotePrefix="0" xfId="0">
      <alignment horizontal="right"/>
    </xf>
    <xf numFmtId="2" fontId="5" fillId="28" borderId="28" applyAlignment="1" pivotButton="0" quotePrefix="0" xfId="0">
      <alignment horizontal="right"/>
    </xf>
    <xf numFmtId="43" fontId="5" fillId="0" borderId="31" applyAlignment="1" pivotButton="0" quotePrefix="0" xfId="117">
      <alignment horizontal="right"/>
    </xf>
    <xf numFmtId="43" fontId="5" fillId="0" borderId="0" applyAlignment="1" pivotButton="0" quotePrefix="0" xfId="117">
      <alignment horizontal="right"/>
    </xf>
    <xf numFmtId="43" fontId="5" fillId="0" borderId="28" applyAlignment="1" pivotButton="0" quotePrefix="0" xfId="117">
      <alignment horizontal="right"/>
    </xf>
    <xf numFmtId="43" fontId="5" fillId="0" borderId="33" applyAlignment="1" pivotButton="0" quotePrefix="0" xfId="117">
      <alignment horizontal="right"/>
    </xf>
    <xf numFmtId="43" fontId="5" fillId="0" borderId="34" applyAlignment="1" pivotButton="0" quotePrefix="0" xfId="117">
      <alignment horizontal="right"/>
    </xf>
    <xf numFmtId="43" fontId="5" fillId="0" borderId="3" applyAlignment="1" pivotButton="0" quotePrefix="0" xfId="117">
      <alignment horizontal="right"/>
    </xf>
    <xf numFmtId="43" fontId="5" fillId="0" borderId="35" applyAlignment="1" pivotButton="0" quotePrefix="0" xfId="117">
      <alignment horizontal="right"/>
    </xf>
    <xf numFmtId="43" fontId="5" fillId="0" borderId="14" applyAlignment="1" pivotButton="0" quotePrefix="0" xfId="117">
      <alignment horizontal="right"/>
    </xf>
    <xf numFmtId="2" fontId="45" fillId="0" borderId="33" pivotButton="0" quotePrefix="0" xfId="1"/>
    <xf numFmtId="2" fontId="45" fillId="0" borderId="34" pivotButton="0" quotePrefix="0" xfId="1"/>
    <xf numFmtId="2" fontId="45" fillId="0" borderId="3" pivotButton="0" quotePrefix="0" xfId="1"/>
    <xf numFmtId="2" fontId="59" fillId="28" borderId="30" applyAlignment="1" pivotButton="0" quotePrefix="0" xfId="0">
      <alignment horizontal="right"/>
    </xf>
    <xf numFmtId="43" fontId="59" fillId="0" borderId="28" applyAlignment="1" pivotButton="0" quotePrefix="0" xfId="117">
      <alignment horizontal="right"/>
    </xf>
    <xf numFmtId="43" fontId="59" fillId="0" borderId="3" applyAlignment="1" pivotButton="0" quotePrefix="0" xfId="117">
      <alignment horizontal="right"/>
    </xf>
    <xf numFmtId="43" fontId="59" fillId="0" borderId="0" applyAlignment="1" pivotButton="0" quotePrefix="0" xfId="117">
      <alignment horizontal="right"/>
    </xf>
    <xf numFmtId="2" fontId="59" fillId="0" borderId="12" applyAlignment="1" pivotButton="0" quotePrefix="0" xfId="1">
      <alignment horizontal="right"/>
    </xf>
    <xf numFmtId="43" fontId="59" fillId="0" borderId="35" applyAlignment="1" pivotButton="0" quotePrefix="0" xfId="117">
      <alignment horizontal="right"/>
    </xf>
    <xf numFmtId="43" fontId="59" fillId="0" borderId="14" applyAlignment="1" pivotButton="0" quotePrefix="0" xfId="117">
      <alignment horizontal="right"/>
    </xf>
    <xf numFmtId="43" fontId="45" fillId="4" borderId="35" pivotButton="0" quotePrefix="0" xfId="42"/>
    <xf numFmtId="2" fontId="45" fillId="28" borderId="14" pivotButton="0" quotePrefix="0" xfId="1"/>
    <xf numFmtId="2" fontId="39" fillId="0" borderId="14" pivotButton="0" quotePrefix="0" xfId="0"/>
    <xf numFmtId="2" fontId="59" fillId="28" borderId="12" applyAlignment="1" pivotButton="0" quotePrefix="0" xfId="0">
      <alignment horizontal="right"/>
    </xf>
    <xf numFmtId="2" fontId="45" fillId="28" borderId="35" pivotButton="0" quotePrefix="0" xfId="0"/>
    <xf numFmtId="2" fontId="45" fillId="4" borderId="35" pivotButton="0" quotePrefix="0" xfId="0"/>
    <xf numFmtId="2" fontId="45" fillId="4" borderId="35" pivotButton="0" quotePrefix="0" xfId="1"/>
    <xf numFmtId="2" fontId="45" fillId="28" borderId="35" pivotButton="0" quotePrefix="0" xfId="1"/>
    <xf numFmtId="2" fontId="45" fillId="28" borderId="35" applyAlignment="1" pivotButton="0" quotePrefix="0" xfId="0">
      <alignment horizontal="right"/>
    </xf>
    <xf numFmtId="2" fontId="45" fillId="28" borderId="14" pivotButton="0" quotePrefix="0" xfId="0"/>
    <xf numFmtId="2" fontId="59" fillId="28" borderId="12" applyAlignment="1" pivotButton="0" quotePrefix="0" xfId="1">
      <alignment horizontal="right"/>
    </xf>
    <xf numFmtId="164" fontId="45" fillId="28" borderId="15" pivotButton="0" quotePrefix="0" xfId="2"/>
    <xf numFmtId="164" fontId="45" fillId="28" borderId="35" pivotButton="0" quotePrefix="0" xfId="1"/>
    <xf numFmtId="164" fontId="45" fillId="28" borderId="35" pivotButton="0" quotePrefix="0" xfId="2"/>
    <xf numFmtId="164" fontId="45" fillId="28" borderId="14" pivotButton="0" quotePrefix="0" xfId="1"/>
    <xf numFmtId="2" fontId="59" fillId="0" borderId="35" applyAlignment="1" pivotButton="0" quotePrefix="0" xfId="1">
      <alignment horizontal="right"/>
    </xf>
    <xf numFmtId="2" fontId="45" fillId="0" borderId="15" pivotButton="0" quotePrefix="0" xfId="116"/>
    <xf numFmtId="2" fontId="60" fillId="0" borderId="15" pivotButton="0" quotePrefix="0" xfId="116"/>
    <xf numFmtId="166" fontId="59" fillId="0" borderId="35" applyAlignment="1" pivotButton="0" quotePrefix="0" xfId="1">
      <alignment horizontal="right"/>
    </xf>
    <xf numFmtId="2" fontId="59" fillId="28" borderId="29" applyAlignment="1" pivotButton="0" quotePrefix="0" xfId="1">
      <alignment horizontal="right"/>
    </xf>
    <xf numFmtId="2" fontId="39" fillId="28" borderId="35" pivotButton="0" quotePrefix="0" xfId="0"/>
    <xf numFmtId="0" fontId="59" fillId="28" borderId="12" pivotButton="0" quotePrefix="0" xfId="0"/>
    <xf numFmtId="2" fontId="45" fillId="0" borderId="35" pivotButton="0" quotePrefix="0" xfId="1"/>
    <xf numFmtId="0" fontId="39" fillId="28" borderId="35" pivotButton="0" quotePrefix="0" xfId="0"/>
    <xf numFmtId="2" fontId="59" fillId="28" borderId="12" pivotButton="0" quotePrefix="0" xfId="0"/>
    <xf numFmtId="164" fontId="39" fillId="28" borderId="35" pivotButton="0" quotePrefix="0" xfId="0"/>
    <xf numFmtId="164" fontId="45" fillId="28" borderId="0" pivotButton="0" quotePrefix="0" xfId="1"/>
    <xf numFmtId="2" fontId="59" fillId="0" borderId="0" applyAlignment="1" pivotButton="0" quotePrefix="0" xfId="1">
      <alignment horizontal="right"/>
    </xf>
    <xf numFmtId="43" fontId="59" fillId="0" borderId="28" applyAlignment="1" pivotButton="0" quotePrefix="0" xfId="42">
      <alignment horizontal="right"/>
    </xf>
    <xf numFmtId="43" fontId="59" fillId="0" borderId="3" applyAlignment="1" pivotButton="0" quotePrefix="0" xfId="42">
      <alignment horizontal="right"/>
    </xf>
    <xf numFmtId="166" fontId="59" fillId="0" borderId="0" applyAlignment="1" pivotButton="0" quotePrefix="0" xfId="1">
      <alignment horizontal="right"/>
    </xf>
    <xf numFmtId="2" fontId="60" fillId="0" borderId="35" pivotButton="0" quotePrefix="0" xfId="116"/>
    <xf numFmtId="0" fontId="10" fillId="0" borderId="10" pivotButton="0" quotePrefix="0" xfId="0"/>
    <xf numFmtId="0" fontId="10" fillId="0" borderId="11" pivotButton="0" quotePrefix="0" xfId="0"/>
    <xf numFmtId="0" fontId="5" fillId="0" borderId="6" pivotButton="0" quotePrefix="0" xfId="0"/>
    <xf numFmtId="0" fontId="5" fillId="0" borderId="0" pivotButton="0" quotePrefix="0" xfId="0"/>
    <xf numFmtId="0" fontId="0" fillId="0" borderId="16" applyAlignment="1" pivotButton="0" quotePrefix="0" xfId="0">
      <alignment horizontal="center"/>
    </xf>
    <xf numFmtId="0" fontId="0" fillId="0" borderId="17" applyAlignment="1" pivotButton="0" quotePrefix="0" xfId="0">
      <alignment horizontal="center"/>
    </xf>
    <xf numFmtId="0" fontId="0" fillId="0" borderId="13" applyAlignment="1" pivotButton="0" quotePrefix="0" xfId="0">
      <alignment horizontal="center"/>
    </xf>
    <xf numFmtId="0" fontId="4" fillId="0" borderId="15" applyAlignment="1" pivotButton="0" quotePrefix="0" xfId="5">
      <alignment horizontal="left" vertical="top" wrapText="1"/>
    </xf>
    <xf numFmtId="0" fontId="4" fillId="0" borderId="35" applyAlignment="1" pivotButton="0" quotePrefix="0" xfId="5">
      <alignment horizontal="left" vertical="top"/>
    </xf>
    <xf numFmtId="0" fontId="4" fillId="0" borderId="14" applyAlignment="1" pivotButton="0" quotePrefix="0" xfId="5">
      <alignment horizontal="left" vertical="top"/>
    </xf>
    <xf numFmtId="0" fontId="4" fillId="0" borderId="15" applyAlignment="1" pivotButton="0" quotePrefix="0" xfId="5">
      <alignment vertical="top" wrapText="1"/>
    </xf>
    <xf numFmtId="0" fontId="4" fillId="0" borderId="35" applyAlignment="1" pivotButton="0" quotePrefix="0" xfId="5">
      <alignment vertical="top"/>
    </xf>
    <xf numFmtId="0" fontId="4" fillId="0" borderId="14" applyAlignment="1" pivotButton="0" quotePrefix="0" xfId="5">
      <alignment vertical="top"/>
    </xf>
    <xf numFmtId="0" fontId="0" fillId="0" borderId="32" applyAlignment="1" pivotButton="0" quotePrefix="0" xfId="0">
      <alignment horizontal="center"/>
    </xf>
    <xf numFmtId="0" fontId="0" fillId="0" borderId="30" applyAlignment="1" pivotButton="0" quotePrefix="0" xfId="0">
      <alignment horizontal="center"/>
    </xf>
    <xf numFmtId="0" fontId="41" fillId="28" borderId="33" applyAlignment="1" pivotButton="0" quotePrefix="0" xfId="5">
      <alignment horizontal="center" vertical="center"/>
    </xf>
    <xf numFmtId="0" fontId="41" fillId="28" borderId="3" applyAlignment="1" pivotButton="0" quotePrefix="0" xfId="5">
      <alignment horizontal="center" vertical="center"/>
    </xf>
    <xf numFmtId="0" fontId="46" fillId="0" borderId="16" applyAlignment="1" pivotButton="0" quotePrefix="0" xfId="5">
      <alignment horizontal="center" vertical="center"/>
    </xf>
    <xf numFmtId="0" fontId="46" fillId="0" borderId="13" applyAlignment="1" pivotButton="0" quotePrefix="0" xfId="5">
      <alignment horizontal="center" vertical="center"/>
    </xf>
    <xf numFmtId="0" fontId="4" fillId="0" borderId="15" applyAlignment="1" pivotButton="0" quotePrefix="0" xfId="0">
      <alignment horizontal="left" vertical="top" wrapText="1"/>
    </xf>
    <xf numFmtId="0" fontId="4" fillId="0" borderId="35" applyAlignment="1" pivotButton="0" quotePrefix="0" xfId="0">
      <alignment horizontal="left" vertical="top" wrapText="1"/>
    </xf>
    <xf numFmtId="0" fontId="4" fillId="0" borderId="14" applyAlignment="1" pivotButton="0" quotePrefix="0" xfId="0">
      <alignment horizontal="left" vertical="top" wrapText="1"/>
    </xf>
    <xf numFmtId="0" fontId="0" fillId="0" borderId="35" applyAlignment="1" pivotButton="0" quotePrefix="0" xfId="0">
      <alignment horizontal="left" vertical="top"/>
    </xf>
    <xf numFmtId="0" fontId="0" fillId="0" borderId="14" applyAlignment="1" pivotButton="0" quotePrefix="0" xfId="0">
      <alignment horizontal="left" vertical="top"/>
    </xf>
    <xf numFmtId="0" fontId="46" fillId="28" borderId="16" applyAlignment="1" pivotButton="0" quotePrefix="0" xfId="5">
      <alignment horizontal="center" vertical="center"/>
    </xf>
    <xf numFmtId="0" fontId="46" fillId="28" borderId="13" applyAlignment="1" pivotButton="0" quotePrefix="0" xfId="5">
      <alignment horizontal="center" vertical="center"/>
    </xf>
    <xf numFmtId="0" fontId="46" fillId="28" borderId="17" applyAlignment="1" pivotButton="0" quotePrefix="0" xfId="5">
      <alignment horizontal="center" vertical="center"/>
    </xf>
    <xf numFmtId="0" fontId="4" fillId="28" borderId="15" applyAlignment="1" pivotButton="0" quotePrefix="0" xfId="5">
      <alignment horizontal="left" vertical="top" wrapText="1"/>
    </xf>
    <xf numFmtId="0" fontId="4" fillId="28" borderId="35" applyAlignment="1" pivotButton="0" quotePrefix="0" xfId="5">
      <alignment horizontal="left" vertical="top"/>
    </xf>
    <xf numFmtId="0" fontId="4" fillId="28" borderId="14" applyAlignment="1" pivotButton="0" quotePrefix="0" xfId="5">
      <alignment horizontal="left" vertical="top"/>
    </xf>
    <xf numFmtId="0" fontId="5" fillId="0" borderId="10" pivotButton="0" quotePrefix="0" xfId="0"/>
    <xf numFmtId="0" fontId="0" fillId="0" borderId="11" pivotButton="0" quotePrefix="0" xfId="0"/>
    <xf numFmtId="0" fontId="5" fillId="3" borderId="6" applyAlignment="1" pivotButton="0" quotePrefix="0" xfId="0">
      <alignment horizontal="left"/>
    </xf>
    <xf numFmtId="0" fontId="44" fillId="3" borderId="6" pivotButton="0" quotePrefix="0" xfId="0"/>
    <xf numFmtId="0" fontId="44" fillId="0" borderId="0" applyAlignment="1" pivotButton="0" quotePrefix="0" xfId="0">
      <alignment horizontal="left" vertical="top" wrapText="1"/>
    </xf>
    <xf numFmtId="0" fontId="44" fillId="0" borderId="0" applyAlignment="1" pivotButton="0" quotePrefix="0" xfId="0">
      <alignment vertical="top" wrapText="1"/>
    </xf>
    <xf numFmtId="0" fontId="44" fillId="0" borderId="0" applyAlignment="1" pivotButton="0" quotePrefix="0" xfId="0">
      <alignment wrapText="1"/>
    </xf>
    <xf numFmtId="0" fontId="61" fillId="0" borderId="0" pivotButton="0" quotePrefix="0" xfId="0"/>
    <xf numFmtId="0" fontId="44" fillId="0" borderId="0" pivotButton="0" quotePrefix="0" xfId="0"/>
    <xf numFmtId="0" fontId="61" fillId="28" borderId="0" pivotButton="0" quotePrefix="0" xfId="0"/>
    <xf numFmtId="0" fontId="61" fillId="0" borderId="38" applyAlignment="1" pivotButton="0" quotePrefix="0" xfId="0">
      <alignment horizontal="center" wrapText="1"/>
    </xf>
    <xf numFmtId="0" fontId="61" fillId="28" borderId="39" applyAlignment="1" pivotButton="0" quotePrefix="0" xfId="0">
      <alignment horizontal="center" vertical="center" wrapText="1"/>
    </xf>
    <xf numFmtId="0" fontId="61" fillId="32" borderId="55" applyAlignment="1" applyProtection="1" pivotButton="0" quotePrefix="0" xfId="0">
      <alignment horizontal="center" vertical="center" wrapText="1"/>
      <protection locked="0" hidden="0"/>
    </xf>
    <xf numFmtId="0" fontId="61" fillId="28" borderId="55" applyAlignment="1" pivotButton="0" quotePrefix="0" xfId="0">
      <alignment horizontal="center" vertical="center" wrapText="1"/>
    </xf>
    <xf numFmtId="0" fontId="61" fillId="32" borderId="40" applyAlignment="1" applyProtection="1" pivotButton="0" quotePrefix="0" xfId="0">
      <alignment horizontal="center" vertical="center" wrapText="1"/>
      <protection locked="0" hidden="0"/>
    </xf>
    <xf numFmtId="0" fontId="61" fillId="0" borderId="42" pivotButton="0" quotePrefix="0" xfId="0"/>
    <xf numFmtId="0" fontId="62" fillId="0" borderId="52" applyAlignment="1" pivotButton="0" quotePrefix="0" xfId="0">
      <alignment horizontal="center"/>
    </xf>
    <xf numFmtId="2" fontId="62" fillId="28" borderId="53" applyAlignment="1" pivotButton="0" quotePrefix="0" xfId="0">
      <alignment horizontal="center"/>
    </xf>
    <xf numFmtId="2" fontId="62" fillId="28" borderId="54" applyAlignment="1" pivotButton="0" quotePrefix="0" xfId="0">
      <alignment horizontal="center"/>
    </xf>
    <xf numFmtId="2" fontId="62" fillId="28" borderId="44" applyAlignment="1" pivotButton="0" quotePrefix="0" xfId="0">
      <alignment horizontal="center"/>
    </xf>
    <xf numFmtId="2" fontId="62" fillId="28" borderId="18" applyAlignment="1" pivotButton="0" quotePrefix="0" xfId="0">
      <alignment horizontal="center"/>
    </xf>
    <xf numFmtId="0" fontId="62" fillId="0" borderId="43" applyAlignment="1" pivotButton="0" quotePrefix="0" xfId="0">
      <alignment horizontal="center"/>
    </xf>
    <xf numFmtId="0" fontId="61" fillId="0" borderId="36" pivotButton="0" quotePrefix="0" xfId="0"/>
    <xf numFmtId="0" fontId="62" fillId="0" borderId="37" applyAlignment="1" pivotButton="0" quotePrefix="0" xfId="0">
      <alignment horizontal="center"/>
    </xf>
    <xf numFmtId="0" fontId="61" fillId="0" borderId="41" pivotButton="0" quotePrefix="0" xfId="0"/>
    <xf numFmtId="0" fontId="62" fillId="0" borderId="49" applyAlignment="1" pivotButton="0" quotePrefix="0" xfId="0">
      <alignment horizontal="center"/>
    </xf>
    <xf numFmtId="0" fontId="61" fillId="0" borderId="50" pivotButton="0" quotePrefix="0" xfId="0"/>
    <xf numFmtId="0" fontId="62" fillId="0" borderId="51" applyAlignment="1" pivotButton="0" quotePrefix="0" xfId="0">
      <alignment horizontal="center"/>
    </xf>
    <xf numFmtId="0" fontId="63" fillId="0" borderId="17" applyAlignment="1" pivotButton="0" quotePrefix="0" xfId="5">
      <alignment horizontal="center" vertical="center"/>
    </xf>
    <xf numFmtId="0" fontId="44" fillId="0" borderId="12" applyAlignment="1" pivotButton="0" quotePrefix="0" xfId="5">
      <alignment horizontal="left" vertical="top" wrapText="1"/>
    </xf>
    <xf numFmtId="0" fontId="64" fillId="0" borderId="14" applyAlignment="1" pivotButton="0" quotePrefix="0" xfId="5">
      <alignment horizontal="center" vertical="center"/>
    </xf>
    <xf numFmtId="0" fontId="64" fillId="28" borderId="34" applyAlignment="1" pivotButton="0" quotePrefix="0" xfId="5">
      <alignment horizontal="center" vertical="center"/>
    </xf>
    <xf numFmtId="0" fontId="0" fillId="0" borderId="12" applyAlignment="1" pivotButton="0" quotePrefix="0" xfId="0">
      <alignment horizontal="center"/>
    </xf>
    <xf numFmtId="0" fontId="0" fillId="0" borderId="17" pivotButton="0" quotePrefix="0" xfId="0"/>
    <xf numFmtId="0" fontId="0" fillId="0" borderId="13" pivotButton="0" quotePrefix="0" xfId="0"/>
    <xf numFmtId="0" fontId="44" fillId="0" borderId="31" applyAlignment="1" pivotButton="0" quotePrefix="0" xfId="5">
      <alignment horizontal="left" vertical="center"/>
    </xf>
    <xf numFmtId="0" fontId="64" fillId="0" borderId="1" applyAlignment="1" pivotButton="0" quotePrefix="0" xfId="5">
      <alignment horizontal="right" vertical="center"/>
    </xf>
    <xf numFmtId="0" fontId="64" fillId="0" borderId="47" applyAlignment="1" pivotButton="0" quotePrefix="0" xfId="5">
      <alignment horizontal="right" vertical="center"/>
    </xf>
    <xf numFmtId="0" fontId="64" fillId="0" borderId="48" applyAlignment="1" pivotButton="0" quotePrefix="0" xfId="5">
      <alignment horizontal="right" vertical="center"/>
    </xf>
    <xf numFmtId="0" fontId="64" fillId="0" borderId="50" applyAlignment="1" pivotButton="0" quotePrefix="0" xfId="5">
      <alignment horizontal="right" vertical="center"/>
    </xf>
    <xf numFmtId="0" fontId="64" fillId="0" borderId="57" applyAlignment="1" pivotButton="0" quotePrefix="0" xfId="5">
      <alignment horizontal="right" vertical="center"/>
    </xf>
    <xf numFmtId="0" fontId="64" fillId="0" borderId="51" applyAlignment="1" pivotButton="0" quotePrefix="0" xfId="5">
      <alignment horizontal="right" vertical="center"/>
    </xf>
    <xf numFmtId="0" fontId="44" fillId="28" borderId="35" applyAlignment="1" pivotButton="0" quotePrefix="0" xfId="5">
      <alignment horizontal="left"/>
    </xf>
    <xf numFmtId="167" fontId="39" fillId="4" borderId="0" pivotButton="0" quotePrefix="0" xfId="3"/>
    <xf numFmtId="167" fontId="39" fillId="4" borderId="0" pivotButton="0" quotePrefix="0" xfId="4"/>
    <xf numFmtId="166" fontId="39" fillId="4" borderId="28" pivotButton="0" quotePrefix="0" xfId="0"/>
    <xf numFmtId="166" fontId="39" fillId="4" borderId="35" pivotButton="0" quotePrefix="0" xfId="0"/>
    <xf numFmtId="2" fontId="44" fillId="28" borderId="34" pivotButton="0" quotePrefix="0" xfId="1"/>
    <xf numFmtId="2" fontId="44" fillId="28" borderId="3" pivotButton="0" quotePrefix="0" xfId="1"/>
    <xf numFmtId="2" fontId="44" fillId="0" borderId="35" pivotButton="0" quotePrefix="0" xfId="0"/>
    <xf numFmtId="167" fontId="55" fillId="28" borderId="32" pivotButton="0" quotePrefix="0" xfId="3"/>
    <xf numFmtId="167" fontId="55" fillId="28" borderId="29" pivotButton="0" quotePrefix="0" xfId="4"/>
    <xf numFmtId="164" fontId="55" fillId="28" borderId="30" pivotButton="0" quotePrefix="0" xfId="2"/>
    <xf numFmtId="164" fontId="55" fillId="28" borderId="0" pivotButton="0" quotePrefix="0" xfId="4"/>
    <xf numFmtId="164" fontId="55" fillId="28" borderId="28" pivotButton="0" quotePrefix="0" xfId="2"/>
    <xf numFmtId="165" fontId="55" fillId="28" borderId="28" pivotButton="0" quotePrefix="0" xfId="2"/>
    <xf numFmtId="2" fontId="44" fillId="28" borderId="31" pivotButton="0" quotePrefix="0" xfId="0"/>
    <xf numFmtId="2" fontId="44" fillId="28" borderId="0" pivotButton="0" quotePrefix="0" xfId="0"/>
    <xf numFmtId="2" fontId="44" fillId="28" borderId="28" pivotButton="0" quotePrefix="0" xfId="0"/>
    <xf numFmtId="2" fontId="44" fillId="4" borderId="31" pivotButton="0" quotePrefix="0" xfId="0"/>
    <xf numFmtId="2" fontId="44" fillId="4" borderId="0" pivotButton="0" quotePrefix="0" xfId="0"/>
    <xf numFmtId="2" fontId="44" fillId="4" borderId="28" pivotButton="0" quotePrefix="0" xfId="0"/>
    <xf numFmtId="2" fontId="44" fillId="4" borderId="31" pivotButton="0" quotePrefix="0" xfId="1"/>
    <xf numFmtId="2" fontId="44" fillId="4" borderId="0" pivotButton="0" quotePrefix="0" xfId="1"/>
    <xf numFmtId="2" fontId="44" fillId="4" borderId="28" pivotButton="0" quotePrefix="0" xfId="1"/>
    <xf numFmtId="2" fontId="44" fillId="28" borderId="31" pivotButton="0" quotePrefix="0" xfId="1"/>
    <xf numFmtId="2" fontId="44" fillId="28" borderId="0" pivotButton="0" quotePrefix="0" xfId="1"/>
    <xf numFmtId="2" fontId="44" fillId="28" borderId="28" pivotButton="0" quotePrefix="0" xfId="1"/>
    <xf numFmtId="2" fontId="39" fillId="28" borderId="31" pivotButton="0" quotePrefix="0" xfId="0"/>
    <xf numFmtId="2" fontId="39" fillId="28" borderId="0" pivotButton="0" quotePrefix="0" xfId="0"/>
    <xf numFmtId="2" fontId="39" fillId="28" borderId="28" pivotButton="0" quotePrefix="0" xfId="0"/>
    <xf numFmtId="2" fontId="39" fillId="28" borderId="33" pivotButton="0" quotePrefix="0" xfId="0"/>
    <xf numFmtId="2" fontId="39" fillId="28" borderId="34" pivotButton="0" quotePrefix="0" xfId="0"/>
    <xf numFmtId="2" fontId="39" fillId="28" borderId="3" pivotButton="0" quotePrefix="0" xfId="0"/>
    <xf numFmtId="164" fontId="57" fillId="28" borderId="31" pivotButton="0" quotePrefix="0" xfId="3"/>
    <xf numFmtId="164" fontId="14" fillId="28" borderId="31" applyProtection="1" pivotButton="0" quotePrefix="0" xfId="2">
      <protection locked="0" hidden="0"/>
    </xf>
    <xf numFmtId="164" fontId="44" fillId="28" borderId="31" pivotButton="0" quotePrefix="0" xfId="2"/>
    <xf numFmtId="164" fontId="44" fillId="28" borderId="0" pivotButton="0" quotePrefix="0" xfId="2"/>
    <xf numFmtId="164" fontId="44" fillId="28" borderId="28" pivotButton="0" quotePrefix="0" xfId="2"/>
    <xf numFmtId="164" fontId="44" fillId="0" borderId="35" pivotButton="0" quotePrefix="0" xfId="0"/>
    <xf numFmtId="164" fontId="7" fillId="28" borderId="31" applyProtection="1" pivotButton="0" quotePrefix="0" xfId="1">
      <protection locked="0" hidden="0"/>
    </xf>
    <xf numFmtId="164" fontId="44" fillId="28" borderId="31" pivotButton="0" quotePrefix="0" xfId="1"/>
    <xf numFmtId="164" fontId="44" fillId="28" borderId="0" pivotButton="0" quotePrefix="0" xfId="1"/>
    <xf numFmtId="164" fontId="44" fillId="28" borderId="28" pivotButton="0" quotePrefix="0" xfId="1"/>
    <xf numFmtId="164" fontId="7" fillId="28" borderId="31" applyProtection="1" pivotButton="0" quotePrefix="0" xfId="2">
      <protection locked="0" hidden="0"/>
    </xf>
    <xf numFmtId="164" fontId="14" fillId="28" borderId="31" applyProtection="1" pivotButton="0" quotePrefix="0" xfId="1">
      <protection locked="0" hidden="0"/>
    </xf>
    <xf numFmtId="164" fontId="55" fillId="28" borderId="31" pivotButton="0" quotePrefix="0" xfId="3"/>
    <xf numFmtId="164" fontId="57" fillId="0" borderId="32" pivotButton="0" quotePrefix="0" xfId="3"/>
    <xf numFmtId="164" fontId="57" fillId="0" borderId="29" pivotButton="0" quotePrefix="0" xfId="4"/>
    <xf numFmtId="164" fontId="55" fillId="0" borderId="30" pivotButton="0" quotePrefix="0" xfId="2"/>
    <xf numFmtId="165" fontId="5" fillId="0" borderId="14" applyAlignment="1" pivotButton="0" quotePrefix="0" xfId="5">
      <alignment horizontal="left"/>
    </xf>
    <xf numFmtId="164" fontId="9" fillId="0" borderId="31" pivotButton="0" quotePrefix="0" xfId="4"/>
    <xf numFmtId="164" fontId="9" fillId="0" borderId="0" pivotButton="0" quotePrefix="0" xfId="4"/>
    <xf numFmtId="164" fontId="9" fillId="0" borderId="28" pivotButton="0" quotePrefix="0" xfId="2"/>
    <xf numFmtId="164" fontId="9" fillId="0" borderId="32" pivotButton="0" quotePrefix="0" xfId="4"/>
    <xf numFmtId="164" fontId="9" fillId="0" borderId="29" pivotButton="0" quotePrefix="0" xfId="4"/>
    <xf numFmtId="164" fontId="9" fillId="0" borderId="30" pivotButton="0" quotePrefix="0" xfId="2"/>
    <xf numFmtId="166" fontId="5" fillId="0" borderId="31" applyAlignment="1" pivotButton="0" quotePrefix="0" xfId="1">
      <alignment horizontal="right"/>
    </xf>
    <xf numFmtId="164" fontId="57" fillId="0" borderId="31" pivotButton="0" quotePrefix="0" xfId="4"/>
    <xf numFmtId="164" fontId="57" fillId="0" borderId="0" pivotButton="0" quotePrefix="0" xfId="4"/>
    <xf numFmtId="164" fontId="57" fillId="0" borderId="28" pivotButton="0" quotePrefix="0" xfId="2"/>
    <xf numFmtId="164" fontId="57" fillId="0" borderId="32" pivotButton="0" quotePrefix="0" xfId="4"/>
    <xf numFmtId="164" fontId="57" fillId="0" borderId="30" pivotButton="0" quotePrefix="0" xfId="2"/>
    <xf numFmtId="0" fontId="0" fillId="0" borderId="14" pivotButton="0" quotePrefix="0" xfId="0"/>
    <xf numFmtId="0" fontId="44" fillId="0" borderId="12" applyAlignment="1" pivotButton="0" quotePrefix="0" xfId="5">
      <alignment vertical="top" wrapText="1"/>
    </xf>
    <xf numFmtId="0" fontId="64" fillId="0" borderId="33" applyAlignment="1" pivotButton="0" quotePrefix="0" xfId="5">
      <alignment horizontal="right" vertical="center"/>
    </xf>
    <xf numFmtId="0" fontId="64" fillId="0" borderId="34" applyAlignment="1" pivotButton="0" quotePrefix="0" xfId="5">
      <alignment horizontal="right" vertical="center"/>
    </xf>
    <xf numFmtId="0" fontId="64" fillId="0" borderId="3" applyAlignment="1" pivotButton="0" quotePrefix="0" xfId="5">
      <alignment horizontal="right" vertical="center"/>
    </xf>
    <xf numFmtId="167" fontId="39" fillId="4" borderId="31" pivotButton="0" quotePrefix="0" xfId="3"/>
    <xf numFmtId="2" fontId="44" fillId="28" borderId="33" pivotButton="0" quotePrefix="0" xfId="1"/>
    <xf numFmtId="167" fontId="7" fillId="28" borderId="32" pivotButton="0" quotePrefix="0" xfId="3"/>
    <xf numFmtId="167" fontId="7" fillId="28" borderId="29" pivotButton="0" quotePrefix="0" xfId="4"/>
    <xf numFmtId="164" fontId="14" fillId="28" borderId="30" pivotButton="0" quotePrefix="0" xfId="2"/>
    <xf numFmtId="164" fontId="57" fillId="28" borderId="32" pivotButton="0" quotePrefix="0" xfId="3"/>
    <xf numFmtId="164" fontId="55" fillId="28" borderId="29" pivotButton="0" quotePrefix="0" xfId="4"/>
    <xf numFmtId="164" fontId="55" fillId="28" borderId="31" applyProtection="1" pivotButton="0" quotePrefix="0" xfId="2">
      <protection locked="0" hidden="0"/>
    </xf>
    <xf numFmtId="164" fontId="55" fillId="28" borderId="31" applyProtection="1" pivotButton="0" quotePrefix="0" xfId="1">
      <protection locked="0" hidden="0"/>
    </xf>
    <xf numFmtId="0" fontId="44" fillId="0" borderId="35" applyAlignment="1" pivotButton="0" quotePrefix="0" xfId="5">
      <alignment horizontal="left"/>
    </xf>
    <xf numFmtId="164" fontId="55" fillId="0" borderId="31" pivotButton="0" quotePrefix="0" xfId="3"/>
    <xf numFmtId="164" fontId="55" fillId="0" borderId="0" pivotButton="0" quotePrefix="0" xfId="4"/>
    <xf numFmtId="164" fontId="55" fillId="0" borderId="28" pivotButton="0" quotePrefix="0" xfId="2"/>
    <xf numFmtId="0" fontId="64" fillId="0" borderId="58" applyAlignment="1" pivotButton="0" quotePrefix="0" xfId="5">
      <alignment horizontal="right" vertical="center"/>
    </xf>
    <xf numFmtId="166" fontId="44" fillId="4" borderId="35" pivotButton="0" quotePrefix="0" xfId="0"/>
    <xf numFmtId="2" fontId="39" fillId="28" borderId="31" pivotButton="0" quotePrefix="0" xfId="1"/>
    <xf numFmtId="2" fontId="39" fillId="28" borderId="0" pivotButton="0" quotePrefix="0" xfId="1"/>
    <xf numFmtId="2" fontId="39" fillId="28" borderId="28" pivotButton="0" quotePrefix="0" xfId="1"/>
    <xf numFmtId="164" fontId="39" fillId="28" borderId="31" pivotButton="0" quotePrefix="0" xfId="2"/>
    <xf numFmtId="164" fontId="39" fillId="28" borderId="0" pivotButton="0" quotePrefix="0" xfId="2"/>
    <xf numFmtId="164" fontId="39" fillId="28" borderId="28" pivotButton="0" quotePrefix="0" xfId="2"/>
    <xf numFmtId="164" fontId="39" fillId="0" borderId="35" pivotButton="0" quotePrefix="0" xfId="0"/>
    <xf numFmtId="164" fontId="39" fillId="28" borderId="31" pivotButton="0" quotePrefix="0" xfId="1"/>
    <xf numFmtId="164" fontId="39" fillId="28" borderId="0" pivotButton="0" quotePrefix="0" xfId="1"/>
    <xf numFmtId="164" fontId="39" fillId="28" borderId="28" pivotButton="0" quotePrefix="0" xfId="1"/>
    <xf numFmtId="164" fontId="60" fillId="0" borderId="32" pivotButton="0" quotePrefix="0" xfId="3"/>
    <xf numFmtId="164" fontId="60" fillId="0" borderId="29" pivotButton="0" quotePrefix="0" xfId="4"/>
    <xf numFmtId="164" fontId="45" fillId="0" borderId="30" pivotButton="0" quotePrefix="0" xfId="2"/>
    <xf numFmtId="164" fontId="60" fillId="0" borderId="31" pivotButton="0" quotePrefix="0" xfId="4"/>
    <xf numFmtId="164" fontId="60" fillId="0" borderId="0" pivotButton="0" quotePrefix="0" xfId="4"/>
    <xf numFmtId="164" fontId="60" fillId="0" borderId="28" pivotButton="0" quotePrefix="0" xfId="2"/>
    <xf numFmtId="164" fontId="60" fillId="0" borderId="32" pivotButton="0" quotePrefix="0" xfId="4"/>
    <xf numFmtId="164" fontId="60" fillId="0" borderId="30" pivotButton="0" quotePrefix="0" xfId="2"/>
    <xf numFmtId="167" fontId="44" fillId="4" borderId="0" pivotButton="0" quotePrefix="0" xfId="3"/>
    <xf numFmtId="167" fontId="44" fillId="4" borderId="0" pivotButton="0" quotePrefix="0" xfId="4"/>
    <xf numFmtId="166" fontId="44" fillId="4" borderId="28" pivotButton="0" quotePrefix="0" xfId="0"/>
    <xf numFmtId="2" fontId="39" fillId="28" borderId="34" pivotButton="0" quotePrefix="0" xfId="1"/>
    <xf numFmtId="2" fontId="39" fillId="28" borderId="3" pivotButton="0" quotePrefix="0" xfId="1"/>
    <xf numFmtId="2" fontId="39" fillId="4" borderId="31" pivotButton="0" quotePrefix="0" xfId="0"/>
    <xf numFmtId="2" fontId="39" fillId="4" borderId="0" pivotButton="0" quotePrefix="0" xfId="0"/>
    <xf numFmtId="2" fontId="39" fillId="4" borderId="28" pivotButton="0" quotePrefix="0" xfId="0"/>
    <xf numFmtId="2" fontId="39" fillId="4" borderId="31" pivotButton="0" quotePrefix="0" xfId="1"/>
    <xf numFmtId="2" fontId="39" fillId="4" borderId="0" pivotButton="0" quotePrefix="0" xfId="1"/>
    <xf numFmtId="2" fontId="39" fillId="4" borderId="28" pivotButton="0" quotePrefix="0" xfId="1"/>
    <xf numFmtId="164" fontId="45" fillId="28" borderId="31" pivotButton="0" quotePrefix="0" xfId="3"/>
    <xf numFmtId="164" fontId="45" fillId="28" borderId="0" pivotButton="0" quotePrefix="0" xfId="4"/>
    <xf numFmtId="164" fontId="45" fillId="28" borderId="28" pivotButton="0" quotePrefix="0" xfId="2"/>
    <xf numFmtId="2" fontId="39" fillId="28" borderId="33" pivotButton="0" quotePrefix="0" xfId="1"/>
    <xf numFmtId="164" fontId="45" fillId="0" borderId="31" pivotButton="0" quotePrefix="0" xfId="3"/>
    <xf numFmtId="164" fontId="45" fillId="0" borderId="0" pivotButton="0" quotePrefix="0" xfId="4"/>
    <xf numFmtId="164" fontId="45" fillId="0" borderId="28" pivotButton="0" quotePrefix="0" xfId="2"/>
    <xf numFmtId="0" fontId="63" fillId="0" borderId="12" applyAlignment="1" pivotButton="0" quotePrefix="0" xfId="5">
      <alignment horizontal="center" vertical="center"/>
    </xf>
    <xf numFmtId="0" fontId="64" fillId="28" borderId="14" applyAlignment="1" pivotButton="0" quotePrefix="0" xfId="5">
      <alignment horizontal="center" vertical="center"/>
    </xf>
    <xf numFmtId="0" fontId="0" fillId="0" borderId="3" pivotButton="0" quotePrefix="0" xfId="0"/>
    <xf numFmtId="0" fontId="0" fillId="0" borderId="15" applyAlignment="1" pivotButton="0" quotePrefix="0" xfId="0">
      <alignment horizontal="center"/>
    </xf>
    <xf numFmtId="0" fontId="0" fillId="0" borderId="30" pivotButton="0" quotePrefix="0" xfId="0"/>
    <xf numFmtId="0" fontId="64" fillId="0" borderId="39" applyAlignment="1" pivotButton="0" quotePrefix="0" xfId="5">
      <alignment horizontal="right" vertical="center"/>
    </xf>
    <xf numFmtId="0" fontId="64" fillId="0" borderId="40" applyAlignment="1" pivotButton="0" quotePrefix="0" xfId="5">
      <alignment horizontal="right" vertical="center"/>
    </xf>
    <xf numFmtId="167" fontId="39" fillId="4" borderId="28" pivotButton="0" quotePrefix="0" xfId="4"/>
    <xf numFmtId="167" fontId="55" fillId="28" borderId="30" pivotButton="0" quotePrefix="0" xfId="4"/>
    <xf numFmtId="164" fontId="55" fillId="28" borderId="28" pivotButton="0" quotePrefix="0" xfId="4"/>
    <xf numFmtId="164" fontId="45" fillId="0" borderId="28" pivotButton="0" quotePrefix="0" xfId="4"/>
    <xf numFmtId="164" fontId="60" fillId="0" borderId="30" pivotButton="0" quotePrefix="0" xfId="4"/>
    <xf numFmtId="164" fontId="60" fillId="0" borderId="28" pivotButton="0" quotePrefix="0" xfId="4"/>
    <xf numFmtId="166" fontId="59" fillId="0" borderId="31" applyAlignment="1" pivotButton="0" quotePrefix="0" xfId="1">
      <alignment horizontal="right"/>
    </xf>
    <xf numFmtId="166" fontId="39" fillId="4" borderId="31" pivotButton="0" quotePrefix="0" xfId="0"/>
    <xf numFmtId="165" fontId="5" fillId="0" borderId="31" applyAlignment="1" pivotButton="0" quotePrefix="0" xfId="0">
      <alignment horizontal="right"/>
    </xf>
    <xf numFmtId="166" fontId="5" fillId="0" borderId="33" applyAlignment="1" pivotButton="0" quotePrefix="0" xfId="0">
      <alignment horizontal="right"/>
    </xf>
    <xf numFmtId="167" fontId="44" fillId="4" borderId="31" pivotButton="0" quotePrefix="0" xfId="3"/>
    <xf numFmtId="164" fontId="60" fillId="28" borderId="32" pivotButton="0" quotePrefix="0" xfId="3"/>
    <xf numFmtId="164" fontId="60" fillId="28" borderId="29" pivotButton="0" quotePrefix="0" xfId="4"/>
    <xf numFmtId="164" fontId="45" fillId="28" borderId="30" pivotButton="0" quotePrefix="0" xfId="2"/>
    <xf numFmtId="166" fontId="44" fillId="4" borderId="32" pivotButton="0" quotePrefix="0" xfId="116"/>
    <xf numFmtId="166" fontId="44" fillId="4" borderId="29" pivotButton="0" quotePrefix="0" xfId="116"/>
    <xf numFmtId="166" fontId="44" fillId="4" borderId="30" pivotButton="0" quotePrefix="0" xfId="116"/>
    <xf numFmtId="2" fontId="39" fillId="28" borderId="31" applyAlignment="1" pivotButton="0" quotePrefix="0" xfId="0">
      <alignment horizontal="right"/>
    </xf>
    <xf numFmtId="2" fontId="39" fillId="28" borderId="0" applyAlignment="1" pivotButton="0" quotePrefix="0" xfId="0">
      <alignment horizontal="right"/>
    </xf>
    <xf numFmtId="2" fontId="39" fillId="28" borderId="28" applyAlignment="1" pivotButton="0" quotePrefix="0" xfId="0">
      <alignment horizontal="right"/>
    </xf>
    <xf numFmtId="166" fontId="59" fillId="0" borderId="0" applyAlignment="1" pivotButton="0" quotePrefix="0" xfId="1">
      <alignment horizontal="right"/>
    </xf>
    <xf numFmtId="166" fontId="59" fillId="0" borderId="28" applyAlignment="1" pivotButton="0" quotePrefix="0" xfId="1">
      <alignment horizontal="right"/>
    </xf>
    <xf numFmtId="0" fontId="63" fillId="0" borderId="16" applyAlignment="1" pivotButton="0" quotePrefix="0" xfId="5">
      <alignment horizontal="center" vertical="center"/>
    </xf>
    <xf numFmtId="0" fontId="44" fillId="0" borderId="12" applyAlignment="1" pivotButton="0" quotePrefix="0" xfId="0">
      <alignment horizontal="left" vertical="top" wrapText="1"/>
    </xf>
    <xf numFmtId="0" fontId="64" fillId="28" borderId="33" applyAlignment="1" pivotButton="0" quotePrefix="0" xfId="5">
      <alignment horizontal="center" vertical="center"/>
    </xf>
    <xf numFmtId="0" fontId="44" fillId="28" borderId="31" applyAlignment="1" pivotButton="0" quotePrefix="0" xfId="5">
      <alignment horizontal="left" vertical="center"/>
    </xf>
    <xf numFmtId="0" fontId="64" fillId="28" borderId="31" applyAlignment="1" pivotButton="0" quotePrefix="0" xfId="5">
      <alignment horizontal="right" vertical="center"/>
    </xf>
    <xf numFmtId="0" fontId="64" fillId="28" borderId="59" applyAlignment="1" pivotButton="0" quotePrefix="0" xfId="5">
      <alignment horizontal="right" vertical="center"/>
    </xf>
    <xf numFmtId="0" fontId="64" fillId="28" borderId="14" applyAlignment="1" pivotButton="0" quotePrefix="0" xfId="5">
      <alignment horizontal="right" vertical="center"/>
    </xf>
    <xf numFmtId="43" fontId="39" fillId="4" borderId="31" pivotButton="0" quotePrefix="0" xfId="42"/>
    <xf numFmtId="2" fontId="39" fillId="0" borderId="31" pivotButton="0" quotePrefix="0" xfId="1"/>
    <xf numFmtId="164" fontId="39" fillId="28" borderId="33" pivotButton="0" quotePrefix="0" xfId="1"/>
    <xf numFmtId="165" fontId="5" fillId="28" borderId="14" applyAlignment="1" pivotButton="0" quotePrefix="0" xfId="5">
      <alignment horizontal="left"/>
    </xf>
    <xf numFmtId="0" fontId="64" fillId="28" borderId="46" applyAlignment="1" pivotButton="0" quotePrefix="0" xfId="5">
      <alignment horizontal="right" vertical="center"/>
    </xf>
    <xf numFmtId="0" fontId="64" fillId="28" borderId="2" applyAlignment="1" pivotButton="0" quotePrefix="0" xfId="5">
      <alignment horizontal="right" vertical="center"/>
    </xf>
    <xf numFmtId="0" fontId="64" fillId="28" borderId="45" applyAlignment="1" pivotButton="0" quotePrefix="0" xfId="5">
      <alignment horizontal="right" vertical="center"/>
    </xf>
    <xf numFmtId="43" fontId="44" fillId="4" borderId="35" pivotButton="0" quotePrefix="0" xfId="42"/>
    <xf numFmtId="2" fontId="44" fillId="0" borderId="35" pivotButton="0" quotePrefix="0" xfId="1"/>
    <xf numFmtId="2" fontId="44" fillId="28" borderId="35" pivotButton="0" quotePrefix="0" xfId="0"/>
    <xf numFmtId="2" fontId="44" fillId="4" borderId="35" pivotButton="0" quotePrefix="0" xfId="0"/>
    <xf numFmtId="2" fontId="44" fillId="4" borderId="35" pivotButton="0" quotePrefix="0" xfId="1"/>
    <xf numFmtId="2" fontId="44" fillId="28" borderId="35" pivotButton="0" quotePrefix="0" xfId="1"/>
    <xf numFmtId="2" fontId="44" fillId="28" borderId="35" applyAlignment="1" pivotButton="0" quotePrefix="0" xfId="0">
      <alignment horizontal="right"/>
    </xf>
    <xf numFmtId="2" fontId="44" fillId="28" borderId="14" pivotButton="0" quotePrefix="0" xfId="0"/>
    <xf numFmtId="164" fontId="44" fillId="28" borderId="35" pivotButton="0" quotePrefix="0" xfId="2"/>
    <xf numFmtId="164" fontId="44" fillId="28" borderId="35" pivotButton="0" quotePrefix="0" xfId="1"/>
    <xf numFmtId="164" fontId="44" fillId="28" borderId="14" pivotButton="0" quotePrefix="0" xfId="1"/>
    <xf numFmtId="166" fontId="5" fillId="0" borderId="35" applyAlignment="1" pivotButton="0" quotePrefix="0" xfId="1">
      <alignment horizontal="right"/>
    </xf>
    <xf numFmtId="0" fontId="63" fillId="28" borderId="12" applyAlignment="1" pivotButton="0" quotePrefix="0" xfId="5">
      <alignment horizontal="center" vertical="center"/>
    </xf>
    <xf numFmtId="0" fontId="64" fillId="28" borderId="12" applyAlignment="1" pivotButton="0" quotePrefix="0" xfId="5">
      <alignment horizontal="center" vertical="center"/>
    </xf>
    <xf numFmtId="0" fontId="44" fillId="28" borderId="35" applyAlignment="1" pivotButton="0" quotePrefix="0" xfId="5">
      <alignment horizontal="left" vertical="center"/>
    </xf>
    <xf numFmtId="43" fontId="44" fillId="4" borderId="28" pivotButton="0" quotePrefix="0" xfId="42"/>
    <xf numFmtId="168" fontId="44" fillId="4" borderId="35" pivotButton="0" quotePrefix="0" xfId="42"/>
    <xf numFmtId="164" fontId="14" fillId="28" borderId="35" applyProtection="1" pivotButton="0" quotePrefix="0" xfId="2">
      <protection locked="0" hidden="0"/>
    </xf>
    <xf numFmtId="164" fontId="44" fillId="28" borderId="35" pivotButton="0" quotePrefix="0" xfId="0"/>
    <xf numFmtId="164" fontId="7" fillId="28" borderId="35" applyProtection="1" pivotButton="0" quotePrefix="0" xfId="1">
      <protection locked="0" hidden="0"/>
    </xf>
    <xf numFmtId="164" fontId="7" fillId="28" borderId="35" applyProtection="1" pivotButton="0" quotePrefix="0" xfId="2">
      <protection locked="0" hidden="0"/>
    </xf>
    <xf numFmtId="164" fontId="14" fillId="28" borderId="35" applyProtection="1" pivotButton="0" quotePrefix="0" xfId="1">
      <protection locked="0" hidden="0"/>
    </xf>
    <xf numFmtId="0" fontId="44" fillId="28" borderId="14" applyAlignment="1" pivotButton="0" quotePrefix="0" xfId="5">
      <alignment horizontal="left"/>
    </xf>
    <xf numFmtId="164" fontId="7" fillId="28" borderId="14" applyProtection="1" pivotButton="0" quotePrefix="0" xfId="1">
      <protection locked="0" hidden="0"/>
    </xf>
    <xf numFmtId="166" fontId="5" fillId="28" borderId="35" applyAlignment="1" pivotButton="0" quotePrefix="0" xfId="1">
      <alignment horizontal="right"/>
    </xf>
    <xf numFmtId="164" fontId="5" fillId="0" borderId="0" pivotButton="0" quotePrefix="0" xfId="5"/>
    <xf numFmtId="0" fontId="64" fillId="28" borderId="1" applyAlignment="1" pivotButton="0" quotePrefix="0" xfId="5">
      <alignment horizontal="right" vertical="center"/>
    </xf>
    <xf numFmtId="0" fontId="64" fillId="28" borderId="47" applyAlignment="1" pivotButton="0" quotePrefix="0" xfId="5">
      <alignment horizontal="right" vertical="center"/>
    </xf>
    <xf numFmtId="0" fontId="64" fillId="28" borderId="48" applyAlignment="1" pivotButton="0" quotePrefix="0" xfId="5">
      <alignment horizontal="right" vertical="center"/>
    </xf>
    <xf numFmtId="2" fontId="44" fillId="28" borderId="33" pivotButton="0" quotePrefix="0" xfId="0"/>
    <xf numFmtId="2" fontId="44" fillId="28" borderId="34" pivotButton="0" quotePrefix="0" xfId="0"/>
    <xf numFmtId="2" fontId="44" fillId="28" borderId="3" pivotButton="0" quotePrefix="0" xfId="0"/>
    <xf numFmtId="164" fontId="7" fillId="0" borderId="31" pivotButton="0" quotePrefix="0" xfId="3"/>
    <xf numFmtId="164" fontId="7" fillId="0" borderId="0" pivotButton="0" quotePrefix="0" xfId="4"/>
    <xf numFmtId="164" fontId="7" fillId="0" borderId="28" pivotButton="0" quotePrefix="0" xfId="2"/>
    <xf numFmtId="164" fontId="9" fillId="0" borderId="32" pivotButton="0" quotePrefix="0" xfId="3"/>
    <xf numFmtId="164" fontId="7" fillId="0" borderId="30" pivotButton="0" quotePrefix="0" xfId="2"/>
    <xf numFmtId="0" fontId="44" fillId="0" borderId="35" applyAlignment="1" pivotButton="0" quotePrefix="0" xfId="5">
      <alignment horizontal="left" vertical="center"/>
    </xf>
    <xf numFmtId="0" fontId="64" fillId="0" borderId="35" applyAlignment="1" pivotButton="0" quotePrefix="0" xfId="5">
      <alignment horizontal="right" vertical="center"/>
    </xf>
    <xf numFmtId="0" fontId="64" fillId="0" borderId="31" applyAlignment="1" pivotButton="0" quotePrefix="0" xfId="5">
      <alignment horizontal="right" vertical="center"/>
    </xf>
    <xf numFmtId="0" fontId="64" fillId="0" borderId="14" applyAlignment="1" pivotButton="0" quotePrefix="0" xfId="5">
      <alignment horizontal="right" vertical="center"/>
    </xf>
    <xf numFmtId="168" fontId="39" fillId="4" borderId="35" pivotButton="0" quotePrefix="0" xfId="42"/>
    <xf numFmtId="2" fontId="44" fillId="28" borderId="31" applyAlignment="1" pivotButton="0" quotePrefix="0" xfId="0">
      <alignment horizontal="right"/>
    </xf>
    <xf numFmtId="164" fontId="44" fillId="28" borderId="33" pivotButton="0" quotePrefix="0" xfId="1"/>
    <xf numFmtId="0" fontId="64" fillId="0" borderId="0" applyAlignment="1" pivotButton="0" quotePrefix="0" xfId="5">
      <alignment horizontal="right" vertical="center"/>
    </xf>
    <xf numFmtId="43" fontId="39" fillId="4" borderId="0" pivotButton="0" quotePrefix="0" xfId="42"/>
    <xf numFmtId="168" fontId="0" fillId="4" borderId="35" pivotButton="0" quotePrefix="0" xfId="42"/>
    <xf numFmtId="166" fontId="5" fillId="0" borderId="0" applyAlignment="1" pivotButton="0" quotePrefix="0" xfId="1">
      <alignment horizontal="right"/>
    </xf>
    <xf numFmtId="43" fontId="44" fillId="4" borderId="0" pivotButton="0" quotePrefix="0" xfId="42"/>
    <xf numFmtId="2" fontId="44" fillId="0" borderId="14" pivotButton="0" quotePrefix="0" xfId="0"/>
    <xf numFmtId="0" fontId="64" fillId="0" borderId="55" applyAlignment="1" pivotButton="0" quotePrefix="0" xfId="5">
      <alignment horizontal="right" vertical="center"/>
    </xf>
    <xf numFmtId="43" fontId="44" fillId="4" borderId="31" pivotButton="0" quotePrefix="0" xfId="117"/>
    <xf numFmtId="43" fontId="44" fillId="4" borderId="0" pivotButton="0" quotePrefix="0" xfId="117"/>
    <xf numFmtId="43" fontId="44" fillId="4" borderId="28" pivotButton="0" quotePrefix="0" xfId="117"/>
    <xf numFmtId="2" fontId="44" fillId="0" borderId="33" pivotButton="0" quotePrefix="0" xfId="1"/>
    <xf numFmtId="2" fontId="44" fillId="0" borderId="34" pivotButton="0" quotePrefix="0" xfId="1"/>
    <xf numFmtId="2" fontId="44" fillId="0" borderId="3" pivotButton="0" quotePrefix="0" xfId="1"/>
    <xf numFmtId="164" fontId="7" fillId="28" borderId="31" pivotButton="0" quotePrefix="0" xfId="3"/>
    <xf numFmtId="164" fontId="7" fillId="28" borderId="0" pivotButton="0" quotePrefix="0" xfId="4"/>
    <xf numFmtId="164" fontId="7" fillId="28" borderId="28" pivotButton="0" quotePrefix="0" xfId="2"/>
    <xf numFmtId="164" fontId="9" fillId="28" borderId="32" pivotButton="0" quotePrefix="0" xfId="3"/>
    <xf numFmtId="164" fontId="9" fillId="28" borderId="29" pivotButton="0" quotePrefix="0" xfId="4"/>
    <xf numFmtId="164" fontId="7" fillId="28" borderId="30" pivotButton="0" quotePrefix="0" xfId="2"/>
    <xf numFmtId="0" fontId="39" fillId="28" borderId="1" applyAlignment="1" pivotButton="0" quotePrefix="0" xfId="5">
      <alignment horizontal="right" vertical="center"/>
    </xf>
    <xf numFmtId="0" fontId="39" fillId="28" borderId="47" applyAlignment="1" pivotButton="0" quotePrefix="0" xfId="5">
      <alignment horizontal="right" vertical="center"/>
    </xf>
    <xf numFmtId="0" fontId="39" fillId="28" borderId="48" applyAlignment="1" pivotButton="0" quotePrefix="0" xfId="5">
      <alignment horizontal="right" vertical="center"/>
    </xf>
    <xf numFmtId="2" fontId="39" fillId="0" borderId="33" pivotButton="0" quotePrefix="0" xfId="1"/>
    <xf numFmtId="2" fontId="39" fillId="0" borderId="34" pivotButton="0" quotePrefix="0" xfId="1"/>
    <xf numFmtId="2" fontId="39" fillId="0" borderId="3" pivotButton="0" quotePrefix="0" xfId="1"/>
    <xf numFmtId="43" fontId="39" fillId="4" borderId="35" pivotButton="0" quotePrefix="0" xfId="42"/>
    <xf numFmtId="2" fontId="39" fillId="28" borderId="14" pivotButton="0" quotePrefix="0" xfId="1"/>
    <xf numFmtId="2" fontId="39" fillId="4" borderId="35" pivotButton="0" quotePrefix="0" xfId="0"/>
    <xf numFmtId="2" fontId="39" fillId="4" borderId="35" pivotButton="0" quotePrefix="0" xfId="1"/>
    <xf numFmtId="2" fontId="39" fillId="28" borderId="35" pivotButton="0" quotePrefix="0" xfId="1"/>
    <xf numFmtId="2" fontId="39" fillId="28" borderId="35" applyAlignment="1" pivotButton="0" quotePrefix="0" xfId="0">
      <alignment horizontal="right"/>
    </xf>
    <xf numFmtId="2" fontId="39" fillId="28" borderId="14" pivotButton="0" quotePrefix="0" xfId="0"/>
    <xf numFmtId="0" fontId="44" fillId="28" borderId="15" applyAlignment="1" pivotButton="0" quotePrefix="0" xfId="5">
      <alignment horizontal="left"/>
    </xf>
    <xf numFmtId="164" fontId="14" fillId="28" borderId="15" applyProtection="1" pivotButton="0" quotePrefix="0" xfId="2">
      <protection locked="0" hidden="0"/>
    </xf>
    <xf numFmtId="164" fontId="39" fillId="28" borderId="15" pivotButton="0" quotePrefix="0" xfId="2"/>
    <xf numFmtId="164" fontId="39" fillId="28" borderId="35" pivotButton="0" quotePrefix="0" xfId="1"/>
    <xf numFmtId="164" fontId="39" fillId="28" borderId="35" pivotButton="0" quotePrefix="0" xfId="2"/>
    <xf numFmtId="164" fontId="39" fillId="28" borderId="14" pivotButton="0" quotePrefix="0" xfId="1"/>
    <xf numFmtId="166" fontId="59" fillId="0" borderId="35" applyAlignment="1" pivotButton="0" quotePrefix="0" xfId="1">
      <alignment horizontal="right"/>
    </xf>
    <xf numFmtId="0" fontId="64" fillId="28" borderId="31" applyAlignment="1" pivotButton="0" quotePrefix="0" xfId="5">
      <alignment horizontal="center" vertical="center"/>
    </xf>
    <xf numFmtId="0" fontId="44" fillId="28" borderId="12" applyAlignment="1" pivotButton="0" quotePrefix="0" xfId="5">
      <alignment horizontal="left" vertical="top" wrapText="1"/>
    </xf>
    <xf numFmtId="0" fontId="64" fillId="28" borderId="3" applyAlignment="1" pivotButton="0" quotePrefix="0" xfId="5">
      <alignment horizontal="right" vertical="center"/>
    </xf>
    <xf numFmtId="0" fontId="44" fillId="28" borderId="31" applyAlignment="1" pivotButton="0" quotePrefix="0" xfId="5">
      <alignment horizontal="left"/>
    </xf>
    <xf numFmtId="0" fontId="44" fillId="0" borderId="31" applyAlignment="1" pivotButton="0" quotePrefix="0" xfId="5">
      <alignment horizontal="left"/>
    </xf>
    <xf numFmtId="164" fontId="39" fillId="28" borderId="35" pivotButton="0" quotePrefix="0" xfId="0"/>
    <xf numFmtId="0" fontId="64" fillId="0" borderId="12" applyAlignment="1" pivotButton="0" quotePrefix="0" xfId="5">
      <alignment horizontal="right" vertical="center"/>
    </xf>
    <xf numFmtId="43" fontId="39" fillId="4" borderId="28" pivotButton="0" quotePrefix="0" xfId="42"/>
    <xf numFmtId="0" fontId="64" fillId="28" borderId="35" applyAlignment="1" pivotButton="0" quotePrefix="0" xfId="5">
      <alignment horizontal="right" vertical="center"/>
    </xf>
    <xf numFmtId="166" fontId="0" fillId="4" borderId="35" pivotButton="0" quotePrefix="0" xfId="0"/>
    <xf numFmtId="164" fontId="0" fillId="0" borderId="35" pivotButton="0" quotePrefix="0" xfId="0"/>
    <xf numFmtId="164" fontId="0" fillId="28" borderId="35" pivotButton="0" quotePrefix="0" xfId="0"/>
  </cellXfs>
  <cellStyles count="118">
    <cellStyle name="Normal" xfId="0" builtinId="0"/>
    <cellStyle name="Mike's" xfId="1"/>
    <cellStyle name="Normal_Black09" xfId="2"/>
    <cellStyle name="Normal_Brown09" xfId="3"/>
    <cellStyle name="Normal_DBrown09" xfId="4"/>
    <cellStyle name="Normal 2" xfId="5"/>
    <cellStyle name="Currency 2" xfId="6"/>
    <cellStyle name="Normal 2 3" xfId="7"/>
    <cellStyle name="Normal 14" xfId="8"/>
    <cellStyle name="mike's 3" xfId="9"/>
    <cellStyle name="Normal 2 6" xfId="10"/>
    <cellStyle name="Currency 2 3" xfId="11"/>
    <cellStyle name="Normal 3" xfId="12"/>
    <cellStyle name="Percent 2" xfId="13"/>
    <cellStyle name="20% - Accent1 2" xfId="14"/>
    <cellStyle name="20% - Accent2 2" xfId="15"/>
    <cellStyle name="20% - Accent3 2" xfId="16"/>
    <cellStyle name="20% - Accent4 2" xfId="17"/>
    <cellStyle name="20% - Accent5 2" xfId="18"/>
    <cellStyle name="20% - Accent6 2" xfId="19"/>
    <cellStyle name="40% - Accent1 2" xfId="20"/>
    <cellStyle name="40% - Accent2 2" xfId="21"/>
    <cellStyle name="40% - Accent3 2" xfId="22"/>
    <cellStyle name="40% - Accent4 2" xfId="23"/>
    <cellStyle name="40% - Accent5 2" xfId="24"/>
    <cellStyle name="40% - Accent6 2" xfId="25"/>
    <cellStyle name="60% - Accent1 2" xfId="26"/>
    <cellStyle name="60% - Accent2 2" xfId="27"/>
    <cellStyle name="60% - Accent3 2" xfId="28"/>
    <cellStyle name="60% - Accent4 2" xfId="29"/>
    <cellStyle name="60% - Accent5 2" xfId="30"/>
    <cellStyle name="60% - Accent6 2" xfId="31"/>
    <cellStyle name="Accent1 2" xfId="32"/>
    <cellStyle name="Accent2 2" xfId="33"/>
    <cellStyle name="Accent3 2" xfId="34"/>
    <cellStyle name="Accent4 2" xfId="35"/>
    <cellStyle name="Accent5 2" xfId="36"/>
    <cellStyle name="Accent6 2" xfId="37"/>
    <cellStyle name="Bad 2" xfId="38"/>
    <cellStyle name="Bison" xfId="39"/>
    <cellStyle name="Calculation 2" xfId="40"/>
    <cellStyle name="Check Cell 2" xfId="41"/>
    <cellStyle name="Comma 2" xfId="42"/>
    <cellStyle name="Comma 2 2" xfId="43"/>
    <cellStyle name="Comma 3" xfId="44"/>
    <cellStyle name="Comma 4" xfId="45"/>
    <cellStyle name="Comma 5" xfId="46"/>
    <cellStyle name="Comma0" xfId="47"/>
    <cellStyle name="Comma0 2" xfId="48"/>
    <cellStyle name="Currency 2 2" xfId="49"/>
    <cellStyle name="Currency 3" xfId="50"/>
    <cellStyle name="Currency 4" xfId="51"/>
    <cellStyle name="Currency 5" xfId="52"/>
    <cellStyle name="Currency0" xfId="53"/>
    <cellStyle name="Currency0 2" xfId="54"/>
    <cellStyle name="Date" xfId="55"/>
    <cellStyle name="Date 2" xfId="56"/>
    <cellStyle name="Explanatory Text 2" xfId="57"/>
    <cellStyle name="Fixed" xfId="58"/>
    <cellStyle name="Fixed 2" xfId="59"/>
    <cellStyle name="Good 2" xfId="60"/>
    <cellStyle name="Heading 1 2" xfId="61"/>
    <cellStyle name="Heading 2 2" xfId="62"/>
    <cellStyle name="Heading 3 2" xfId="63"/>
    <cellStyle name="Heading 4 2" xfId="64"/>
    <cellStyle name="Hyperlink 2" xfId="65"/>
    <cellStyle name="Input 2" xfId="66"/>
    <cellStyle name="Linked Cell 2" xfId="67"/>
    <cellStyle name="Neutral 2" xfId="68"/>
    <cellStyle name="Normal 4" xfId="69"/>
    <cellStyle name="Note 2" xfId="70"/>
    <cellStyle name="Output 2" xfId="71"/>
    <cellStyle name="Percent 2 2" xfId="72"/>
    <cellStyle name="Percent 3" xfId="73"/>
    <cellStyle name="Percent 4" xfId="74"/>
    <cellStyle name="Percent 5" xfId="75"/>
    <cellStyle name="Title 2" xfId="76"/>
    <cellStyle name="Total 2" xfId="77"/>
    <cellStyle name="Warning Text 2" xfId="78"/>
    <cellStyle name="Normal 2 2" xfId="79"/>
    <cellStyle name="Comma 2 3" xfId="80"/>
    <cellStyle name="Comma 2 4" xfId="81"/>
    <cellStyle name="Hyperlink 3" xfId="82"/>
    <cellStyle name="Hyperlink 4" xfId="83"/>
    <cellStyle name="Mike's 2" xfId="84"/>
    <cellStyle name="Month" xfId="85"/>
    <cellStyle name="Normal 10" xfId="86"/>
    <cellStyle name="Normal 2 3 4" xfId="87"/>
    <cellStyle name="Normal 3 2" xfId="88"/>
    <cellStyle name="Normal 3 2 2" xfId="89"/>
    <cellStyle name="Normal 4 2" xfId="90"/>
    <cellStyle name="Normal 4 3" xfId="91"/>
    <cellStyle name="Normal 5" xfId="92"/>
    <cellStyle name="Normal 6" xfId="93"/>
    <cellStyle name="Normal 6 2" xfId="94"/>
    <cellStyle name="Normal 7" xfId="95"/>
    <cellStyle name="Normal 8" xfId="96"/>
    <cellStyle name="Normal 9" xfId="97"/>
    <cellStyle name="Normal 2 4" xfId="98"/>
    <cellStyle name="Currency 6" xfId="99"/>
    <cellStyle name="mike's 4" xfId="100"/>
    <cellStyle name="Percent 6" xfId="101"/>
    <cellStyle name="Normal 11" xfId="102"/>
    <cellStyle name="Comma 6" xfId="103"/>
    <cellStyle name="Currency 8" xfId="104"/>
    <cellStyle name="Normal 12" xfId="105"/>
    <cellStyle name="Normal 3 3" xfId="106"/>
    <cellStyle name="Normal 2 3 2" xfId="107"/>
    <cellStyle name="Currency 7" xfId="108"/>
    <cellStyle name="Normal 13" xfId="109"/>
    <cellStyle name="Normal 2 3 3" xfId="110"/>
    <cellStyle name="Normal 2 5" xfId="111"/>
    <cellStyle name="Normal 3 4" xfId="112"/>
    <cellStyle name="mike's 7" xfId="113"/>
    <cellStyle name="mike's 5" xfId="114"/>
    <cellStyle name="mike's 6" xfId="115"/>
    <cellStyle name="Normal_Spec09" xfId="116"/>
    <cellStyle name="Comma" xfId="117" builtin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Acre Distribution</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manualLayout>
          <layoutTarget val="inner"/>
          <xMode val="edge"/>
          <yMode val="edge"/>
          <wMode val="factor"/>
          <hMode val="factor"/>
          <x val="0.1312513817222256"/>
          <y val="0.1880584868064773"/>
          <w val="0.541747296528173"/>
          <h val="0.7015946627712825"/>
        </manualLayout>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dLblPos val="bestFit"/>
            <showLegendKey val="0"/>
            <showVal val="1"/>
            <showCatName val="0"/>
            <showSerName val="0"/>
            <showPercent val="0"/>
            <showBubbleSize val="0"/>
            <showLeaderLines val="1"/>
          </dLbls>
          <cat>
            <strRef>
              <f>('Summary Calculator'!$B$9,'Summary Calculator'!$B$17,'Summary Calculator'!$B$25,'Summary Calculator'!$B$33)</f>
              <strCache>
                <ptCount val="4"/>
                <pt idx="0">
                  <v>Coarse Grains</v>
                </pt>
                <pt idx="1">
                  <v>Oilseeds</v>
                </pt>
                <pt idx="2">
                  <v>Pulses</v>
                </pt>
                <pt idx="3">
                  <v>Specialty Crops</v>
                </pt>
              </strCache>
            </strRef>
          </cat>
          <val>
            <numRef>
              <f>('Summary Calculator'!$C$15,'Summary Calculator'!$C$23,'Summary Calculator'!$C$31,'Summary Calculator'!$C$39)</f>
              <numCache>
                <formatCode>General</formatCode>
                <ptCount val="4"/>
                <pt idx="0">
                  <v>0</v>
                </pt>
                <pt idx="1">
                  <v>0</v>
                </pt>
                <pt idx="2">
                  <v>0</v>
                </pt>
                <pt idx="3">
                  <v>0</v>
                </pt>
              </numCache>
            </numRef>
          </val>
        </ser>
        <dLbls>
          <showLegendKey val="0"/>
          <showVal val="0"/>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Revenue Distribution</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dLblPos val="bestFit"/>
            <showLegendKey val="0"/>
            <showVal val="1"/>
            <showCatName val="0"/>
            <showSerName val="0"/>
            <showPercent val="0"/>
            <showBubbleSize val="0"/>
            <showLeaderLines val="1"/>
          </dLbls>
          <cat>
            <strRef>
              <f>('Summary Calculator'!$B$9,'Summary Calculator'!$B$17,'Summary Calculator'!$B$25,'Summary Calculator'!$B$33)</f>
              <strCache>
                <ptCount val="4"/>
                <pt idx="0">
                  <v>Coarse Grains</v>
                </pt>
                <pt idx="1">
                  <v>Oilseeds</v>
                </pt>
                <pt idx="2">
                  <v>Pulses</v>
                </pt>
                <pt idx="3">
                  <v>Specialty Crops</v>
                </pt>
              </strCache>
            </strRef>
          </cat>
          <val>
            <numRef>
              <f>('Summary Calculator'!$C$11,'Summary Calculator'!$C$19,'Summary Calculator'!$C$27,'Summary Calculator'!$C$35)</f>
              <numCache>
                <formatCode>General</formatCode>
                <ptCount val="4"/>
                <pt idx="0">
                  <v>0</v>
                </pt>
                <pt idx="1">
                  <v>0</v>
                </pt>
                <pt idx="2">
                  <v>0</v>
                </pt>
                <pt idx="3">
                  <v>0</v>
                </pt>
              </numCache>
            </numRef>
          </val>
        </ser>
        <dLbls>
          <showLegendKey val="0"/>
          <showVal val="0"/>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rtl="0">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Expense Distribution</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n-US"/>
        </a:p>
      </txPr>
    </title>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dLblPos val="bestFit"/>
            <showLegendKey val="0"/>
            <showVal val="1"/>
            <showCatName val="0"/>
            <showSerName val="0"/>
            <showPercent val="0"/>
            <showBubbleSize val="0"/>
            <showLeaderLines val="1"/>
          </dLbls>
          <cat>
            <strRef>
              <f>('Summary Calculator'!$B$9,'Summary Calculator'!$B$17,'Summary Calculator'!$B$25,'Summary Calculator'!$B$33)</f>
              <strCache>
                <ptCount val="4"/>
                <pt idx="0">
                  <v>Coarse Grains</v>
                </pt>
                <pt idx="1">
                  <v>Oilseeds</v>
                </pt>
                <pt idx="2">
                  <v>Pulses</v>
                </pt>
                <pt idx="3">
                  <v>Specialty Crops</v>
                </pt>
              </strCache>
            </strRef>
          </cat>
          <val>
            <numRef>
              <f>('Summary Calculator'!$C$14,'Summary Calculator'!$C$22,'Summary Calculator'!$C$30,'Summary Calculator'!$C$38)</f>
              <numCache>
                <formatCode>General</formatCode>
                <ptCount val="4"/>
                <pt idx="0">
                  <v>0</v>
                </pt>
                <pt idx="1">
                  <v>0</v>
                </pt>
                <pt idx="2">
                  <v>0</v>
                </pt>
                <pt idx="3">
                  <v>0</v>
                </pt>
              </numCache>
            </numRef>
          </val>
        </ser>
        <dLbls>
          <dLblPos val="bestFit"/>
          <showLegendKey val="0"/>
          <showVal val="1"/>
          <showCatName val="0"/>
          <showSerName val="0"/>
          <showPercent val="0"/>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rtl="0">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19049</colOff>
      <row>1</row>
      <rowOff>49092</rowOff>
    </from>
    <to>
      <col>4</col>
      <colOff>379607</colOff>
      <row>4</row>
      <rowOff>47624</rowOff>
    </to>
    <pic>
      <nvPicPr>
        <cNvPr id="2" name="Picture 1"/>
        <cNvPicPr>
          <a:picLocks noChangeAspect="1"/>
        </cNvPicPr>
      </nvPicPr>
      <blipFill>
        <a:blip cstate="print" r:embed="rId1"/>
        <a:srcRect/>
        <a:stretch>
          <a:fillRect/>
        </a:stretch>
      </blipFill>
      <spPr>
        <a:xfrm>
          <a:off x="628649" y="211017"/>
          <a:ext cx="2189358" cy="484307"/>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0</colOff>
      <row>1</row>
      <rowOff>0</rowOff>
    </from>
    <to>
      <col>13</col>
      <colOff>420180</colOff>
      <row>59</row>
      <rowOff>67995</rowOff>
    </to>
    <pic>
      <nvPicPr>
        <cNvPr id="2" name="Picture 1"/>
        <cNvPicPr>
          <a:picLocks noChangeAspect="1"/>
        </cNvPicPr>
      </nvPicPr>
      <blipFill>
        <a:blip r:embed="rId1"/>
        <a:stretch>
          <a:fillRect/>
        </a:stretch>
      </blipFill>
      <spPr>
        <a:xfrm>
          <a:off x="609600" y="161925"/>
          <a:ext cx="7735380" cy="9459645"/>
        </a:xfrm>
        <a:prstGeom prst="rect">
          <avLst/>
        </a:prstGeom>
        <a:ln>
          <a:prstDash val="solid"/>
        </a:ln>
      </spPr>
    </pic>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156575</colOff>
      <row>51</row>
      <rowOff>81479</rowOff>
    </from>
    <to>
      <col>4</col>
      <colOff>402796</colOff>
      <row>72</row>
      <rowOff>76599</rowOff>
    </to>
    <graphicFrame>
      <nvGraphicFramePr>
        <cNvPr id="1" name="Chart 1"/>
        <cNvGraphicFramePr/>
      </nvGraphicFramePr>
      <xfrm/>
      <a:graphic>
        <a:graphicData uri="http://schemas.openxmlformats.org/drawingml/2006/chart">
          <c:chart r:id="rId1"/>
        </a:graphicData>
      </a:graphic>
    </graphicFrame>
    <clientData/>
  </twoCellAnchor>
  <twoCellAnchor>
    <from>
      <col>4</col>
      <colOff>455278</colOff>
      <row>51</row>
      <rowOff>74114</rowOff>
    </from>
    <to>
      <col>10</col>
      <colOff>225959</colOff>
      <row>72</row>
      <rowOff>24408</rowOff>
    </to>
    <graphicFrame>
      <nvGraphicFramePr>
        <cNvPr id="2" name="Chart 2"/>
        <cNvGraphicFramePr/>
      </nvGraphicFramePr>
      <xfrm/>
      <a:graphic>
        <a:graphicData uri="http://schemas.openxmlformats.org/drawingml/2006/chart">
          <c:chart r:id="rId2"/>
        </a:graphicData>
      </a:graphic>
    </graphicFrame>
    <clientData/>
  </twoCellAnchor>
  <twoCellAnchor>
    <from>
      <col>10</col>
      <colOff>284370</colOff>
      <row>51</row>
      <rowOff>72761</rowOff>
    </from>
    <to>
      <col>16</col>
      <colOff>425516</colOff>
      <row>71</row>
      <rowOff>74602</rowOff>
    </to>
    <graphicFrame>
      <nvGraphicFramePr>
        <cNvPr id="3" name="Chart 3"/>
        <cNvGraphicFramePr/>
      </nvGraphicFramePr>
      <xfrm/>
      <a:graphic>
        <a:graphicData uri="http://schemas.openxmlformats.org/drawingml/2006/chart">
          <c:chart r:id="rId3"/>
        </a:graphicData>
      </a:graphic>
    </graphicFrame>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codeName="Sheet10">
    <outlinePr summaryBelow="1" summaryRight="1"/>
    <pageSetUpPr fitToPage="1"/>
  </sheetPr>
  <dimension ref="A1:K26"/>
  <sheetViews>
    <sheetView showGridLines="0" tabSelected="1" workbookViewId="0">
      <selection activeCell="B2" sqref="B2"/>
    </sheetView>
  </sheetViews>
  <sheetFormatPr baseColWidth="8" defaultRowHeight="16" customHeight="1"/>
  <cols>
    <col width="10" customWidth="1" min="11" max="11"/>
  </cols>
  <sheetData>
    <row r="1"/>
    <row r="2"/>
    <row r="3"/>
    <row r="4"/>
    <row r="5" ht="16" customHeight="1" thickBot="1"/>
    <row r="6" ht="16" customHeight="1" thickTop="1">
      <c r="B6" s="647" t="inlineStr">
        <is>
          <t>Crop Planner (January 2026)</t>
        </is>
      </c>
      <c r="C6" s="648" t="n"/>
      <c r="D6" s="648" t="n"/>
      <c r="E6" s="648" t="n"/>
      <c r="F6" s="648" t="n"/>
      <c r="G6" s="648" t="n"/>
      <c r="H6" s="648" t="n"/>
      <c r="I6" s="648" t="n"/>
      <c r="J6" s="648" t="n"/>
      <c r="K6" s="1" t="n"/>
    </row>
    <row r="7" ht="16" customHeight="1">
      <c r="B7" s="619" t="inlineStr">
        <is>
          <t xml:space="preserve">An Excel version of the Ministry's Crop Planning Guides. </t>
        </is>
      </c>
      <c r="K7" s="2" t="n"/>
    </row>
    <row r="8" ht="16" customHeight="1">
      <c r="B8" s="619" t="inlineStr">
        <is>
          <t>COPYRIGHT:</t>
        </is>
      </c>
      <c r="C8" s="4" t="n"/>
      <c r="D8" s="4" t="n"/>
      <c r="K8" s="2" t="n"/>
    </row>
    <row r="9" ht="16" customHeight="1">
      <c r="B9" s="619" t="inlineStr">
        <is>
          <t>Government of Saskatchewan, 2026</t>
        </is>
      </c>
      <c r="C9" s="4" t="n"/>
      <c r="D9" s="4" t="n"/>
      <c r="K9" s="2" t="n"/>
    </row>
    <row r="10">
      <c r="B10" s="5" t="n"/>
      <c r="D10" s="6" t="n"/>
      <c r="K10" s="2" t="n"/>
    </row>
    <row r="11" ht="16" customHeight="1">
      <c r="B11" s="649" t="inlineStr">
        <is>
          <t>NOTICE:</t>
        </is>
      </c>
      <c r="C11" s="8" t="n"/>
      <c r="D11" s="8" t="n"/>
      <c r="E11" s="8" t="n"/>
      <c r="F11" s="8" t="n"/>
      <c r="G11" s="8" t="n"/>
      <c r="H11" s="8" t="n"/>
      <c r="I11" s="8" t="n"/>
      <c r="J11" s="8" t="n"/>
      <c r="K11" s="9" t="n"/>
    </row>
    <row r="12" ht="16" customHeight="1">
      <c r="B12" s="650" t="inlineStr">
        <is>
          <t xml:space="preserve">All rights reserved. Copyright and all other intellectual property rights for the Crop Planner, and </t>
        </is>
      </c>
      <c r="C12" s="8" t="n"/>
      <c r="D12" s="8" t="n"/>
      <c r="E12" s="8" t="n"/>
      <c r="F12" s="8" t="n"/>
      <c r="G12" s="8" t="n"/>
      <c r="H12" s="8" t="n"/>
      <c r="I12" s="8" t="n"/>
      <c r="J12" s="8" t="n"/>
      <c r="K12" s="9" t="n"/>
    </row>
    <row r="13" ht="16" customHeight="1">
      <c r="B13" s="650" t="inlineStr">
        <is>
          <t xml:space="preserve">all manuals, documentation and other material pertaining to this software, belong exclusively to the </t>
        </is>
      </c>
      <c r="C13" s="8" t="n"/>
      <c r="D13" s="8" t="n"/>
      <c r="E13" s="8" t="n"/>
      <c r="F13" s="8" t="n"/>
      <c r="G13" s="8" t="n"/>
      <c r="H13" s="8" t="n"/>
      <c r="I13" s="8" t="n"/>
      <c r="J13" s="8" t="n"/>
      <c r="K13" s="9" t="n"/>
    </row>
    <row r="14" ht="16" customHeight="1">
      <c r="B14" s="650" t="inlineStr">
        <is>
          <t xml:space="preserve">Government of Saskatchewan.  This software is provided solely for the personal use of the </t>
        </is>
      </c>
      <c r="C14" s="8" t="n"/>
      <c r="D14" s="8" t="n"/>
      <c r="E14" s="8" t="n"/>
      <c r="F14" s="8" t="n"/>
      <c r="G14" s="8" t="n"/>
      <c r="H14" s="8" t="n"/>
      <c r="I14" s="8" t="n"/>
      <c r="J14" s="8" t="n"/>
      <c r="K14" s="9" t="n"/>
    </row>
    <row r="15" ht="16" customHeight="1">
      <c r="B15" s="650" t="inlineStr">
        <is>
          <t>purchaser under a non-exclusive license, and may not be copied, modified, published, sold or</t>
        </is>
      </c>
      <c r="C15" s="8" t="n"/>
      <c r="D15" s="8" t="n"/>
      <c r="E15" s="8" t="n"/>
      <c r="F15" s="8" t="n"/>
      <c r="G15" s="8" t="n"/>
      <c r="H15" s="8" t="n"/>
      <c r="I15" s="8" t="n"/>
      <c r="J15" s="8" t="n"/>
      <c r="K15" s="9" t="n"/>
    </row>
    <row r="16" ht="16" customHeight="1">
      <c r="B16" s="650" t="inlineStr">
        <is>
          <t xml:space="preserve">distributed to any third party, or transmitted in any form or by any mean whether electronic, </t>
        </is>
      </c>
      <c r="C16" s="8" t="n"/>
      <c r="D16" s="8" t="n"/>
      <c r="E16" s="8" t="n"/>
      <c r="F16" s="8" t="n"/>
      <c r="G16" s="8" t="n"/>
      <c r="H16" s="8" t="n"/>
      <c r="I16" s="8" t="n"/>
      <c r="J16" s="8" t="n"/>
      <c r="K16" s="9" t="n"/>
    </row>
    <row r="17" ht="16" customHeight="1">
      <c r="B17" s="650" t="inlineStr">
        <is>
          <t xml:space="preserve">mechanical, photocopying, recording or otherwise, in whole or in part, without the express </t>
        </is>
      </c>
      <c r="C17" s="8" t="n"/>
      <c r="D17" s="8" t="n"/>
      <c r="E17" s="8" t="n"/>
      <c r="F17" s="8" t="n"/>
      <c r="G17" s="8" t="n"/>
      <c r="H17" s="8" t="n"/>
      <c r="I17" s="8" t="n"/>
      <c r="J17" s="8" t="n"/>
      <c r="K17" s="9" t="n"/>
    </row>
    <row r="18" ht="16" customHeight="1">
      <c r="B18" s="650" t="inlineStr">
        <is>
          <t>written permission of the Saskatchewan Ministry of Agriculture.</t>
        </is>
      </c>
      <c r="C18" s="8" t="n"/>
      <c r="D18" s="8" t="n"/>
      <c r="E18" s="8" t="n"/>
      <c r="F18" s="8" t="n"/>
      <c r="G18" s="8" t="n"/>
      <c r="H18" s="8" t="n"/>
      <c r="I18" s="8" t="n"/>
      <c r="J18" s="8" t="n"/>
      <c r="K18" s="9" t="n"/>
    </row>
    <row r="19">
      <c r="B19" s="11" t="n"/>
      <c r="C19" s="8" t="n"/>
      <c r="D19" s="8" t="n"/>
      <c r="E19" s="8" t="n"/>
      <c r="F19" s="8" t="n"/>
      <c r="G19" s="8" t="n"/>
      <c r="H19" s="8" t="n"/>
      <c r="I19" s="8" t="n"/>
      <c r="J19" s="8" t="n"/>
      <c r="K19" s="9" t="n"/>
    </row>
    <row r="20" ht="16" customHeight="1">
      <c r="B20" s="649" t="inlineStr">
        <is>
          <t>DISCLAIMER:</t>
        </is>
      </c>
      <c r="C20" s="8" t="n"/>
      <c r="D20" s="8" t="n"/>
      <c r="E20" s="8" t="n"/>
      <c r="F20" s="8" t="n"/>
      <c r="G20" s="8" t="n"/>
      <c r="H20" s="8" t="n"/>
      <c r="I20" s="8" t="n"/>
      <c r="J20" s="8" t="n"/>
      <c r="K20" s="9" t="n"/>
    </row>
    <row r="21" ht="16" customHeight="1">
      <c r="B21" s="650" t="inlineStr">
        <is>
          <t xml:space="preserve">This software is provided without warranty on an "as is" basis.  The Government of </t>
        </is>
      </c>
      <c r="C21" s="8" t="n"/>
      <c r="D21" s="8" t="n"/>
      <c r="E21" s="8" t="n"/>
      <c r="F21" s="8" t="n"/>
      <c r="G21" s="8" t="n"/>
      <c r="H21" s="8" t="n"/>
      <c r="I21" s="8" t="n"/>
      <c r="J21" s="8" t="n"/>
      <c r="K21" s="9" t="n"/>
    </row>
    <row r="22" ht="16" customHeight="1">
      <c r="B22" s="650" t="inlineStr">
        <is>
          <t xml:space="preserve">Saskatchewan and its agents assume no liability or responsibility whatsoever with respect to </t>
        </is>
      </c>
      <c r="C22" s="8" t="n"/>
      <c r="D22" s="8" t="n"/>
      <c r="E22" s="8" t="n"/>
      <c r="F22" s="8" t="n"/>
      <c r="G22" s="8" t="n"/>
      <c r="H22" s="8" t="n"/>
      <c r="I22" s="8" t="n"/>
      <c r="J22" s="8" t="n"/>
      <c r="K22" s="9" t="n"/>
    </row>
    <row r="23" ht="16" customHeight="1">
      <c r="B23" s="650" t="inlineStr">
        <is>
          <t>loss or damage caused by or alleged to be caused by the use or operation of this software.</t>
        </is>
      </c>
      <c r="C23" s="8" t="n"/>
      <c r="D23" s="8" t="n"/>
      <c r="E23" s="8" t="n"/>
      <c r="F23" s="8" t="n"/>
      <c r="G23" s="8" t="n"/>
      <c r="H23" s="8" t="n"/>
      <c r="I23" s="8" t="n"/>
      <c r="J23" s="8" t="n"/>
      <c r="K23" s="9" t="n"/>
    </row>
    <row r="24" ht="16" customHeight="1" thickBot="1">
      <c r="B24" s="12" t="n"/>
      <c r="C24" s="13" t="n"/>
      <c r="D24" s="13" t="n"/>
      <c r="E24" s="13" t="n"/>
      <c r="F24" s="13" t="n"/>
      <c r="G24" s="13" t="n"/>
      <c r="H24" s="13" t="n"/>
      <c r="I24" s="13" t="n"/>
      <c r="J24" s="13" t="n"/>
      <c r="K24" s="14" t="n"/>
    </row>
    <row r="25" ht="16" customHeight="1" thickTop="1">
      <c r="B25" s="15" t="n"/>
      <c r="C25" s="15" t="n"/>
      <c r="D25" s="15" t="n"/>
      <c r="E25" s="15" t="n"/>
      <c r="F25" s="15" t="n"/>
      <c r="G25" s="15" t="n"/>
      <c r="H25" s="15" t="n"/>
      <c r="I25" s="15" t="n"/>
      <c r="J25" s="15" t="n"/>
      <c r="K25" s="15" t="n"/>
    </row>
    <row r="26">
      <c r="B26" s="15" t="n"/>
      <c r="C26" s="15" t="n"/>
      <c r="D26" s="15" t="n"/>
      <c r="E26" s="15" t="n"/>
      <c r="F26" s="15" t="n"/>
      <c r="G26" s="15" t="n"/>
      <c r="H26" s="15" t="n"/>
      <c r="I26" s="15" t="n"/>
      <c r="J26" s="15" t="n"/>
      <c r="K26" s="15" t="n"/>
    </row>
  </sheetData>
  <mergeCells count="2">
    <mergeCell ref="B7:J7"/>
    <mergeCell ref="B6:J6"/>
  </mergeCells>
  <pageMargins left="0.75" right="0.75" top="1" bottom="1" header="0.5" footer="0.5"/>
  <pageSetup orientation="portrait" scale="82"/>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2"/>
  <sheetViews>
    <sheetView workbookViewId="0">
      <selection activeCell="R10" sqref="R10"/>
    </sheetView>
  </sheetViews>
  <sheetFormatPr baseColWidth="8" defaultRowHeight="16" customHeight="1"/>
  <sheetData>
    <row r="1"/>
    <row r="2" ht="16" customHeight="1">
      <c r="B2" s="143" t="inlineStr">
        <is>
          <t xml:space="preserve"> Please do this page</t>
        </is>
      </c>
      <c r="C2" s="143" t="n"/>
      <c r="D2" s="143" t="n"/>
    </row>
  </sheetData>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23"/>
  <sheetViews>
    <sheetView topLeftCell="A16" workbookViewId="0">
      <selection activeCell="E10" sqref="E10"/>
    </sheetView>
  </sheetViews>
  <sheetFormatPr baseColWidth="8" defaultRowHeight="16" customHeight="1"/>
  <cols>
    <col width="124.85546875" customWidth="1" min="1" max="1"/>
    <col width="4.85546875" customWidth="1" min="2" max="2"/>
  </cols>
  <sheetData>
    <row r="1" ht="16" customHeight="1">
      <c r="A1" s="620" t="inlineStr">
        <is>
          <t>General Assumptions for All Soil Zones</t>
        </is>
      </c>
    </row>
    <row r="2" ht="16" customHeight="1">
      <c r="A2" s="651" t="inlineStr">
        <is>
          <t xml:space="preserve">1. Crop prices are the average annual crop year farm gate price adopted from Agriculture and Agri-Food Canada’s most recent winter farm income forecast data or from reports of local grain buyers, vetted through regional crop specialists. The farm gate price represents the actual payment received by farmers. This includes crops sold through forward contracts and at spot prices. Crop prices can shift quickly and drastically due to market conditions, making information outdated within this guide. Producers should always check current prices and adjust figures as needed.
</t>
        </is>
      </c>
    </row>
    <row r="3" ht="16" customHeight="1">
      <c r="A3" s="652" t="inlineStr">
        <is>
          <t>2. Targeted crop yields represent the five-year average of the 80th percentile of production for each crop in each soil zone. That is, for each of the past five years the point where 80 percent of producers would have attained a lower yield for that crop is determined (see the image below for an example).That value for each of the five years is then averaged. The calculation uses producer data submitted to Saskatchewan Crop Insurance Corporation and released each spring. These target yields reflect a higher level of management, improvements in plant genetics and enhanced nutrient and crop protection management. Producers should adjust the target yield to meet their goals and management style.</t>
        </is>
      </c>
    </row>
    <row r="4" ht="16" customHeight="1">
      <c r="A4" s="652" t="inlineStr">
        <is>
          <t xml:space="preserve">3. Seeding rates are determined by seed size, expected mortality, germination and desired plant population. </t>
        </is>
      </c>
    </row>
    <row r="5" ht="16" customHeight="1">
      <c r="A5" s="652" t="inlineStr">
        <is>
          <t>4. Seed costs are based on the use of certified seed and low disturbance direct seeding, collected from producers and vetted through regional crop experts.</t>
        </is>
      </c>
    </row>
    <row r="6" ht="16" customHeight="1">
      <c r="A6" s="652" t="inlineStr">
        <is>
          <t>5. Variety selection should be made to best suit the agro-climatic conditions. More information can be found by searching for Varieties of Grain Crops at saskatchewan.ca/crops.</t>
        </is>
      </c>
    </row>
    <row r="7" ht="16" customHeight="1">
      <c r="A7" s="652" t="inlineStr">
        <is>
          <t xml:space="preserve">6. Fertilizer needs are highly variable and must be adjusted to meet conditions. The calculations in this guide are based on most-recent prices from a selection of dealers throughout the province and the estimated amount of nutrients removed from the soil in order for the crop to attain the target yield. These are not recommended application rates for specific operations. The ministry encourages producers to soil test on a consistent basis in order to measure residual soil fertility and calculate the total crop nutrient application required to achieve targeted crop yields. This is consistent with 4R Nutrient Stewardship management practices. It is recommended to follow the guidelines for safe rates of fertilizer placed with the seed when determining the right rate of all nutrients. For pulse crops, producers should focus on applying the correct inoculant. Producers are reminded to adjust both the volume of nutrients applied and the price of each nutrient. </t>
        </is>
      </c>
    </row>
    <row r="8" ht="16" customHeight="1">
      <c r="A8" s="652" t="inlineStr">
        <is>
          <t>7. Crop protection efforts must be adjusted to meet each producer’s conditions. The assumptions in this guide cover common applications to demonstrate potential costs. These are not recommended crop protection applications for specific operations. Producers must cost their individual responses to weed, insect and disease pressures. Please refer to the Guide to Crop Protection available at saskatchewan.ca/crops for registered pest control products. 
The costs of crop protection products are calculated using the full registered rate of application and suggested retail prices from a selection of dealers across the province. Prices can vary significantly by vendor.  
Insect and disease control efforts will be aided by extended crop rotations, which reduce yield losses due to disease. Extended crop rotations also help ensure that management tools, such as resistant varieties and fungicides, remain effective by reducing selection pressure on the pathogen population. This guide assumes that commonly encountered insects or crop diseases are controlled through the use of the appropriate product given the crop and insect or disease combinations.
Weed control efforts presented reflect the practice of herbicide layering as much as possible. Herbicide layering helps prevent and manage herbicide-resistant weed populations. Layering may involve the use of two or more modes of action for control of some weeds. The timing and number of applications used to estimate herbicide costs are indicated in a chart on each crop’s specific page. Below are the descriptions to the applications in the chart:
• Pre-harvest:  Pre-harvest glyphosate treatment to the previous crop. The benefit of perennial weed control from this application accrues to the crop that is planted after the application.
• Fall application: Post-harvest fall application. Typically for winter annual weeds. The benefit of this application will also accrue to the crop that is planted after the application. 
• Pre-seed: Pre-seed burn off that replaces tillage in a low-disturbance direct seeding system. There are two windows of application presented in the chart which represent one or two herbicides used at the pre-seed timing where the primary activity is on emerged weeds. Soil-active herbicides that may be mixed with the burn off applications are treated separately below. Typically, the first application will be glyphosate. When glyphosate is applied alone, it is assumed that this is done at 360 grams of acid equivalent (active) per acre. If a second application is indicated, this will be a tank mix partnered with glyphosate for burn off purposes and has limited residual impact, if any. In a tank mix, the rate of glyphosate is assumed to be 180 grams acid equivalent (active) per acre.
• Soil application: Soil-active herbicide that provides residual soil activity for control of emerging weeds beyond emergence and into the crop growth period. These are typically added for herbicide resistance management but also to contribute to increased crop yields by eliminating early weeds. Rates of some soil-active herbicides are adjusted for typical organic matter levels in the different soil zones.
• In-crop: In-crop foliar application opportunities are provided for up to three herbicides. These are applied either in a mix or as separate sequential applications where tank mixing is not compatible. There are three windows of application allotted as indicated by each column in the chart.          
• Desiccation: Harvest aid application prior to harvest. This is done for the purpose of rapid dry down of the crop to facilitate timely harvest. This does not include glyphosate, which may be included as a mix with some harvest aid options.</t>
        </is>
      </c>
    </row>
    <row r="9" ht="16" customHeight="1">
      <c r="A9" s="653" t="inlineStr">
        <is>
          <t xml:space="preserve">8. Machinery operating costs include fuel usage and repair. Fuel costs are based on estimated fuel consumptions for the various farming operations with diesel fuel priced at $1.181/litre. Machinery repair rates are based on the Ministry’s 2024-25 Farm Machinery Custom and Rental Rate Guide and are set at 2.6 per cent of the yearly machinery investment cost.
</t>
        </is>
      </c>
    </row>
    <row r="10" ht="16" customHeight="1">
      <c r="A10" s="653" t="inlineStr">
        <is>
          <t xml:space="preserve">9. Custom work and hired labour is made up of costs for custom farm operations, such as custom trucking and custom spraying. Skilled labour is assumed to be $28.00 per hour for 2026.
</t>
        </is>
      </c>
    </row>
    <row r="11" ht="16" customHeight="1">
      <c r="A11" s="652" t="inlineStr">
        <is>
          <t xml:space="preserve">10. Crop insurance premiums are the five-year average of the premiums paid by producers who attain the targeted yield for the soil zone. The premiums used in this guide do not reflect actual producers’ costs given surcharges and taxes. </t>
        </is>
      </c>
    </row>
    <row r="12" ht="16" customHeight="1">
      <c r="A12" s="652" t="inlineStr">
        <is>
          <t>11. Hail Insurance premiums are based on the 2025 estimated average coverage per acre of $400 multiplied by a rate of 3.5 percent = $14.00/acre.</t>
        </is>
      </c>
    </row>
    <row r="13" ht="16" customHeight="1">
      <c r="A13" s="653" t="inlineStr">
        <is>
          <t>12. Utilities include the costs of electricity, natural gas, water and telephone expenses based on the standard farm business rates of major utility providers.</t>
        </is>
      </c>
    </row>
    <row r="14" ht="16" customHeight="1">
      <c r="A14" s="653" t="inlineStr">
        <is>
          <t xml:space="preserve">
13. Interest on variable expenses is calculated using a rate of 5.68 per cent on all variable expenses. The interest is applied for eight months for all crops except hybrid fall rye and winter wheat. For these two crops, the interest costs are calculated for 18 months. 
</t>
        </is>
      </c>
    </row>
    <row r="15" ht="16" customHeight="1">
      <c r="A15" s="653" t="inlineStr">
        <is>
          <t xml:space="preserve">14. Building repair rates are 2.6 per cent of building investment per acre.
</t>
        </is>
      </c>
    </row>
    <row r="16" ht="16" customHeight="1">
      <c r="A16" s="653" t="inlineStr">
        <is>
          <t>15. Business overhead is made up of legal, accounting, insurance, licenses and miscellaneous. Business overhead costs are indexed by applying the farm input price index to Statistics Canada’s 2021 Census of Agriculture.</t>
        </is>
      </c>
    </row>
    <row r="17" ht="16" customHeight="1">
      <c r="A17" s="653" t="inlineStr">
        <is>
          <t xml:space="preserve">16. Machinery investment is calculated by applying an interest rate to 75 per cent of machinery investment and an opportunity cost to the remaining 25 per cent that would have been provided as a down payment on machinery.  This is a new approach to calculating these costs and is consistent with the Ministry of Agriculture's Custom Rate and Rental Guide assumptions.  An interest rate at 8.5 per cent and an opportunity cost rate of 1.5 per cent are utilized.  These calculations are applied to the average investment in machinery by soil zone. Based on Statistics Canada data, it is estimated that a brown soil zone farm has $444.74 per cultivated acre invested in machinery, a dark brown soil zone farm has $501.52 per cultivated acre invested and a black soil zone farm has $567.61 invested per cultivated acre. Machinery costs are substantial and these are average rates per soil zone. Producers are reminded to adjust these figures to meet their unique circumstances. 
</t>
        </is>
      </c>
    </row>
    <row r="18" ht="16" customHeight="1">
      <c r="A18" s="653" t="inlineStr">
        <is>
          <t xml:space="preserve">17. Machinery depreciation is calculated using a straight-line formula at 10.7 percent annual depreciation rate.
</t>
        </is>
      </c>
    </row>
    <row r="19" ht="16" customHeight="1">
      <c r="A19" s="653" t="inlineStr">
        <is>
          <t xml:space="preserve">18. Building investment cost is calculated at 4.57 per cent of annual building investment. Based on data provided by Statistics Canada, it is estimated that a brown soil zone farm has $29 per cultivated acre invested in buildings, a dark brown soil zone farm has $38 per cultivated acre invested and a black soil zone farm has $52 per cultivated acre invested. </t>
        </is>
      </c>
    </row>
    <row r="20" ht="16" customHeight="1">
      <c r="A20" s="653" t="inlineStr">
        <is>
          <t>19. Building depreciation is calculated at five percent per year on a straight-line basis of building investment.</t>
        </is>
      </c>
    </row>
    <row r="21" ht="16" customHeight="1">
      <c r="A21" s="653" t="inlineStr">
        <is>
          <t>20. Land investment cost is calculated by applying 85 per cent of owned land equity to 1.5 per cent land opportunity cost. The remaining 15 per cent is applied to the principle and interest cost at 4.57 per cent mortgage rate over 25 years.  These two amounts are added up to come up with total land investment cost.  Land valuation is $3,136 per cultivated acre in the brown soil zone, $3,606 per cultivated acre in the dark brown soil zone and $3,371 per cultivated acre in the black soil zone. Producers should adjust this figure to reflect payments they make towards land.  This is where any land rental rates should be accounted for.</t>
        </is>
      </c>
    </row>
    <row r="22" ht="16" customHeight="1">
      <c r="A22" s="653" t="inlineStr">
        <is>
          <t xml:space="preserve">21. Labour and management refers to owner/operator labour and management and is not included in these estimates. 
</t>
        </is>
      </c>
    </row>
    <row r="23" ht="16" customHeight="1">
      <c r="A23" s="653" t="inlineStr">
        <is>
          <t>22. Specialty crops can have limited market access due to demand. Growers wishing to add specialty crops to their rotation are encouraged to consider production contracts for the crop they grow. Contracts can help manage the risks associated with growing and marketing specialty crops.</t>
        </is>
      </c>
    </row>
  </sheetData>
  <pageMargins left="0.7" right="0.7" top="0.75" bottom="0.75" header="0.3" footer="0.3"/>
  <pageSetup orientation="portrait"/>
</worksheet>
</file>

<file path=xl/worksheets/sheet4.xml><?xml version="1.0" encoding="utf-8"?>
<worksheet xmlns="http://schemas.openxmlformats.org/spreadsheetml/2006/main">
  <sheetPr>
    <tabColor rgb="FF00B050"/>
    <outlinePr summaryBelow="1" summaryRight="1"/>
    <pageSetUpPr/>
  </sheetPr>
  <dimension ref="A1:W51"/>
  <sheetViews>
    <sheetView zoomScale="73" zoomScaleNormal="73" workbookViewId="0">
      <selection activeCell="S33" sqref="S33"/>
    </sheetView>
  </sheetViews>
  <sheetFormatPr baseColWidth="8" defaultRowHeight="16" customHeight="1"/>
  <cols>
    <col width="4.85546875" customWidth="1" min="1" max="1"/>
    <col width="34.28515625" customWidth="1" min="2" max="2"/>
    <col width="10.140625" customWidth="1" min="3" max="3"/>
    <col width="10.85546875" customWidth="1" min="4" max="4"/>
    <col width="10.140625" customWidth="1" min="5" max="5"/>
    <col width="10.85546875" customWidth="1" min="6" max="6"/>
    <col width="10.140625" customWidth="1" min="7" max="7"/>
    <col width="11.85546875" customWidth="1" min="8" max="8"/>
    <col width="10.140625" customWidth="1" min="9" max="11"/>
    <col width="11.42578125" customWidth="1" min="12" max="12"/>
    <col width="10.140625" customWidth="1" min="13" max="13"/>
    <col width="11.140625" customWidth="1" min="14" max="14"/>
    <col width="10.140625" customWidth="1" min="15" max="15"/>
    <col width="11.28515625" customWidth="1" min="16" max="16"/>
    <col width="10.140625" customWidth="1" min="17" max="19"/>
    <col width="11.140625" customWidth="1" min="20" max="20"/>
    <col width="10.140625" customWidth="1" min="21" max="23"/>
    <col width="10.85546875" bestFit="1" customWidth="1" min="24" max="24"/>
    <col width="6.140625" bestFit="1" customWidth="1" min="25" max="25"/>
    <col width="8.85546875" customWidth="1" min="26" max="26"/>
    <col width="6.140625" bestFit="1" customWidth="1" min="27" max="27"/>
    <col width="6.140625" bestFit="1" customWidth="1" min="29" max="29"/>
    <col width="6.42578125" bestFit="1" customWidth="1" min="30" max="30"/>
    <col width="6.140625" bestFit="1" customWidth="1" min="31" max="31"/>
    <col width="9.28515625" customWidth="1" min="32" max="32"/>
    <col width="6.140625" bestFit="1" customWidth="1" min="33" max="33"/>
    <col width="6.140625" customWidth="1" min="34" max="34"/>
    <col width="6.140625" bestFit="1" customWidth="1" min="35" max="35"/>
  </cols>
  <sheetData>
    <row r="1" ht="16" customHeight="1">
      <c r="A1" s="654" t="inlineStr">
        <is>
          <t>Summary of "My Farm"</t>
        </is>
      </c>
    </row>
    <row r="2" ht="16" customHeight="1">
      <c r="B2" s="655" t="inlineStr">
        <is>
          <t>Instructions on using this sheet</t>
        </is>
      </c>
      <c r="C2" s="149" t="n"/>
      <c r="D2" s="149" t="n"/>
      <c r="E2" s="149" t="n"/>
      <c r="F2" s="149" t="n"/>
      <c r="G2" s="149" t="n"/>
    </row>
    <row r="3" ht="16" customHeight="1">
      <c r="A3" t="n">
        <v>1</v>
      </c>
      <c r="B3" s="655" t="inlineStr">
        <is>
          <t>This sheet provides a summary of your total projected farm financial situation.</t>
        </is>
      </c>
      <c r="C3" s="149" t="n"/>
      <c r="D3" s="149" t="n"/>
      <c r="E3" s="149" t="n"/>
      <c r="F3" s="149" t="n"/>
      <c r="G3" s="149" t="n"/>
    </row>
    <row r="4" ht="16" customHeight="1">
      <c r="A4" t="n">
        <v>2</v>
      </c>
      <c r="B4" s="655" t="inlineStr">
        <is>
          <t xml:space="preserve">Please go to the sheets for the crops you grow or you plan to grow and input your numbers in the "my farm" column. The data from those sheets will automatically appear in this summary calculator. </t>
        </is>
      </c>
      <c r="C4" s="149" t="n"/>
      <c r="D4" s="149" t="n"/>
      <c r="E4" s="149" t="n"/>
      <c r="F4" s="149" t="n"/>
      <c r="G4" s="149" t="n"/>
    </row>
    <row r="5" ht="16" customHeight="1">
      <c r="A5" t="n">
        <v>3</v>
      </c>
      <c r="B5" s="655" t="inlineStr">
        <is>
          <t xml:space="preserve">In this summary calcaulator, please input the total acres of each crop you grow or plan to grow. </t>
        </is>
      </c>
      <c r="C5" s="149" t="n"/>
      <c r="D5" s="149" t="n"/>
      <c r="E5" s="149" t="n"/>
      <c r="F5" s="149" t="n"/>
      <c r="G5" s="149" t="n"/>
    </row>
    <row r="6" ht="16" customHeight="1">
      <c r="A6" t="n">
        <v>4</v>
      </c>
      <c r="B6" s="655" t="inlineStr">
        <is>
          <t xml:space="preserve">The total colum will update automatically and provide your summary picture. </t>
        </is>
      </c>
      <c r="C6" s="149" t="n"/>
      <c r="D6" s="149" t="n"/>
      <c r="E6" s="149" t="n"/>
      <c r="F6" s="149" t="n"/>
      <c r="G6" s="149" t="n"/>
    </row>
    <row r="7" ht="16" customHeight="1">
      <c r="B7" s="149" t="n"/>
      <c r="C7" s="149" t="n"/>
      <c r="D7" s="149" t="n"/>
      <c r="E7" s="149" t="n"/>
      <c r="F7" s="149" t="n"/>
      <c r="G7" s="149" t="n"/>
    </row>
    <row r="8"/>
    <row r="9" ht="16" customHeight="1" thickBot="1">
      <c r="B9" s="656" t="inlineStr">
        <is>
          <t>Coarse Grains</t>
        </is>
      </c>
      <c r="C9" s="218" t="n"/>
      <c r="D9" s="218" t="n"/>
      <c r="E9" s="218" t="n"/>
      <c r="F9" s="218" t="n"/>
      <c r="G9" s="218" t="n"/>
      <c r="H9" s="218" t="n"/>
      <c r="I9" s="218" t="n"/>
      <c r="J9" s="218" t="n"/>
      <c r="K9" s="218" t="n"/>
      <c r="L9" s="218" t="n"/>
      <c r="M9" s="218" t="n"/>
      <c r="N9" s="218" t="n"/>
      <c r="O9" s="218" t="n"/>
      <c r="P9" s="218" t="n"/>
      <c r="Q9" s="218" t="n"/>
      <c r="R9" s="218" t="n"/>
      <c r="S9" s="218" t="n"/>
      <c r="T9" s="218" t="n"/>
      <c r="U9" s="218" t="n"/>
      <c r="V9" s="218" t="n"/>
    </row>
    <row r="10" ht="16" customHeight="1" thickBot="1">
      <c r="B10" s="219" t="n"/>
      <c r="C10" s="657" t="inlineStr">
        <is>
          <t>Total</t>
        </is>
      </c>
      <c r="D10" s="658" t="inlineStr">
        <is>
          <t>Feed Barley</t>
        </is>
      </c>
      <c r="E10" s="659" t="inlineStr">
        <is>
          <t>Acres</t>
        </is>
      </c>
      <c r="F10" s="660" t="inlineStr">
        <is>
          <t>Malt Barley</t>
        </is>
      </c>
      <c r="G10" s="659" t="inlineStr">
        <is>
          <t>Acres</t>
        </is>
      </c>
      <c r="H10" s="660" t="inlineStr">
        <is>
          <t>Corn</t>
        </is>
      </c>
      <c r="I10" s="659" t="inlineStr">
        <is>
          <t>Acres</t>
        </is>
      </c>
      <c r="J10" s="660" t="inlineStr">
        <is>
          <t xml:space="preserve"> Fall Rye</t>
        </is>
      </c>
      <c r="K10" s="659" t="inlineStr">
        <is>
          <t>Acres</t>
        </is>
      </c>
      <c r="L10" s="660" t="inlineStr">
        <is>
          <t>Oats</t>
        </is>
      </c>
      <c r="M10" s="659" t="inlineStr">
        <is>
          <t>Acres</t>
        </is>
      </c>
      <c r="N10" s="660" t="inlineStr">
        <is>
          <t>Durum</t>
        </is>
      </c>
      <c r="O10" s="659" t="inlineStr">
        <is>
          <t>Acres</t>
        </is>
      </c>
      <c r="P10" s="660" t="inlineStr">
        <is>
          <t>Spring Wheat</t>
        </is>
      </c>
      <c r="Q10" s="659" t="inlineStr">
        <is>
          <t>Acres</t>
        </is>
      </c>
      <c r="R10" s="660" t="inlineStr">
        <is>
          <t>Winter Wheat</t>
        </is>
      </c>
      <c r="S10" s="661" t="inlineStr">
        <is>
          <t>Acres</t>
        </is>
      </c>
      <c r="T10" s="220" t="n"/>
      <c r="U10" s="220" t="n"/>
      <c r="V10" s="220" t="n"/>
    </row>
    <row r="11" ht="16" customHeight="1">
      <c r="B11" s="662" t="inlineStr">
        <is>
          <t>Total Revenue ($)</t>
        </is>
      </c>
      <c r="C11" s="663">
        <f>D11*E11+F11*G11+H11*I11+J11*K11++L11*M11++N11*O11+P11*Q11+R11*S11</f>
        <v/>
      </c>
      <c r="D11" s="664">
        <f>FBarley!$B$9</f>
        <v/>
      </c>
      <c r="E11" s="242" t="n"/>
      <c r="F11" s="665">
        <f>MBarley!$B$9</f>
        <v/>
      </c>
      <c r="G11" s="242" t="n"/>
      <c r="H11" s="665">
        <f>Corn!$B$9</f>
        <v/>
      </c>
      <c r="I11" s="242" t="n"/>
      <c r="J11" s="665">
        <f>HFallRye!$B$9</f>
        <v/>
      </c>
      <c r="K11" s="242" t="n"/>
      <c r="L11" s="665">
        <f>Oats!$B$9</f>
        <v/>
      </c>
      <c r="M11" s="242" t="n"/>
      <c r="N11" s="665">
        <f>Durum!$B$9</f>
        <v/>
      </c>
      <c r="O11" s="242" t="n"/>
      <c r="P11" s="665">
        <f>SWheat!$B$9</f>
        <v/>
      </c>
      <c r="Q11" s="248" t="n"/>
      <c r="R11" s="665">
        <f>WWheat!$B$9</f>
        <v/>
      </c>
      <c r="S11" s="249" t="n"/>
      <c r="T11" s="220" t="n"/>
      <c r="U11" s="220" t="n"/>
      <c r="V11" s="220" t="n"/>
    </row>
    <row r="12" ht="16" customHeight="1">
      <c r="B12" s="662" t="inlineStr">
        <is>
          <t>Total Variable Expenses ($)</t>
        </is>
      </c>
      <c r="C12" s="663">
        <f>D12*E11+F12*G11+H12*I11+J12*K11+L12*M11++N12*O11+P12*Q11+R12*S11</f>
        <v/>
      </c>
      <c r="D12" s="666">
        <f>FBarley!$B$28</f>
        <v/>
      </c>
      <c r="E12" s="228" t="n"/>
      <c r="F12" s="667">
        <f>MBarley!$B$28</f>
        <v/>
      </c>
      <c r="G12" s="228" t="n"/>
      <c r="H12" s="667">
        <f>Corn!$B$28</f>
        <v/>
      </c>
      <c r="I12" s="228" t="n"/>
      <c r="J12" s="667">
        <f>HFallRye!$B$28</f>
        <v/>
      </c>
      <c r="K12" s="228" t="n"/>
      <c r="L12" s="667">
        <f>Oats!$B$28</f>
        <v/>
      </c>
      <c r="M12" s="228" t="n"/>
      <c r="N12" s="667">
        <f>Durum!$B$28</f>
        <v/>
      </c>
      <c r="O12" s="228" t="n"/>
      <c r="P12" s="667">
        <f>SWheat!$B$28</f>
        <v/>
      </c>
      <c r="Q12" s="228" t="n"/>
      <c r="R12" s="667">
        <f>WWheat!$B$28</f>
        <v/>
      </c>
      <c r="S12" s="15" t="n"/>
      <c r="T12" s="220" t="n"/>
      <c r="U12" s="220" t="n"/>
      <c r="V12" s="220" t="n"/>
    </row>
    <row r="13" ht="16" customHeight="1">
      <c r="B13" s="662" t="inlineStr">
        <is>
          <t>Total Other Expenses* ($)</t>
        </is>
      </c>
      <c r="C13" s="663">
        <f>D13*E11+F13*G11+H13*I11+J13*K11+L13*M11++N13*O11+P13*Q11+R13*S11</f>
        <v/>
      </c>
      <c r="D13" s="666">
        <f>FBarley!$B$39</f>
        <v/>
      </c>
      <c r="E13" s="228" t="n"/>
      <c r="F13" s="667">
        <f>MBarley!$B$39</f>
        <v/>
      </c>
      <c r="G13" s="228" t="n"/>
      <c r="H13" s="667">
        <f>Corn!$B$39</f>
        <v/>
      </c>
      <c r="I13" s="228" t="n"/>
      <c r="J13" s="667">
        <f>HFallRye!$B$39</f>
        <v/>
      </c>
      <c r="K13" s="228" t="n"/>
      <c r="L13" s="667">
        <f>Oats!$B$39</f>
        <v/>
      </c>
      <c r="M13" s="228" t="n"/>
      <c r="N13" s="667">
        <f>Durum!$B$39</f>
        <v/>
      </c>
      <c r="O13" s="228" t="n"/>
      <c r="P13" s="667">
        <f>SWheat!$B$39</f>
        <v/>
      </c>
      <c r="Q13" s="228" t="n"/>
      <c r="R13" s="667">
        <f>WWheat!$B$39</f>
        <v/>
      </c>
      <c r="S13" s="15" t="n"/>
      <c r="T13" s="220" t="n"/>
      <c r="U13" s="220" t="n"/>
      <c r="V13" s="220" t="n"/>
    </row>
    <row r="14" ht="16" customHeight="1">
      <c r="B14" s="662" t="inlineStr">
        <is>
          <t>Total Expenses ($)</t>
        </is>
      </c>
      <c r="C14" s="668">
        <f>SUM(C12:C13)</f>
        <v/>
      </c>
      <c r="D14" s="229" t="n"/>
      <c r="E14" s="228" t="n"/>
      <c r="F14" s="229" t="n"/>
      <c r="G14" s="228" t="n"/>
      <c r="H14" s="230" t="n"/>
      <c r="I14" s="231" t="n"/>
      <c r="J14" s="230" t="n"/>
      <c r="K14" s="231" t="n"/>
      <c r="L14" s="230" t="n"/>
      <c r="M14" s="231" t="n"/>
      <c r="N14" s="230" t="n"/>
      <c r="O14" s="231" t="n"/>
      <c r="P14" s="230" t="n"/>
      <c r="Q14" s="231" t="n"/>
      <c r="R14" s="230" t="n"/>
      <c r="S14" s="222" t="n"/>
      <c r="T14" s="220" t="n"/>
      <c r="U14" s="222" t="n"/>
      <c r="V14" s="220" t="n"/>
    </row>
    <row r="15" ht="16" customHeight="1" thickBot="1">
      <c r="B15" s="669" t="inlineStr">
        <is>
          <t>Total Acres</t>
        </is>
      </c>
      <c r="C15" s="670">
        <f>E11+G11+I11+K11+M11+O11+Q11+S11</f>
        <v/>
      </c>
      <c r="D15" s="229" t="n"/>
      <c r="E15" s="228" t="n"/>
      <c r="F15" s="229" t="n"/>
      <c r="G15" s="228" t="n"/>
      <c r="H15" s="230" t="n"/>
      <c r="I15" s="231" t="n"/>
      <c r="J15" s="230" t="n"/>
      <c r="K15" s="231" t="n"/>
      <c r="L15" s="230" t="n"/>
      <c r="M15" s="231" t="n"/>
      <c r="N15" s="230" t="n"/>
      <c r="O15" s="231" t="n"/>
      <c r="P15" s="230" t="n"/>
      <c r="Q15" s="231" t="n"/>
      <c r="R15" s="230" t="n"/>
      <c r="S15" s="222" t="n"/>
      <c r="T15" s="220" t="n"/>
      <c r="U15" s="222" t="n"/>
      <c r="V15" s="220" t="n"/>
    </row>
    <row r="16" ht="16" customHeight="1">
      <c r="B16" s="220" t="n"/>
      <c r="C16" s="230" t="n"/>
      <c r="D16" s="220" t="n"/>
      <c r="E16" s="222" t="n"/>
      <c r="F16" s="220" t="n"/>
      <c r="G16" s="222" t="n"/>
      <c r="H16" s="220" t="n"/>
      <c r="I16" s="222" t="n"/>
      <c r="J16" s="220" t="n"/>
      <c r="K16" s="222" t="n"/>
      <c r="L16" s="220" t="n"/>
      <c r="M16" s="222" t="n"/>
      <c r="N16" s="220" t="n"/>
      <c r="O16" s="222" t="n"/>
      <c r="P16" s="220" t="n"/>
      <c r="Q16" s="222" t="n"/>
      <c r="R16" s="220" t="n"/>
      <c r="S16" s="222" t="n"/>
      <c r="T16" s="220" t="n"/>
      <c r="U16" s="222" t="n"/>
      <c r="V16" s="220" t="n"/>
    </row>
    <row r="17" ht="16" customHeight="1" thickBot="1">
      <c r="B17" s="656" t="inlineStr">
        <is>
          <t>Oilseeds</t>
        </is>
      </c>
      <c r="C17" s="235" t="n"/>
      <c r="D17" s="220" t="n"/>
      <c r="E17" s="222" t="n"/>
      <c r="F17" s="220" t="n"/>
      <c r="G17" s="222" t="n"/>
      <c r="H17" s="220" t="n"/>
      <c r="I17" s="222" t="n"/>
      <c r="J17" s="220" t="n"/>
      <c r="K17" s="222" t="n"/>
      <c r="L17" s="220" t="n"/>
      <c r="M17" s="222" t="n"/>
      <c r="N17" s="220" t="n"/>
      <c r="O17" s="222" t="n"/>
      <c r="P17" s="220" t="n"/>
      <c r="Q17" s="222" t="n"/>
      <c r="R17" s="220" t="n"/>
      <c r="S17" s="222" t="n"/>
      <c r="T17" s="220" t="n"/>
      <c r="U17" s="222" t="n"/>
      <c r="V17" s="220" t="n"/>
    </row>
    <row r="18" ht="16" customHeight="1" thickBot="1">
      <c r="B18" s="219" t="n"/>
      <c r="C18" s="657" t="inlineStr">
        <is>
          <t>Total</t>
        </is>
      </c>
      <c r="D18" s="658" t="inlineStr">
        <is>
          <t>Canola</t>
        </is>
      </c>
      <c r="E18" s="659" t="inlineStr">
        <is>
          <t>Acres</t>
        </is>
      </c>
      <c r="F18" s="660" t="inlineStr">
        <is>
          <t>Flax</t>
        </is>
      </c>
      <c r="G18" s="659" t="inlineStr">
        <is>
          <t>Acres</t>
        </is>
      </c>
      <c r="H18" s="660" t="inlineStr">
        <is>
          <t>Brown Mustard</t>
        </is>
      </c>
      <c r="I18" s="659" t="inlineStr">
        <is>
          <t>Acres</t>
        </is>
      </c>
      <c r="J18" s="660" t="inlineStr">
        <is>
          <t>Oriental Mustard</t>
        </is>
      </c>
      <c r="K18" s="659" t="inlineStr">
        <is>
          <t>Acres</t>
        </is>
      </c>
      <c r="L18" s="660" t="inlineStr">
        <is>
          <t>Yellow Mustard</t>
        </is>
      </c>
      <c r="M18" s="659" t="inlineStr">
        <is>
          <t>Acres</t>
        </is>
      </c>
      <c r="N18" s="660" t="inlineStr">
        <is>
          <t>Hybrid Mustard</t>
        </is>
      </c>
      <c r="O18" s="659" t="inlineStr">
        <is>
          <t>Acres</t>
        </is>
      </c>
      <c r="P18" s="660" t="inlineStr">
        <is>
          <t>Sunflower</t>
        </is>
      </c>
      <c r="Q18" s="661" t="inlineStr">
        <is>
          <t>Acres</t>
        </is>
      </c>
      <c r="T18" s="220" t="n"/>
      <c r="U18" s="222" t="n"/>
      <c r="V18" s="220" t="n"/>
    </row>
    <row r="19" ht="16" customHeight="1">
      <c r="B19" s="662" t="inlineStr">
        <is>
          <t>Total Revenue ($)</t>
        </is>
      </c>
      <c r="C19" s="663">
        <f>D19*E19+F19*G19+V27*W27+H19*I19+J19*K19++L19*M19+N19*O19+P19*Q19</f>
        <v/>
      </c>
      <c r="D19" s="664">
        <f>Canola!$B$9</f>
        <v/>
      </c>
      <c r="E19" s="242" t="n"/>
      <c r="F19" s="665" t="n">
        <v>0</v>
      </c>
      <c r="G19" s="242" t="n"/>
      <c r="H19" s="665">
        <f>BMustard!$B$9</f>
        <v/>
      </c>
      <c r="I19" s="242" t="n"/>
      <c r="J19" s="665">
        <f>OMustard!$B$9</f>
        <v/>
      </c>
      <c r="K19" s="242" t="n"/>
      <c r="L19" s="665">
        <f>YMustard!$B$9</f>
        <v/>
      </c>
      <c r="M19" s="242" t="n"/>
      <c r="N19" s="665">
        <f>'Hybrid Brown Mustard'!$B$9</f>
        <v/>
      </c>
      <c r="O19" s="242" t="n"/>
      <c r="P19" s="665">
        <f>Sunflower!$B$9</f>
        <v/>
      </c>
      <c r="Q19" s="242" t="n"/>
      <c r="T19" s="220" t="n"/>
      <c r="U19" s="222" t="n"/>
      <c r="V19" s="220" t="n"/>
    </row>
    <row r="20" ht="16" customHeight="1">
      <c r="B20" s="662" t="inlineStr">
        <is>
          <t>Total Variable Expenses ($)</t>
        </is>
      </c>
      <c r="C20" s="663">
        <f>D20*E19+F20*G19+V28*W27+H20*I19+J20*K19+L20*M19+N20*O19+P20*Q19</f>
        <v/>
      </c>
      <c r="D20" s="666">
        <f>Canola!$B$28</f>
        <v/>
      </c>
      <c r="E20" s="228" t="n"/>
      <c r="F20" s="667">
        <f>Flax!$B$28</f>
        <v/>
      </c>
      <c r="G20" s="228" t="n"/>
      <c r="H20" s="667">
        <f>BMustard!$B$28</f>
        <v/>
      </c>
      <c r="I20" s="228" t="n"/>
      <c r="J20" s="667">
        <f>OMustard!$B$28</f>
        <v/>
      </c>
      <c r="K20" s="228" t="n"/>
      <c r="L20" s="667">
        <f>YMustard!$B$28</f>
        <v/>
      </c>
      <c r="M20" s="228" t="n"/>
      <c r="N20" s="667">
        <f>'Hybrid Brown Mustard'!$B$28</f>
        <v/>
      </c>
      <c r="O20" s="228" t="n"/>
      <c r="P20" s="667">
        <f>Sunflower!$B$28</f>
        <v/>
      </c>
      <c r="Q20" s="228" t="n"/>
      <c r="T20" s="220" t="n"/>
      <c r="U20" s="222" t="n"/>
      <c r="V20" s="220" t="n"/>
    </row>
    <row r="21" ht="16" customHeight="1">
      <c r="B21" s="662" t="inlineStr">
        <is>
          <t>Total Other Expenses* ($)</t>
        </is>
      </c>
      <c r="C21" s="663">
        <f>D21*E19+F21*G19+V29*W27+H21*I19+J21*K19+L21*M19+N21*O19+P21*Q19</f>
        <v/>
      </c>
      <c r="D21" s="666">
        <f>Canola!$B$39</f>
        <v/>
      </c>
      <c r="E21" s="228" t="n"/>
      <c r="F21" s="667">
        <f>Flax!$B$39</f>
        <v/>
      </c>
      <c r="G21" s="228" t="n"/>
      <c r="H21" s="667">
        <f>BMustard!$B$39</f>
        <v/>
      </c>
      <c r="I21" s="228" t="n"/>
      <c r="J21" s="667">
        <f>OMustard!$B$39</f>
        <v/>
      </c>
      <c r="K21" s="228" t="n"/>
      <c r="L21" s="667">
        <f>YMustard!$B$39</f>
        <v/>
      </c>
      <c r="M21" s="228" t="n"/>
      <c r="N21" s="667">
        <f>'Hybrid Brown Mustard'!$B$39</f>
        <v/>
      </c>
      <c r="O21" s="228" t="n"/>
      <c r="P21" s="667">
        <f>Sunflower!$B$39</f>
        <v/>
      </c>
      <c r="Q21" s="228" t="n"/>
      <c r="T21" s="220" t="n"/>
      <c r="U21" s="222" t="n"/>
      <c r="V21" s="220" t="n"/>
    </row>
    <row r="22" ht="16" customHeight="1">
      <c r="B22" s="662" t="inlineStr">
        <is>
          <t>Total Expenses ($)</t>
        </is>
      </c>
      <c r="C22" s="668">
        <f>SUM(C20:C21)</f>
        <v/>
      </c>
      <c r="D22" s="230" t="n"/>
      <c r="E22" s="231" t="n"/>
      <c r="F22" s="230" t="n"/>
      <c r="G22" s="231" t="n"/>
      <c r="H22" s="230" t="n"/>
      <c r="I22" s="231" t="n"/>
      <c r="J22" s="230" t="n"/>
      <c r="K22" s="231" t="n"/>
      <c r="L22" s="230" t="n"/>
      <c r="M22" s="231" t="n"/>
      <c r="N22" s="230" t="n"/>
      <c r="O22" s="231" t="n"/>
      <c r="P22" s="220" t="n"/>
      <c r="Q22" s="222" t="n"/>
      <c r="R22" s="220" t="n"/>
      <c r="S22" s="222" t="n"/>
      <c r="T22" s="220" t="n"/>
      <c r="U22" s="222" t="n"/>
      <c r="V22" s="220" t="n"/>
    </row>
    <row r="23" ht="16" customHeight="1" thickBot="1">
      <c r="B23" s="669" t="inlineStr">
        <is>
          <t>Total Acres</t>
        </is>
      </c>
      <c r="C23" s="670">
        <f>E19+G19+W27+I19+K19+M19+O19+Q19</f>
        <v/>
      </c>
      <c r="D23" s="230" t="n"/>
      <c r="E23" s="231" t="n"/>
      <c r="F23" s="230" t="n"/>
      <c r="G23" s="231" t="n"/>
      <c r="H23" s="230" t="n"/>
      <c r="I23" s="231" t="n"/>
      <c r="J23" s="230" t="n"/>
      <c r="K23" s="231" t="n"/>
      <c r="L23" s="230" t="n"/>
      <c r="M23" s="231" t="n"/>
      <c r="N23" s="230" t="n"/>
      <c r="O23" s="231" t="n"/>
      <c r="P23" s="220" t="n"/>
      <c r="Q23" s="222" t="n"/>
      <c r="R23" s="220" t="n"/>
      <c r="S23" s="222" t="n"/>
      <c r="T23" s="220" t="n"/>
      <c r="U23" s="222" t="n"/>
      <c r="V23" s="220" t="n"/>
    </row>
    <row r="24" ht="16" customHeight="1">
      <c r="B24" s="220" t="n"/>
      <c r="C24" s="230" t="n"/>
      <c r="D24" s="220" t="n"/>
      <c r="E24" s="222" t="n"/>
      <c r="F24" s="220" t="n"/>
      <c r="G24" s="222" t="n"/>
      <c r="H24" s="220" t="n"/>
      <c r="I24" s="222" t="n"/>
      <c r="J24" s="220" t="n"/>
      <c r="K24" s="222" t="n"/>
      <c r="L24" s="220" t="n"/>
      <c r="M24" s="222" t="n"/>
      <c r="N24" s="220" t="n"/>
      <c r="O24" s="222" t="n"/>
      <c r="P24" s="220" t="n"/>
      <c r="Q24" s="222" t="n"/>
      <c r="R24" s="220" t="n"/>
      <c r="S24" s="222" t="n"/>
      <c r="T24" s="220" t="n"/>
      <c r="U24" s="222" t="n"/>
      <c r="V24" s="220" t="n"/>
    </row>
    <row r="25" ht="16" customHeight="1" thickBot="1">
      <c r="B25" s="654" t="inlineStr">
        <is>
          <t>Pulses</t>
        </is>
      </c>
      <c r="C25" s="230" t="n"/>
      <c r="D25" s="220" t="n"/>
      <c r="E25" s="222" t="n"/>
      <c r="F25" s="220" t="n"/>
      <c r="G25" s="222" t="n"/>
      <c r="H25" s="220" t="n"/>
      <c r="I25" s="222" t="n"/>
      <c r="J25" s="220" t="n"/>
      <c r="K25" s="222" t="n"/>
      <c r="L25" s="220" t="n"/>
      <c r="M25" s="222" t="n"/>
      <c r="N25" s="220" t="n"/>
      <c r="O25" s="222" t="n"/>
      <c r="P25" s="220" t="n"/>
      <c r="Q25" s="222" t="n"/>
      <c r="R25" s="220" t="n"/>
      <c r="S25" s="222" t="n"/>
      <c r="T25" s="220" t="n"/>
      <c r="U25" s="222" t="n"/>
      <c r="V25" s="220" t="n"/>
    </row>
    <row r="26" ht="16" customHeight="1" thickBot="1">
      <c r="B26" s="219" t="n"/>
      <c r="C26" s="657" t="inlineStr">
        <is>
          <t>Total</t>
        </is>
      </c>
      <c r="D26" s="658" t="inlineStr">
        <is>
          <t>Desi Chickpeas</t>
        </is>
      </c>
      <c r="E26" s="659" t="inlineStr">
        <is>
          <t>Acres</t>
        </is>
      </c>
      <c r="F26" s="660" t="inlineStr">
        <is>
          <t>Large Chickpeas</t>
        </is>
      </c>
      <c r="G26" s="659" t="inlineStr">
        <is>
          <t>Acres</t>
        </is>
      </c>
      <c r="H26" s="660" t="inlineStr">
        <is>
          <t>Small Chickpeas</t>
        </is>
      </c>
      <c r="I26" s="659" t="inlineStr">
        <is>
          <t>Acres</t>
        </is>
      </c>
      <c r="J26" s="660" t="inlineStr">
        <is>
          <t>Large Green Lentil</t>
        </is>
      </c>
      <c r="K26" s="659" t="inlineStr">
        <is>
          <t>Acres</t>
        </is>
      </c>
      <c r="L26" s="660" t="inlineStr">
        <is>
          <t>Red Lentil</t>
        </is>
      </c>
      <c r="M26" s="659" t="inlineStr">
        <is>
          <t>Acres</t>
        </is>
      </c>
      <c r="N26" s="660" t="inlineStr">
        <is>
          <t>Green Peas</t>
        </is>
      </c>
      <c r="O26" s="659" t="inlineStr">
        <is>
          <t>Acres</t>
        </is>
      </c>
      <c r="P26" s="660" t="inlineStr">
        <is>
          <t>Yellow Peas</t>
        </is>
      </c>
      <c r="Q26" s="659" t="inlineStr">
        <is>
          <t>Acres</t>
        </is>
      </c>
      <c r="R26" s="660" t="inlineStr">
        <is>
          <t>Black Bean</t>
        </is>
      </c>
      <c r="S26" s="659" t="inlineStr">
        <is>
          <t>Acres</t>
        </is>
      </c>
      <c r="T26" s="660" t="inlineStr">
        <is>
          <t>Fababean</t>
        </is>
      </c>
      <c r="U26" s="659" t="inlineStr">
        <is>
          <t>Acres</t>
        </is>
      </c>
      <c r="V26" s="660" t="inlineStr">
        <is>
          <t>Soybean</t>
        </is>
      </c>
      <c r="W26" s="661" t="inlineStr">
        <is>
          <t>Acres</t>
        </is>
      </c>
    </row>
    <row r="27" ht="16" customHeight="1">
      <c r="B27" s="662" t="inlineStr">
        <is>
          <t>Total Revenue ($)</t>
        </is>
      </c>
      <c r="C27" s="663">
        <f>T27*U27+J27*K27+L27*M27+N27*O27+P27*Q27+D27*E27+F27*G27+H27*I27+R27*S27+V27*W27</f>
        <v/>
      </c>
      <c r="D27" s="664">
        <f>DesiChickpeas!$B$9</f>
        <v/>
      </c>
      <c r="E27" s="242" t="n"/>
      <c r="F27" s="665">
        <f>'Chickpeas, large'!$B$9</f>
        <v/>
      </c>
      <c r="G27" s="242" t="n"/>
      <c r="H27" s="665">
        <f>'Chickpeas, small'!B$9</f>
        <v/>
      </c>
      <c r="I27" s="242" t="n"/>
      <c r="J27" s="665">
        <f>LGLentil!$B$9</f>
        <v/>
      </c>
      <c r="K27" s="242" t="n"/>
      <c r="L27" s="665">
        <f>RLentil!$B$9</f>
        <v/>
      </c>
      <c r="M27" s="242" t="n"/>
      <c r="N27" s="665">
        <f>GPeas!$B$9</f>
        <v/>
      </c>
      <c r="O27" s="242" t="n"/>
      <c r="P27" s="665">
        <f>Ypeas!$B$9</f>
        <v/>
      </c>
      <c r="Q27" s="242" t="n"/>
      <c r="R27" s="665">
        <f>'Black Bean'!$B$9</f>
        <v/>
      </c>
      <c r="S27" s="242" t="n"/>
      <c r="T27" s="665">
        <f>Fbean!$B$9</f>
        <v/>
      </c>
      <c r="U27" s="242" t="n"/>
      <c r="V27" s="665">
        <f>Soybean!$B$9</f>
        <v/>
      </c>
      <c r="W27" s="242" t="n"/>
    </row>
    <row r="28" ht="16" customHeight="1">
      <c r="B28" s="662" t="inlineStr">
        <is>
          <t>Total Variable Expenses ($)</t>
        </is>
      </c>
      <c r="C28" s="663">
        <f>T28*U27+J28*K27+L28*M27+N28*O27+P28*Q27+D28*E27+F28*G27+H28*I27+R28*S27+V28*W27</f>
        <v/>
      </c>
      <c r="D28" s="666">
        <f>DesiChickpeas!$B$28</f>
        <v/>
      </c>
      <c r="E28" s="228" t="n"/>
      <c r="F28" s="667">
        <f>'Chickpeas, large'!$B$28</f>
        <v/>
      </c>
      <c r="G28" s="228" t="n"/>
      <c r="H28" s="667">
        <f>'Chickpeas, small'!B$28</f>
        <v/>
      </c>
      <c r="I28" s="228" t="n"/>
      <c r="J28" s="667">
        <f>LGLentil!$B$28</f>
        <v/>
      </c>
      <c r="K28" s="228" t="n"/>
      <c r="L28" s="667">
        <f>RLentil!$B$28</f>
        <v/>
      </c>
      <c r="M28" s="228" t="n"/>
      <c r="N28" s="667">
        <f>GPeas!$B$28</f>
        <v/>
      </c>
      <c r="O28" s="228" t="n"/>
      <c r="P28" s="667">
        <f>Ypeas!$B$28</f>
        <v/>
      </c>
      <c r="Q28" s="229" t="n"/>
      <c r="R28" s="667">
        <f>'Black Bean'!$B$28</f>
        <v/>
      </c>
      <c r="S28" s="228" t="n"/>
      <c r="T28" s="667">
        <f>Fbean!$B$28</f>
        <v/>
      </c>
      <c r="U28" s="228" t="n"/>
      <c r="V28" s="667">
        <f>Soybean!$B$28</f>
        <v/>
      </c>
      <c r="W28" s="228" t="n"/>
    </row>
    <row r="29" ht="16" customHeight="1">
      <c r="B29" s="662" t="inlineStr">
        <is>
          <t>Total Other Expenses* ($)</t>
        </is>
      </c>
      <c r="C29" s="663">
        <f>T29*U27+J29*K27+L29*M27+N29*O27+P29*Q27+D29*E27+F29*G27+H29*I27+R29*S27+V29*W27</f>
        <v/>
      </c>
      <c r="D29" s="666">
        <f>DesiChickpeas!$B$39</f>
        <v/>
      </c>
      <c r="E29" s="228" t="n"/>
      <c r="F29" s="667">
        <f>'Chickpeas, large'!$B$39</f>
        <v/>
      </c>
      <c r="G29" s="228" t="n"/>
      <c r="H29" s="667">
        <f>'Chickpeas, small'!B$39</f>
        <v/>
      </c>
      <c r="I29" s="228" t="n"/>
      <c r="J29" s="667">
        <f>LGLentil!$B$39</f>
        <v/>
      </c>
      <c r="K29" s="228" t="n"/>
      <c r="L29" s="667">
        <f>RLentil!$B$39</f>
        <v/>
      </c>
      <c r="M29" s="228" t="n"/>
      <c r="N29" s="667">
        <f>GPeas!$B$39</f>
        <v/>
      </c>
      <c r="O29" s="228" t="n"/>
      <c r="P29" s="667">
        <f>Ypeas!$B$39</f>
        <v/>
      </c>
      <c r="Q29" s="229" t="n"/>
      <c r="R29" s="667">
        <f>'Black Bean'!$B$39</f>
        <v/>
      </c>
      <c r="S29" s="228" t="n"/>
      <c r="T29" s="667">
        <f>Fbean!$B$39</f>
        <v/>
      </c>
      <c r="U29" s="228" t="n"/>
      <c r="V29" s="667">
        <f>Soybean!$B$39</f>
        <v/>
      </c>
      <c r="W29" s="228" t="n"/>
    </row>
    <row r="30" ht="16" customHeight="1">
      <c r="B30" s="662" t="inlineStr">
        <is>
          <t>Total Expenses($)</t>
        </is>
      </c>
      <c r="C30" s="668">
        <f>SUM(C28:C29)</f>
        <v/>
      </c>
      <c r="D30" s="229" t="n"/>
      <c r="E30" s="229" t="n"/>
      <c r="F30" s="229" t="n"/>
      <c r="G30" s="229" t="n"/>
      <c r="H30" s="230" t="n"/>
      <c r="I30" s="230" t="n"/>
      <c r="J30" s="230" t="n"/>
      <c r="K30" s="230" t="n"/>
      <c r="L30" s="230" t="n"/>
      <c r="M30" s="231" t="n"/>
      <c r="N30" s="230" t="n"/>
      <c r="O30" s="230" t="n"/>
      <c r="P30" s="230" t="n"/>
      <c r="Q30" s="230" t="n"/>
      <c r="R30" s="230" t="n"/>
      <c r="S30" s="230" t="n"/>
      <c r="T30" s="230" t="n"/>
      <c r="U30" s="230" t="n"/>
      <c r="V30" s="230" t="n"/>
      <c r="W30" s="229" t="n"/>
    </row>
    <row r="31" ht="16" customHeight="1" thickBot="1">
      <c r="B31" s="669" t="inlineStr">
        <is>
          <t>Total Acres</t>
        </is>
      </c>
      <c r="C31" s="670">
        <f>U27+K27+M27+O27+Q27+E27+G27+I27+S27+W27</f>
        <v/>
      </c>
      <c r="D31" s="229" t="n"/>
      <c r="E31" s="229" t="n"/>
      <c r="F31" s="229" t="n"/>
      <c r="G31" s="229" t="n"/>
      <c r="H31" s="230" t="n"/>
      <c r="I31" s="230" t="n"/>
      <c r="J31" s="230" t="n"/>
      <c r="K31" s="230" t="n"/>
      <c r="L31" s="230" t="n"/>
      <c r="M31" s="231" t="n"/>
      <c r="N31" s="230" t="n"/>
      <c r="O31" s="230" t="n"/>
      <c r="P31" s="230" t="n"/>
      <c r="Q31" s="230" t="n"/>
      <c r="R31" s="230" t="n"/>
      <c r="S31" s="230" t="n"/>
      <c r="T31" s="230" t="n"/>
      <c r="U31" s="230" t="n"/>
      <c r="V31" s="230" t="n"/>
      <c r="W31" s="229" t="n"/>
    </row>
    <row r="32">
      <c r="C32" s="229" t="n"/>
    </row>
    <row r="33" ht="16" customHeight="1" thickBot="1">
      <c r="B33" s="654" t="inlineStr">
        <is>
          <t>Specialty Crops</t>
        </is>
      </c>
      <c r="C33" s="230" t="n"/>
      <c r="D33" s="220" t="n"/>
      <c r="E33" s="222" t="n"/>
      <c r="F33" s="220" t="n"/>
      <c r="G33" s="222" t="n"/>
      <c r="H33" s="220" t="n"/>
      <c r="I33" s="222" t="n"/>
      <c r="J33" s="220" t="n"/>
      <c r="K33" s="222" t="n"/>
      <c r="L33" s="220" t="n"/>
      <c r="M33" s="222" t="n"/>
      <c r="N33" s="220" t="n"/>
      <c r="O33" s="222" t="n"/>
      <c r="P33" s="220" t="n"/>
      <c r="Q33" s="222" t="n"/>
      <c r="R33" s="220" t="n"/>
      <c r="S33" s="222" t="n"/>
      <c r="T33" s="220" t="n"/>
      <c r="U33" s="222" t="n"/>
      <c r="V33" s="220" t="n"/>
    </row>
    <row r="34" ht="16" customHeight="1" thickBot="1">
      <c r="B34" s="219" t="n"/>
      <c r="C34" s="657" t="inlineStr">
        <is>
          <t>Total</t>
        </is>
      </c>
      <c r="D34" s="658" t="inlineStr">
        <is>
          <t>Camelina</t>
        </is>
      </c>
      <c r="E34" s="659" t="inlineStr">
        <is>
          <t>Acres</t>
        </is>
      </c>
      <c r="F34" s="660" t="inlineStr">
        <is>
          <t>Canary</t>
        </is>
      </c>
      <c r="G34" s="659" t="inlineStr">
        <is>
          <t>Acres</t>
        </is>
      </c>
      <c r="H34" s="660" t="inlineStr">
        <is>
          <t>Caraway**</t>
        </is>
      </c>
      <c r="I34" s="659" t="inlineStr">
        <is>
          <t>Acres</t>
        </is>
      </c>
      <c r="J34" s="660" t="inlineStr">
        <is>
          <t>Coriander</t>
        </is>
      </c>
      <c r="K34" s="659" t="inlineStr">
        <is>
          <t>Acres</t>
        </is>
      </c>
      <c r="L34" s="660" t="inlineStr">
        <is>
          <t>Fenugreek</t>
        </is>
      </c>
      <c r="M34" s="659" t="inlineStr">
        <is>
          <t>Acres</t>
        </is>
      </c>
      <c r="N34" s="660" t="inlineStr">
        <is>
          <t>Quinoa</t>
        </is>
      </c>
      <c r="O34" s="661" t="inlineStr">
        <is>
          <t>Acres</t>
        </is>
      </c>
      <c r="V34" s="220" t="n"/>
    </row>
    <row r="35" ht="16" customHeight="1">
      <c r="B35" s="662" t="inlineStr">
        <is>
          <t>Total Revenue ($)</t>
        </is>
      </c>
      <c r="C35" s="663">
        <f>D35*E35+F35*G35+H35*I35+J35*K35+L35*M35+N35*O35+P19*Q19</f>
        <v/>
      </c>
      <c r="D35" s="664">
        <f>Camelina!$B$9</f>
        <v/>
      </c>
      <c r="E35" s="242" t="n"/>
      <c r="F35" s="665">
        <f>Canaryseed!$B$9</f>
        <v/>
      </c>
      <c r="G35" s="242" t="n"/>
      <c r="H35" s="665">
        <f>Caraway!$B$9</f>
        <v/>
      </c>
      <c r="I35" s="242" t="n"/>
      <c r="J35" s="665">
        <f>Coriander!$B$9</f>
        <v/>
      </c>
      <c r="K35" s="242" t="n"/>
      <c r="L35" s="665">
        <f>Fenugreek!$B$9</f>
        <v/>
      </c>
      <c r="M35" s="242" t="n"/>
      <c r="N35" s="665">
        <f>Quinoa!$B$9</f>
        <v/>
      </c>
      <c r="O35" s="250" t="n"/>
      <c r="V35" s="220" t="n"/>
    </row>
    <row r="36" ht="16" customHeight="1">
      <c r="B36" s="662" t="inlineStr">
        <is>
          <t>Total Variable Expenses ($)</t>
        </is>
      </c>
      <c r="C36" s="663">
        <f>D36*E35+F36*G35+H36*I35+J36*K35+L36*M35+N36*O35+P20*Q19</f>
        <v/>
      </c>
      <c r="D36" s="666">
        <f>Camelina!$B$28</f>
        <v/>
      </c>
      <c r="E36" s="228" t="n"/>
      <c r="F36" s="667">
        <f>Canaryseed!$B$28</f>
        <v/>
      </c>
      <c r="G36" s="228" t="n"/>
      <c r="H36" s="667">
        <f>Caraway!$B$28</f>
        <v/>
      </c>
      <c r="I36" s="228" t="n"/>
      <c r="J36" s="667">
        <f>Coriander!$B$28</f>
        <v/>
      </c>
      <c r="K36" s="228" t="n"/>
      <c r="L36" s="667">
        <f>Fenugreek!$B$28</f>
        <v/>
      </c>
      <c r="M36" s="228" t="n"/>
      <c r="N36" s="667">
        <f>Quinoa!$B$28</f>
        <v/>
      </c>
      <c r="O36" s="15" t="n"/>
      <c r="V36" s="220" t="n"/>
    </row>
    <row r="37" ht="16" customHeight="1">
      <c r="B37" s="662" t="inlineStr">
        <is>
          <t>Total Other Expenses* ($)</t>
        </is>
      </c>
      <c r="C37" s="663">
        <f>D37*E35+F37*G35+H37*I35+J37*K35+L37*M35+N37*O35+P21*Q19</f>
        <v/>
      </c>
      <c r="D37" s="666">
        <f>Camelina!$B$39</f>
        <v/>
      </c>
      <c r="E37" s="228" t="n"/>
      <c r="F37" s="667">
        <f>Canaryseed!$B$39</f>
        <v/>
      </c>
      <c r="G37" s="228" t="n"/>
      <c r="H37" s="667">
        <f>Caraway!$B$39</f>
        <v/>
      </c>
      <c r="I37" s="228" t="n"/>
      <c r="J37" s="667">
        <f>Coriander!$B$39</f>
        <v/>
      </c>
      <c r="K37" s="228" t="n"/>
      <c r="L37" s="667">
        <f>Fenugreek!$B$39</f>
        <v/>
      </c>
      <c r="M37" s="228" t="n"/>
      <c r="N37" s="667">
        <f>Quinoa!$B$39</f>
        <v/>
      </c>
      <c r="O37" s="15" t="n"/>
      <c r="V37" s="220" t="n"/>
    </row>
    <row r="38" ht="16" customHeight="1">
      <c r="B38" s="662" t="inlineStr">
        <is>
          <t>Total Expenses($)</t>
        </is>
      </c>
      <c r="C38" s="668">
        <f>SUM(C36:C37)</f>
        <v/>
      </c>
      <c r="D38" s="229" t="n"/>
      <c r="E38" s="229" t="n"/>
      <c r="F38" s="229" t="n"/>
      <c r="G38" s="229" t="n"/>
      <c r="H38" s="230" t="n"/>
      <c r="I38" s="230" t="n"/>
      <c r="J38" s="230" t="n"/>
      <c r="K38" s="230" t="n"/>
      <c r="L38" s="230" t="n"/>
      <c r="M38" s="231" t="n"/>
      <c r="N38" s="230" t="n"/>
      <c r="O38" s="220" t="n"/>
      <c r="P38" s="220" t="n"/>
      <c r="Q38" s="220" t="n"/>
      <c r="R38" s="220" t="n"/>
      <c r="S38" s="220" t="n"/>
      <c r="T38" s="220" t="n"/>
      <c r="U38" s="220" t="n"/>
      <c r="V38" s="220" t="n"/>
    </row>
    <row r="39" ht="16" customHeight="1" thickBot="1">
      <c r="B39" s="669" t="inlineStr">
        <is>
          <t>Total Acres</t>
        </is>
      </c>
      <c r="C39" s="670">
        <f>E35+G35+I35+K35+M35+O35+Q19</f>
        <v/>
      </c>
      <c r="D39" s="229" t="n"/>
      <c r="E39" s="229" t="n"/>
      <c r="F39" s="229" t="n"/>
      <c r="G39" s="229" t="n"/>
      <c r="H39" s="230" t="n"/>
      <c r="I39" s="230" t="n"/>
      <c r="J39" s="230" t="n"/>
      <c r="K39" s="230" t="n"/>
      <c r="L39" s="230" t="n"/>
      <c r="M39" s="231" t="n"/>
      <c r="N39" s="230" t="n"/>
      <c r="O39" s="220" t="n"/>
      <c r="P39" s="220" t="n"/>
      <c r="Q39" s="220" t="n"/>
      <c r="R39" s="220" t="n"/>
      <c r="S39" s="220" t="n"/>
      <c r="T39" s="220" t="n"/>
      <c r="U39" s="220" t="n"/>
      <c r="V39" s="220" t="n"/>
    </row>
    <row r="40"/>
    <row r="41" ht="16" customHeight="1" thickBot="1">
      <c r="B41" s="654" t="inlineStr">
        <is>
          <t>Farm Total</t>
        </is>
      </c>
    </row>
    <row r="42" ht="16" customHeight="1">
      <c r="B42" s="671" t="inlineStr">
        <is>
          <t>Total Revenue ($)</t>
        </is>
      </c>
      <c r="C42" s="672">
        <f>SUM(C11,C19,C27,C35)</f>
        <v/>
      </c>
    </row>
    <row r="43" ht="16" customHeight="1">
      <c r="B43" s="662" t="inlineStr">
        <is>
          <t>Total Variable Expenses ($)</t>
        </is>
      </c>
      <c r="C43" s="668">
        <f>SUM(C12,C20,C28,C36)</f>
        <v/>
      </c>
    </row>
    <row r="44" ht="16" customHeight="1">
      <c r="B44" s="662" t="inlineStr">
        <is>
          <t>Total Other Expenses* ($)</t>
        </is>
      </c>
      <c r="C44" s="668">
        <f>SUM(C13,C21,C29,C37)</f>
        <v/>
      </c>
    </row>
    <row r="45" ht="16" customHeight="1">
      <c r="B45" s="662" t="inlineStr">
        <is>
          <t>Total Expenses ($)</t>
        </is>
      </c>
      <c r="C45" s="668">
        <f>SUM(C14,C22,C30,C38)</f>
        <v/>
      </c>
    </row>
    <row r="46" ht="16" customHeight="1">
      <c r="B46" s="662" t="inlineStr">
        <is>
          <t>Return over variable expenses ($)</t>
        </is>
      </c>
      <c r="C46" s="668">
        <f>C42-C43</f>
        <v/>
      </c>
    </row>
    <row r="47" ht="16" customHeight="1">
      <c r="B47" s="662" t="inlineStr">
        <is>
          <t>Return over total expenses ($)</t>
        </is>
      </c>
      <c r="C47" s="668">
        <f>C42-C45</f>
        <v/>
      </c>
    </row>
    <row r="48" ht="16" customHeight="1" thickBot="1">
      <c r="B48" s="673" t="inlineStr">
        <is>
          <t>Total Acres</t>
        </is>
      </c>
      <c r="C48" s="674">
        <f>C15+C23+C31+C39</f>
        <v/>
      </c>
    </row>
    <row r="49"/>
    <row r="50" ht="16" customHeight="1">
      <c r="B50" s="620" t="inlineStr">
        <is>
          <t>*This includes labour and management costs if entered.  Be sure these are entered as a per acres cost on the crop-specific pages.</t>
        </is>
      </c>
    </row>
    <row r="51" ht="16" customHeight="1">
      <c r="B51" s="620" t="inlineStr">
        <is>
          <t>**See crop specific sheet on caraway for important cost assumptions of this biennal crop.  If you are growing caraway, these assumptions must be considered when looking at the summary of your farm.</t>
        </is>
      </c>
    </row>
  </sheetData>
  <pageMargins left="0.7" right="0.7"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K63"/>
  <sheetViews>
    <sheetView showGridLines="0" workbookViewId="0">
      <selection activeCell="E28" sqref="E28"/>
    </sheetView>
  </sheetViews>
  <sheetFormatPr baseColWidth="8" defaultRowHeight="16" customHeight="1"/>
  <cols>
    <col width="55.7109375" customWidth="1" min="1" max="1"/>
    <col width="13.85546875" bestFit="1" customWidth="1" min="2" max="2"/>
    <col width="11.42578125" customWidth="1" min="3" max="3"/>
    <col width="13.85546875" bestFit="1" customWidth="1" min="4" max="5"/>
    <col width="50" customWidth="1" min="6" max="6"/>
    <col width="13.42578125" customWidth="1" min="9" max="11"/>
  </cols>
  <sheetData>
    <row r="1" ht="16" customHeight="1">
      <c r="A1" s="23" t="inlineStr">
        <is>
          <t>MALT BARLEY PRODUCTION COSTS ($/ACRE) FOR SASKATCHEWAN 2026</t>
        </is>
      </c>
      <c r="B1" s="23" t="n"/>
      <c r="C1" s="23" t="n"/>
      <c r="D1" s="23" t="n"/>
      <c r="E1" s="23" t="n"/>
      <c r="F1" s="24" t="n"/>
    </row>
    <row r="2" ht="16" customHeight="1" thickBot="1">
      <c r="A2" s="25" t="n"/>
      <c r="B2" s="25" t="n"/>
      <c r="C2" s="25" t="inlineStr">
        <is>
          <t>Economics</t>
        </is>
      </c>
      <c r="D2" s="25" t="n"/>
      <c r="E2" s="25" t="n"/>
      <c r="F2" s="25" t="inlineStr">
        <is>
          <t>Agronomics</t>
        </is>
      </c>
    </row>
    <row r="3" ht="16" customHeight="1" thickBot="1">
      <c r="A3" s="278" t="inlineStr">
        <is>
          <t>CROP</t>
        </is>
      </c>
      <c r="B3" s="279" t="n"/>
      <c r="C3" s="280" t="n"/>
      <c r="D3" s="675" t="inlineStr">
        <is>
          <t>MALT BARLEY</t>
        </is>
      </c>
      <c r="E3" s="282" t="n"/>
      <c r="F3" s="676" t="inlineStr">
        <is>
          <t xml:space="preserve">Seeding: Seeding rates are based on a target plant stand in plants per square foot. This guide assumes a producer will seed to achieve 25 plants per square foot in the black soil zone, 22 in the dark brown soil zone and 20 in the brown soil zone, with a thousand kernel weight of 45 grams and 85 per cent emergence.
Fertilization: Fertility costs are based on nutrient removal rates given the targeted crop yield. These are: 78 lb./ac. N and 34 lb./ac. P2O5 for the black soil zone, 66 lb./ac. N and 29 lb./ac. P2O5 for the dark brown soil zone and 50 lb./ac. N and 22 lb./ac. P2O5 for the brown soil zone. Producers are encouraged to use their own rates based on soil tests. Producers may fertilize malting barley less trying to avoid protein being too high. 
Crop Rotation: Diverse crop rotations are recommended to help reduce disease pressure and suppress weeds to manage herbicide resistance. Barley is a very competitive crop that will suppress growth of weeds. 
Crop Protection                                                            Insect control: Cutworms, aphids, thrips, mites, grasshoppers, armyworm, slugs and wireworms might require control. Seed treatments are available for wireworm control.
Disease control: Cereal crops can be affected by both leaf diseases and fusarium head blight (FHB). When disease pressure is moderate, a single application at FHB timing can be effective in managing both types of diseases. This estimation includes the cost of a single fungicide application. When disease pressure is high, an additional fungicide application for leaf diseases may be required. Fungicide applications should be made based on field history and disease risk during the growing season. 
Weed control: Because barley is competitive, growers can often reduce the number of herbicide applications from those listed. A soil-applied herbicide was used to manage Group 1 resistant wild oats. Refer to the Guide to Crop Protection available at saskatchewan.ca/crops for more information about Group 1 resistance. Herbicide costs are based on the following herbicide timings. Please refer to general assumptions for details. Please insert herbicide application window.
</t>
        </is>
      </c>
    </row>
    <row r="4" ht="16" customHeight="1" thickBot="1">
      <c r="A4" s="26" t="n"/>
      <c r="B4" s="677" t="inlineStr">
        <is>
          <t>My Farm</t>
        </is>
      </c>
      <c r="C4" s="211" t="n"/>
      <c r="D4" s="678" t="inlineStr">
        <is>
          <t>80th percentile</t>
        </is>
      </c>
      <c r="E4" s="212" t="n"/>
      <c r="F4" s="31" t="n"/>
      <c r="I4" s="679" t="inlineStr">
        <is>
          <t xml:space="preserve">Average Yield </t>
        </is>
      </c>
      <c r="J4" s="680" t="n"/>
      <c r="K4" s="681" t="n"/>
    </row>
    <row r="5" ht="16" customHeight="1" thickBot="1">
      <c r="A5" s="682" t="inlineStr">
        <is>
          <t>Soil Zone</t>
        </is>
      </c>
      <c r="B5" s="261" t="n"/>
      <c r="C5" s="683" t="inlineStr">
        <is>
          <t>Brown</t>
        </is>
      </c>
      <c r="D5" s="684" t="inlineStr">
        <is>
          <t>Dark Brown</t>
        </is>
      </c>
      <c r="E5" s="685" t="inlineStr">
        <is>
          <t>Black</t>
        </is>
      </c>
      <c r="F5" s="31" t="n"/>
      <c r="I5" s="686" t="inlineStr">
        <is>
          <t>Brown</t>
        </is>
      </c>
      <c r="J5" s="687" t="inlineStr">
        <is>
          <t>Dark Brown</t>
        </is>
      </c>
      <c r="K5" s="688" t="inlineStr">
        <is>
          <t>Black</t>
        </is>
      </c>
    </row>
    <row r="6" ht="16" customHeight="1">
      <c r="A6" s="32" t="inlineStr">
        <is>
          <t>REVENUE PER ACRE</t>
        </is>
      </c>
      <c r="B6" s="202" t="n"/>
      <c r="C6" s="336" t="n"/>
      <c r="D6" s="336" t="n"/>
      <c r="E6" s="337" t="n"/>
      <c r="F6" s="31" t="n"/>
      <c r="I6" s="31" t="n"/>
      <c r="J6" s="31" t="n"/>
      <c r="K6" s="31" t="n"/>
    </row>
    <row r="7" ht="16" customFormat="1" customHeight="1" s="63">
      <c r="A7" s="689" t="inlineStr">
        <is>
          <t>Estimated Yield (bu./ac) (A)</t>
        </is>
      </c>
      <c r="B7" s="120" t="n"/>
      <c r="C7" s="690" t="n">
        <v>46.62528834</v>
      </c>
      <c r="D7" s="691" t="n">
        <v>61.69801904264017</v>
      </c>
      <c r="E7" s="692" t="n">
        <v>73.47146520000001</v>
      </c>
      <c r="F7" s="31" t="n"/>
      <c r="G7" s="62" t="n"/>
      <c r="I7" s="693" t="n">
        <v>29.29700897311858</v>
      </c>
      <c r="J7" s="693" t="n">
        <v>44.44223630544214</v>
      </c>
      <c r="K7" s="693" t="n">
        <v>59.0285883732094</v>
      </c>
    </row>
    <row r="8" ht="16" customHeight="1" thickBot="1">
      <c r="A8" s="689" t="inlineStr">
        <is>
          <t>Est. On Farm Market Price $/bu. (B)</t>
        </is>
      </c>
      <c r="B8" s="192" t="n"/>
      <c r="C8" s="694" t="n">
        <v>5.787793018361274</v>
      </c>
      <c r="D8" s="694" t="n">
        <v>5.787793018361274</v>
      </c>
      <c r="E8" s="695" t="n">
        <v>5.787793018361274</v>
      </c>
      <c r="F8" s="31" t="n"/>
      <c r="G8" s="37" t="n"/>
      <c r="I8" s="696">
        <f>C8</f>
        <v/>
      </c>
      <c r="J8" s="696">
        <f>D8</f>
        <v/>
      </c>
      <c r="K8" s="696">
        <f>E8</f>
        <v/>
      </c>
    </row>
    <row r="9" ht="16" customHeight="1" thickBot="1">
      <c r="A9" s="70" t="inlineStr">
        <is>
          <t>Estimated Gross Revenue/ac (AxB)=C</t>
        </is>
      </c>
      <c r="B9" s="71">
        <f>ROUND((B8*B7),2)</f>
        <v/>
      </c>
      <c r="C9" s="95">
        <f>ROUND((C8*C7),2)</f>
        <v/>
      </c>
      <c r="D9" s="92">
        <f>ROUND((D8*D7),2)</f>
        <v/>
      </c>
      <c r="E9" s="412">
        <f>ROUND((E8*E7),2)</f>
        <v/>
      </c>
      <c r="F9" s="31" t="n"/>
      <c r="G9" s="37" t="n"/>
      <c r="I9" s="40">
        <f>ROUND((I8*I7),2)</f>
        <v/>
      </c>
      <c r="J9" s="40">
        <f>ROUND((J8*J7),2)</f>
        <v/>
      </c>
      <c r="K9" s="40">
        <f>ROUND((K8*K7),2)</f>
        <v/>
      </c>
    </row>
    <row r="10">
      <c r="A10" s="67" t="n"/>
      <c r="B10" s="72" t="n"/>
      <c r="C10" s="697" t="n"/>
      <c r="D10" s="698" t="n"/>
      <c r="E10" s="699" t="n"/>
      <c r="F10" s="31" t="n"/>
      <c r="G10" s="37" t="n"/>
      <c r="I10" s="332" t="n"/>
      <c r="J10" s="332" t="n"/>
      <c r="K10" s="332" t="n"/>
    </row>
    <row r="11" ht="16" customHeight="1">
      <c r="A11" s="73" t="inlineStr">
        <is>
          <t>EXPENSES PER ACRE</t>
        </is>
      </c>
      <c r="B11" s="72" t="n"/>
      <c r="C11" s="296" t="n"/>
      <c r="D11" s="700" t="n"/>
      <c r="E11" s="701" t="n"/>
      <c r="F11" s="31" t="n"/>
      <c r="G11" s="37" t="n"/>
      <c r="I11" s="332" t="n"/>
      <c r="J11" s="332" t="n"/>
      <c r="K11" s="332" t="n"/>
    </row>
    <row r="12" ht="16" customHeight="1">
      <c r="A12" s="73" t="inlineStr">
        <is>
          <t>Variable Expenses/acre</t>
        </is>
      </c>
      <c r="B12" s="72" t="n"/>
      <c r="C12" s="296" t="n"/>
      <c r="D12" s="700" t="n"/>
      <c r="E12" s="702" t="n"/>
      <c r="F12" s="31" t="n"/>
      <c r="G12" s="37" t="n"/>
      <c r="I12" s="332" t="n"/>
      <c r="J12" s="332" t="n"/>
      <c r="K12" s="332" t="n"/>
    </row>
    <row r="13" ht="16" customHeight="1">
      <c r="A13" s="689" t="inlineStr">
        <is>
          <t>Seed</t>
        </is>
      </c>
      <c r="B13" s="74" t="n"/>
      <c r="C13" s="703" t="n">
        <v>21.311</v>
      </c>
      <c r="D13" s="704" t="n">
        <v>23.632</v>
      </c>
      <c r="E13" s="705" t="n">
        <v>26.797</v>
      </c>
      <c r="F13" s="31" t="n"/>
      <c r="G13" s="37" t="n"/>
      <c r="I13" s="696">
        <f>C13</f>
        <v/>
      </c>
      <c r="J13" s="696">
        <f>D13</f>
        <v/>
      </c>
      <c r="K13" s="696">
        <f>E13</f>
        <v/>
      </c>
    </row>
    <row r="14" ht="16" customHeight="1">
      <c r="A14" s="689" t="inlineStr">
        <is>
          <t xml:space="preserve">                     -Seed Treatments/Inoculants</t>
        </is>
      </c>
      <c r="B14" s="74" t="n"/>
      <c r="C14" s="703" t="n">
        <v>7.514572806197894</v>
      </c>
      <c r="D14" s="704" t="n">
        <v>8.332991626674893</v>
      </c>
      <c r="E14" s="705" t="n">
        <v>9.449017290961709</v>
      </c>
      <c r="F14" s="31" t="n"/>
      <c r="G14" s="37" t="n"/>
      <c r="I14" s="696">
        <f>C14</f>
        <v/>
      </c>
      <c r="J14" s="696">
        <f>D14</f>
        <v/>
      </c>
      <c r="K14" s="696">
        <f>E14</f>
        <v/>
      </c>
    </row>
    <row r="15" ht="16" customHeight="1">
      <c r="A15" s="689" t="inlineStr">
        <is>
          <t>Fertilizer -Nitrogen (N)</t>
        </is>
      </c>
      <c r="B15" s="74" t="n"/>
      <c r="C15" s="706" t="n">
        <v>40.933480628107</v>
      </c>
      <c r="D15" s="707" t="n">
        <v>54.03219442910124</v>
      </c>
      <c r="E15" s="708" t="n">
        <v>63.85622977984692</v>
      </c>
      <c r="F15" s="31" t="n"/>
      <c r="G15" s="37" t="n"/>
      <c r="I15" s="696">
        <f>C15</f>
        <v/>
      </c>
      <c r="J15" s="696">
        <f>D15</f>
        <v/>
      </c>
      <c r="K15" s="696">
        <f>E15</f>
        <v/>
      </c>
    </row>
    <row r="16" ht="16" customHeight="1">
      <c r="A16" s="689" t="inlineStr">
        <is>
          <t xml:space="preserve">               -Phosphorous (P2O5)</t>
        </is>
      </c>
      <c r="B16" s="74" t="n"/>
      <c r="C16" s="706" t="n">
        <v>21.14466552149027</v>
      </c>
      <c r="D16" s="707" t="n">
        <v>27.87251364196444</v>
      </c>
      <c r="E16" s="708" t="n">
        <v>32.67811944230314</v>
      </c>
      <c r="F16" s="31" t="n"/>
      <c r="G16" s="37" t="n"/>
      <c r="I16" s="696">
        <f>C16</f>
        <v/>
      </c>
      <c r="J16" s="696">
        <f>D16</f>
        <v/>
      </c>
      <c r="K16" s="696">
        <f>E16</f>
        <v/>
      </c>
    </row>
    <row r="17" ht="16" customHeight="1">
      <c r="A17" s="689" t="inlineStr">
        <is>
          <t xml:space="preserve">               -Sulphur and Other</t>
        </is>
      </c>
      <c r="B17" s="75" t="n"/>
      <c r="C17" s="709" t="n">
        <v>0</v>
      </c>
      <c r="D17" s="710" t="n">
        <v>0</v>
      </c>
      <c r="E17" s="711" t="n">
        <v>0</v>
      </c>
      <c r="F17" s="31" t="n"/>
      <c r="G17" s="37" t="n"/>
      <c r="I17" s="696">
        <f>C17</f>
        <v/>
      </c>
      <c r="J17" s="696">
        <f>D17</f>
        <v/>
      </c>
      <c r="K17" s="696">
        <f>E17</f>
        <v/>
      </c>
    </row>
    <row r="18" ht="16" customHeight="1">
      <c r="A18" s="689" t="inlineStr">
        <is>
          <t>Plant Protection -Herbicides</t>
        </is>
      </c>
      <c r="B18" s="74" t="n"/>
      <c r="C18" s="703" t="n">
        <v>78.98</v>
      </c>
      <c r="D18" s="704" t="n">
        <v>78.98</v>
      </c>
      <c r="E18" s="705" t="n">
        <v>83.31</v>
      </c>
      <c r="F18" s="31" t="n"/>
      <c r="G18" s="37" t="n"/>
      <c r="I18" s="696">
        <f>C18</f>
        <v/>
      </c>
      <c r="J18" s="696">
        <f>D18</f>
        <v/>
      </c>
      <c r="K18" s="696">
        <f>E18</f>
        <v/>
      </c>
    </row>
    <row r="19" ht="16" customHeight="1">
      <c r="A19" s="689" t="inlineStr">
        <is>
          <t xml:space="preserve">                     -Insecticides</t>
        </is>
      </c>
      <c r="B19" s="74" t="n"/>
      <c r="C19" s="703" t="n">
        <v>19.41299047619048</v>
      </c>
      <c r="D19" s="704" t="n">
        <v>19.41299047619048</v>
      </c>
      <c r="E19" s="705" t="n">
        <v>19.41299047619048</v>
      </c>
      <c r="F19" s="31" t="n"/>
      <c r="G19" s="37" t="n"/>
      <c r="I19" s="696">
        <f>C19</f>
        <v/>
      </c>
      <c r="J19" s="696">
        <f>D19</f>
        <v/>
      </c>
      <c r="K19" s="696">
        <f>E19</f>
        <v/>
      </c>
    </row>
    <row r="20" ht="16" customHeight="1">
      <c r="A20" s="689" t="inlineStr">
        <is>
          <t xml:space="preserve">                     -Fungicides</t>
        </is>
      </c>
      <c r="B20" s="74" t="n"/>
      <c r="C20" s="703" t="n">
        <v>15.99</v>
      </c>
      <c r="D20" s="704" t="n">
        <v>15.99</v>
      </c>
      <c r="E20" s="705" t="n">
        <v>15.99</v>
      </c>
      <c r="F20" s="31" t="n"/>
      <c r="G20" s="37" t="n"/>
      <c r="I20" s="696">
        <f>C20</f>
        <v/>
      </c>
      <c r="J20" s="696">
        <f>D20</f>
        <v/>
      </c>
      <c r="K20" s="696">
        <f>E20</f>
        <v/>
      </c>
    </row>
    <row r="21" ht="16" customHeight="1">
      <c r="A21" s="689" t="inlineStr">
        <is>
          <t>Machinery Operating -Fuel</t>
        </is>
      </c>
      <c r="B21" s="75" t="n"/>
      <c r="C21" s="712" t="n">
        <v>16.06179708666667</v>
      </c>
      <c r="D21" s="713" t="n">
        <v>20.07724635833333</v>
      </c>
      <c r="E21" s="714" t="n">
        <v>25.09655794791667</v>
      </c>
      <c r="F21" s="31" t="n"/>
      <c r="G21" s="37" t="n"/>
      <c r="I21" s="696">
        <f>C21</f>
        <v/>
      </c>
      <c r="J21" s="696">
        <f>D21</f>
        <v/>
      </c>
      <c r="K21" s="696">
        <f>E21</f>
        <v/>
      </c>
    </row>
    <row r="22" ht="16" customHeight="1">
      <c r="A22" s="689" t="inlineStr">
        <is>
          <t xml:space="preserve">                                  -Repair</t>
        </is>
      </c>
      <c r="B22" s="74" t="n"/>
      <c r="C22" s="703" t="n">
        <v>11.56328841689489</v>
      </c>
      <c r="D22" s="704" t="n">
        <v>13.03949744699887</v>
      </c>
      <c r="E22" s="705" t="n">
        <v>14.75790247400408</v>
      </c>
      <c r="F22" s="31" t="n"/>
      <c r="G22" s="37" t="n"/>
      <c r="I22" s="696">
        <f>C22</f>
        <v/>
      </c>
      <c r="J22" s="696">
        <f>D22</f>
        <v/>
      </c>
      <c r="K22" s="696">
        <f>E22</f>
        <v/>
      </c>
    </row>
    <row r="23" ht="16" customHeight="1">
      <c r="A23" s="689" t="inlineStr">
        <is>
          <t>Custom Work and Hired Labour</t>
        </is>
      </c>
      <c r="B23" s="74" t="n"/>
      <c r="C23" s="703" t="n">
        <v>22</v>
      </c>
      <c r="D23" s="704" t="n">
        <v>22.25</v>
      </c>
      <c r="E23" s="705" t="n">
        <v>22.25</v>
      </c>
      <c r="F23" s="31" t="n"/>
      <c r="G23" s="37" t="n"/>
      <c r="I23" s="696">
        <f>C23</f>
        <v/>
      </c>
      <c r="J23" s="696">
        <f>D23</f>
        <v/>
      </c>
      <c r="K23" s="696">
        <f>E23</f>
        <v/>
      </c>
    </row>
    <row r="24" ht="16" customHeight="1">
      <c r="A24" s="689" t="inlineStr">
        <is>
          <t>Crop Insurance Premium</t>
        </is>
      </c>
      <c r="B24" s="77" t="n"/>
      <c r="C24" s="703" t="n">
        <v>8.78167404686325</v>
      </c>
      <c r="D24" s="704" t="n">
        <v>6.848361023075701</v>
      </c>
      <c r="E24" s="705" t="n">
        <v>5.227861999865595</v>
      </c>
      <c r="F24" s="31" t="n"/>
      <c r="G24" s="37" t="n"/>
      <c r="I24" s="696">
        <f>C24</f>
        <v/>
      </c>
      <c r="J24" s="696">
        <f>D24</f>
        <v/>
      </c>
      <c r="K24" s="696">
        <f>E24</f>
        <v/>
      </c>
    </row>
    <row r="25" ht="16" customHeight="1">
      <c r="A25" s="689" t="inlineStr">
        <is>
          <t>Hail Insurance Premium</t>
        </is>
      </c>
      <c r="B25" s="77" t="n"/>
      <c r="C25" s="703" t="n">
        <v>14</v>
      </c>
      <c r="D25" s="704" t="n">
        <v>14</v>
      </c>
      <c r="E25" s="705" t="n">
        <v>14</v>
      </c>
      <c r="F25" s="31" t="n"/>
      <c r="G25" s="37" t="n"/>
      <c r="I25" s="696">
        <f>C25</f>
        <v/>
      </c>
      <c r="J25" s="696">
        <f>D25</f>
        <v/>
      </c>
      <c r="K25" s="696">
        <f>E25</f>
        <v/>
      </c>
    </row>
    <row r="26" ht="16" customHeight="1">
      <c r="A26" s="689" t="inlineStr">
        <is>
          <t>Utilities and Miscellaneous</t>
        </is>
      </c>
      <c r="B26" s="75" t="n"/>
      <c r="C26" s="715" t="n">
        <v>4.395974170413743</v>
      </c>
      <c r="D26" s="716" t="n">
        <v>5.768849384517721</v>
      </c>
      <c r="E26" s="717" t="n">
        <v>6.656364674443524</v>
      </c>
      <c r="F26" s="31" t="n"/>
      <c r="G26" s="37" t="n"/>
      <c r="I26" s="427">
        <f>C26</f>
        <v/>
      </c>
      <c r="J26" s="427">
        <f>D26</f>
        <v/>
      </c>
      <c r="K26" s="427">
        <f>E26</f>
        <v/>
      </c>
    </row>
    <row r="27" ht="16" customHeight="1" thickBot="1">
      <c r="A27" s="689" t="inlineStr">
        <is>
          <t>Interest on Variable Expenses</t>
        </is>
      </c>
      <c r="B27" s="74" t="n"/>
      <c r="C27" s="718" t="n">
        <v>10.68178691405361</v>
      </c>
      <c r="D27" s="719" t="n">
        <v>11.7476276007823</v>
      </c>
      <c r="E27" s="720" t="n">
        <v>12.85505340270548</v>
      </c>
      <c r="F27" s="31" t="n"/>
      <c r="G27" s="37" t="n"/>
      <c r="I27" s="427">
        <f>C27</f>
        <v/>
      </c>
      <c r="J27" s="427">
        <f>D27</f>
        <v/>
      </c>
      <c r="K27" s="427">
        <f>E27</f>
        <v/>
      </c>
    </row>
    <row r="28" ht="16" customHeight="1" thickBot="1">
      <c r="A28" s="70" t="inlineStr">
        <is>
          <t>Total Variable Expenses (D)</t>
        </is>
      </c>
      <c r="B28" s="78">
        <f>SUM(B13:B27)</f>
        <v/>
      </c>
      <c r="C28" s="423">
        <f>SUM(C13:C27)</f>
        <v/>
      </c>
      <c r="D28" s="430">
        <f>SUM(D13:D27)</f>
        <v/>
      </c>
      <c r="E28" s="431">
        <f>SUM(E13:E27)</f>
        <v/>
      </c>
      <c r="F28" s="31" t="n"/>
      <c r="G28" s="37" t="n"/>
      <c r="I28" s="428">
        <f>SUM(I13:I27)</f>
        <v/>
      </c>
      <c r="J28" s="428">
        <f>SUM(J13:J27)</f>
        <v/>
      </c>
      <c r="K28" s="428">
        <f>SUM(K13:K27)</f>
        <v/>
      </c>
    </row>
    <row r="29">
      <c r="A29" s="67" t="n"/>
      <c r="B29" s="72" t="n"/>
      <c r="C29" s="721" t="n"/>
      <c r="D29" s="700" t="n"/>
      <c r="E29" s="701" t="n"/>
      <c r="F29" s="31" t="n"/>
      <c r="G29" s="37" t="n"/>
      <c r="I29" s="332" t="n"/>
      <c r="J29" s="332" t="n"/>
      <c r="K29" s="332" t="n"/>
    </row>
    <row r="30" ht="16" customHeight="1">
      <c r="A30" s="73" t="inlineStr">
        <is>
          <t>Other Expenses/acre</t>
        </is>
      </c>
      <c r="B30" s="72" t="n"/>
      <c r="C30" s="721" t="n"/>
      <c r="D30" s="700" t="n"/>
      <c r="E30" s="701" t="n"/>
      <c r="F30" s="31" t="n"/>
      <c r="G30" s="37" t="n"/>
      <c r="I30" s="332" t="n"/>
      <c r="J30" s="332" t="n"/>
      <c r="K30" s="332" t="n"/>
    </row>
    <row r="31" ht="16" customHeight="1">
      <c r="A31" s="689" t="inlineStr">
        <is>
          <t>Building Repair</t>
        </is>
      </c>
      <c r="B31" s="722" t="n"/>
      <c r="C31" s="723" t="n">
        <v>0.7445684561908097</v>
      </c>
      <c r="D31" s="724" t="n">
        <v>0.9756414253534748</v>
      </c>
      <c r="E31" s="725" t="n">
        <v>1.335088266273176</v>
      </c>
      <c r="F31" s="31" t="n"/>
      <c r="G31" s="37" t="n"/>
      <c r="I31" s="726">
        <f>C31</f>
        <v/>
      </c>
      <c r="J31" s="726">
        <f>D31</f>
        <v/>
      </c>
      <c r="K31" s="726">
        <f>E31</f>
        <v/>
      </c>
    </row>
    <row r="32" ht="16" customHeight="1">
      <c r="A32" s="689" t="inlineStr">
        <is>
          <t>Property Taxes</t>
        </is>
      </c>
      <c r="B32" s="727" t="n"/>
      <c r="C32" s="728" t="n">
        <v>5.076533574707355</v>
      </c>
      <c r="D32" s="729" t="n">
        <v>6.642698188180902</v>
      </c>
      <c r="E32" s="730" t="n">
        <v>10.0720586349247</v>
      </c>
      <c r="F32" s="31" t="n"/>
      <c r="G32" s="37" t="n"/>
      <c r="I32" s="726">
        <f>C32</f>
        <v/>
      </c>
      <c r="J32" s="726">
        <f>D32</f>
        <v/>
      </c>
      <c r="K32" s="726">
        <f>E32</f>
        <v/>
      </c>
    </row>
    <row r="33" ht="16" customHeight="1">
      <c r="A33" s="689" t="inlineStr">
        <is>
          <t>Business Overhead</t>
        </is>
      </c>
      <c r="B33" s="731" t="n"/>
      <c r="C33" s="723" t="n">
        <v>2.607474711623781</v>
      </c>
      <c r="D33" s="724" t="n">
        <v>3.986427684117127</v>
      </c>
      <c r="E33" s="725" t="n">
        <v>4.675904170363799</v>
      </c>
      <c r="F33" s="31" t="n"/>
      <c r="G33" s="37" t="n"/>
      <c r="I33" s="726">
        <f>C33</f>
        <v/>
      </c>
      <c r="J33" s="726">
        <f>D33</f>
        <v/>
      </c>
      <c r="K33" s="726">
        <f>E33</f>
        <v/>
      </c>
    </row>
    <row r="34" ht="16" customHeight="1">
      <c r="A34" s="689" t="inlineStr">
        <is>
          <t>Machinery Depreciation</t>
        </is>
      </c>
      <c r="B34" s="732" t="n"/>
      <c r="C34" s="728" t="n">
        <v>47.58737925414436</v>
      </c>
      <c r="D34" s="729" t="n">
        <v>53.66254718572614</v>
      </c>
      <c r="E34" s="730" t="n">
        <v>60.73444479686295</v>
      </c>
      <c r="F34" s="31" t="n"/>
      <c r="G34" s="37" t="n"/>
      <c r="I34" s="726">
        <f>C34</f>
        <v/>
      </c>
      <c r="J34" s="726">
        <f>D34</f>
        <v/>
      </c>
      <c r="K34" s="726">
        <f>E34</f>
        <v/>
      </c>
    </row>
    <row r="35" ht="16" customHeight="1">
      <c r="A35" s="689" t="inlineStr">
        <is>
          <t>Building Depreciation</t>
        </is>
      </c>
      <c r="B35" s="722" t="n"/>
      <c r="C35" s="723" t="n">
        <v>1.45</v>
      </c>
      <c r="D35" s="724" t="n">
        <v>1.9</v>
      </c>
      <c r="E35" s="725" t="n">
        <v>2.6</v>
      </c>
      <c r="F35" s="31" t="n"/>
      <c r="G35" s="37" t="n"/>
      <c r="I35" s="726">
        <f>C35</f>
        <v/>
      </c>
      <c r="J35" s="726">
        <f>D35</f>
        <v/>
      </c>
      <c r="K35" s="726">
        <f>E35</f>
        <v/>
      </c>
    </row>
    <row r="36" ht="16" customHeight="1">
      <c r="A36" s="689" t="inlineStr">
        <is>
          <t>Machinery Investment</t>
        </is>
      </c>
      <c r="B36" s="732" t="n"/>
      <c r="C36" s="728" t="n">
        <v>30.02007569770789</v>
      </c>
      <c r="D36" s="729" t="n">
        <v>33.85254144893939</v>
      </c>
      <c r="E36" s="730" t="n">
        <v>38.31378526904906</v>
      </c>
      <c r="F36" s="31" t="n"/>
      <c r="G36" s="37" t="n"/>
      <c r="I36" s="726">
        <f>C36</f>
        <v/>
      </c>
      <c r="J36" s="726">
        <f>D36</f>
        <v/>
      </c>
      <c r="K36" s="726">
        <f>E36</f>
        <v/>
      </c>
    </row>
    <row r="37" ht="16" customHeight="1">
      <c r="A37" s="689" t="inlineStr">
        <is>
          <t>Building Investment</t>
        </is>
      </c>
      <c r="B37" s="722" t="n"/>
      <c r="C37" s="723" t="n">
        <v>1.326266666666666</v>
      </c>
      <c r="D37" s="724" t="n">
        <v>1.737866666666666</v>
      </c>
      <c r="E37" s="725" t="n">
        <v>2.378133333333333</v>
      </c>
      <c r="F37" s="31" t="n"/>
      <c r="G37" s="37" t="n"/>
      <c r="I37" s="726">
        <f>C37</f>
        <v/>
      </c>
      <c r="J37" s="726">
        <f>D37</f>
        <v/>
      </c>
      <c r="K37" s="726">
        <f>E37</f>
        <v/>
      </c>
    </row>
    <row r="38" ht="16" customHeight="1" thickBot="1">
      <c r="A38" s="689" t="inlineStr">
        <is>
          <t>Land Investment</t>
        </is>
      </c>
      <c r="B38" s="727" t="n"/>
      <c r="C38" s="728" t="n">
        <v>70.10399999999998</v>
      </c>
      <c r="D38" s="729" t="n">
        <v>80.65649999999999</v>
      </c>
      <c r="E38" s="730" t="n">
        <v>75.38025</v>
      </c>
      <c r="F38" s="31" t="n"/>
      <c r="G38" s="37" t="n"/>
      <c r="I38" s="726">
        <f>C38</f>
        <v/>
      </c>
      <c r="J38" s="726">
        <f>D38</f>
        <v/>
      </c>
      <c r="K38" s="726">
        <f>E38</f>
        <v/>
      </c>
    </row>
    <row r="39" ht="16" customHeight="1" thickBot="1">
      <c r="A39" s="70" t="inlineStr">
        <is>
          <t>Total Other Expenses (E)</t>
        </is>
      </c>
      <c r="B39" s="78">
        <f>SUM(B31:B38)</f>
        <v/>
      </c>
      <c r="C39" s="78">
        <f>SUM(C31:C38)</f>
        <v/>
      </c>
      <c r="D39" s="380">
        <f>SUM(D31:D38)</f>
        <v/>
      </c>
      <c r="E39" s="381">
        <f>SUM(E31:E38)</f>
        <v/>
      </c>
      <c r="F39" s="31" t="n"/>
      <c r="G39" s="37" t="n"/>
      <c r="I39" s="43">
        <f>SUM(I31:I38)</f>
        <v/>
      </c>
      <c r="J39" s="43">
        <f>SUM(J31:J38)</f>
        <v/>
      </c>
      <c r="K39" s="43">
        <f>SUM(K31:K38)</f>
        <v/>
      </c>
    </row>
    <row r="40" ht="16" customHeight="1" thickBot="1">
      <c r="A40" s="689" t="inlineStr">
        <is>
          <t>Labour and Management (F)*</t>
        </is>
      </c>
      <c r="B40" s="75" t="n"/>
      <c r="C40" s="733" t="n"/>
      <c r="D40" s="700" t="n"/>
      <c r="E40" s="701" t="n"/>
      <c r="F40" s="31" t="n"/>
      <c r="G40" s="37" t="n"/>
      <c r="I40" s="332" t="n"/>
      <c r="J40" s="332" t="n"/>
      <c r="K40" s="332" t="n"/>
    </row>
    <row r="41" ht="16" customHeight="1" thickBot="1">
      <c r="A41" s="89" t="inlineStr">
        <is>
          <t xml:space="preserve">Total Expenses (D+E+F)=(G) </t>
        </is>
      </c>
      <c r="B41" s="78">
        <f>B28+B39+B40</f>
        <v/>
      </c>
      <c r="C41" s="78">
        <f>C28+C39+C40</f>
        <v/>
      </c>
      <c r="D41" s="380">
        <f>D28+D39+D40</f>
        <v/>
      </c>
      <c r="E41" s="381">
        <f>E28+E39+E40</f>
        <v/>
      </c>
      <c r="F41" s="31" t="n"/>
      <c r="G41" s="37" t="n"/>
      <c r="I41" s="43">
        <f>I28+I39+I40</f>
        <v/>
      </c>
      <c r="J41" s="43">
        <f>J28+J39+J40</f>
        <v/>
      </c>
      <c r="K41" s="43">
        <f>K28+K39+K40</f>
        <v/>
      </c>
    </row>
    <row r="42" ht="16" customHeight="1" thickBot="1">
      <c r="A42" s="90" t="n"/>
      <c r="B42" s="91" t="n"/>
      <c r="C42" s="343" t="n"/>
      <c r="D42" s="338" t="n"/>
      <c r="E42" s="339" t="n"/>
      <c r="F42" s="31" t="n"/>
      <c r="G42" s="37" t="n"/>
      <c r="I42" s="332" t="n"/>
      <c r="J42" s="332" t="n"/>
      <c r="K42" s="332" t="n"/>
    </row>
    <row r="43" ht="16" customHeight="1">
      <c r="A43" s="47" t="inlineStr">
        <is>
          <t>RETURNS PER ACRE</t>
        </is>
      </c>
      <c r="B43" s="48" t="n"/>
      <c r="C43" s="734" t="n"/>
      <c r="D43" s="735" t="n"/>
      <c r="E43" s="736" t="n"/>
      <c r="F43" s="31" t="n"/>
      <c r="G43" s="37" t="n"/>
      <c r="I43" s="411" t="n"/>
      <c r="J43" s="411" t="n"/>
      <c r="K43" s="413" t="n"/>
    </row>
    <row r="44" ht="16" customHeight="1">
      <c r="A44" s="49" t="inlineStr">
        <is>
          <t xml:space="preserve"> Return over Variable Expenses (C-D) </t>
        </is>
      </c>
      <c r="B44" s="20">
        <f>B9-B28</f>
        <v/>
      </c>
      <c r="C44" s="20">
        <f>C9-C28</f>
        <v/>
      </c>
      <c r="D44" s="400">
        <f>D9-D28</f>
        <v/>
      </c>
      <c r="E44" s="16">
        <f>E9-E28</f>
        <v/>
      </c>
      <c r="F44" s="31" t="n"/>
      <c r="G44" s="37" t="n"/>
      <c r="I44" s="99">
        <f>I9-I28</f>
        <v/>
      </c>
      <c r="J44" s="99">
        <f>J9-J28</f>
        <v/>
      </c>
      <c r="K44" s="16">
        <f>K9-K28</f>
        <v/>
      </c>
    </row>
    <row r="45" ht="16" customHeight="1" thickBot="1">
      <c r="A45" s="737" t="inlineStr">
        <is>
          <t xml:space="preserve"> Return over Total Expenses (C-G)</t>
        </is>
      </c>
      <c r="B45" s="21">
        <f>B9-B41</f>
        <v/>
      </c>
      <c r="C45" s="21">
        <f>C9-C41</f>
        <v/>
      </c>
      <c r="D45" s="401">
        <f>D9-D41</f>
        <v/>
      </c>
      <c r="E45" s="18">
        <f>E9-E41</f>
        <v/>
      </c>
      <c r="F45" s="31" t="n"/>
      <c r="G45" s="37" t="n"/>
      <c r="I45" s="100">
        <f>I9-I41</f>
        <v/>
      </c>
      <c r="J45" s="100">
        <f>J9-J41</f>
        <v/>
      </c>
      <c r="K45" s="18">
        <f>K9-K41</f>
        <v/>
      </c>
    </row>
    <row r="46" ht="16" customHeight="1" thickBot="1">
      <c r="A46" s="32" t="n"/>
      <c r="B46" s="19" t="n"/>
      <c r="C46" s="738" t="n"/>
      <c r="D46" s="739" t="n"/>
      <c r="E46" s="740" t="n"/>
      <c r="F46" s="31" t="n"/>
      <c r="G46" s="37" t="n"/>
      <c r="I46" s="410" t="n"/>
      <c r="J46" s="410" t="n"/>
      <c r="K46" s="410" t="n"/>
    </row>
    <row r="47" ht="16" customHeight="1">
      <c r="A47" s="51" t="inlineStr">
        <is>
          <t>BREAK-EVEN YIELD (bu./ac.)</t>
        </is>
      </c>
      <c r="B47" s="52" t="n"/>
      <c r="C47" s="741" t="n"/>
      <c r="D47" s="742" t="n"/>
      <c r="E47" s="743" t="n"/>
      <c r="F47" s="31" t="n"/>
      <c r="G47" s="37" t="n"/>
      <c r="I47" s="411" t="n"/>
      <c r="J47" s="411" t="n"/>
      <c r="K47" s="413" t="n"/>
    </row>
    <row r="48" ht="16" customHeight="1">
      <c r="A48" s="32" t="inlineStr">
        <is>
          <t>To Cover Variable Expenses</t>
        </is>
      </c>
      <c r="B48" s="20">
        <f>ROUND((B28)/B8,2)</f>
        <v/>
      </c>
      <c r="C48" s="20">
        <f>ROUND((C28)/C8,2)</f>
        <v/>
      </c>
      <c r="D48" s="400">
        <f>ROUND((D28)/D8,2)</f>
        <v/>
      </c>
      <c r="E48" s="16">
        <f>ROUND((E28)/E8,2)</f>
        <v/>
      </c>
      <c r="F48" s="31" t="n"/>
      <c r="G48" s="37" t="n"/>
      <c r="I48" s="99">
        <f>ROUND((I28)/I8,2)</f>
        <v/>
      </c>
      <c r="J48" s="99">
        <f>ROUND((J28)/J8,2)</f>
        <v/>
      </c>
      <c r="K48" s="16">
        <f>ROUND((K28)/K8,2)</f>
        <v/>
      </c>
    </row>
    <row r="49" ht="16" customHeight="1" thickBot="1">
      <c r="A49" s="53" t="inlineStr">
        <is>
          <t>To Cover Total Expenses</t>
        </is>
      </c>
      <c r="B49" s="21">
        <f>ROUND(B41/B8,2)</f>
        <v/>
      </c>
      <c r="C49" s="21">
        <f>ROUND(C41/C8,2)</f>
        <v/>
      </c>
      <c r="D49" s="401">
        <f>ROUND(D41/D8,2)</f>
        <v/>
      </c>
      <c r="E49" s="18">
        <f>ROUND(E41/E8,2)</f>
        <v/>
      </c>
      <c r="F49" s="31" t="n"/>
      <c r="G49" s="37" t="n"/>
      <c r="I49" s="100">
        <f>ROUND(I41/I8,2)</f>
        <v/>
      </c>
      <c r="J49" s="100">
        <f>ROUND(J41/J8,2)</f>
        <v/>
      </c>
      <c r="K49" s="18">
        <f>ROUND(K41/K8,2)</f>
        <v/>
      </c>
    </row>
    <row r="50" ht="16" customHeight="1" thickBot="1">
      <c r="A50" s="32" t="n"/>
      <c r="B50" s="744" t="n"/>
      <c r="C50" s="745" t="n"/>
      <c r="D50" s="746" t="n"/>
      <c r="E50" s="747" t="n"/>
      <c r="F50" s="31" t="n"/>
      <c r="G50" s="37" t="n"/>
      <c r="I50" s="410" t="n"/>
      <c r="J50" s="410" t="n"/>
      <c r="K50" s="410" t="n"/>
    </row>
    <row r="51" ht="16" customHeight="1">
      <c r="A51" s="51" t="inlineStr">
        <is>
          <t>BREAK-EVEN PRICE ($ per bu.)</t>
        </is>
      </c>
      <c r="B51" s="52" t="n"/>
      <c r="C51" s="748" t="n"/>
      <c r="D51" s="735" t="n"/>
      <c r="E51" s="749" t="n"/>
      <c r="F51" s="31" t="n"/>
      <c r="G51" s="37" t="n"/>
      <c r="I51" s="411" t="n"/>
      <c r="J51" s="411" t="n"/>
      <c r="K51" s="413" t="n"/>
    </row>
    <row r="52" ht="16" customHeight="1">
      <c r="A52" s="32" t="inlineStr">
        <is>
          <t>To Cover Variable Expenses</t>
        </is>
      </c>
      <c r="B52" s="20">
        <f>ROUND((B28)/B7,2)</f>
        <v/>
      </c>
      <c r="C52" s="20">
        <f>ROUND((C28)/C7,2)</f>
        <v/>
      </c>
      <c r="D52" s="400">
        <f>ROUND((D28)/D7,2)</f>
        <v/>
      </c>
      <c r="E52" s="16">
        <f>ROUND((E28)/E7,2)</f>
        <v/>
      </c>
      <c r="F52" s="31" t="n"/>
      <c r="G52" s="37" t="n"/>
      <c r="I52" s="99">
        <f>ROUND((I28)/I7,2)</f>
        <v/>
      </c>
      <c r="J52" s="99">
        <f>ROUND((J28)/J7,2)</f>
        <v/>
      </c>
      <c r="K52" s="16">
        <f>ROUND((K28)/K7,2)</f>
        <v/>
      </c>
    </row>
    <row r="53" ht="16" customHeight="1" thickBot="1">
      <c r="A53" s="53" t="inlineStr">
        <is>
          <t>To Cover Total Expenses</t>
        </is>
      </c>
      <c r="B53" s="21">
        <f>ROUND(B41/B7,2)</f>
        <v/>
      </c>
      <c r="C53" s="21">
        <f>ROUND(C41/C7,2)</f>
        <v/>
      </c>
      <c r="D53" s="401">
        <f>ROUND(D41/D7,2)</f>
        <v/>
      </c>
      <c r="E53" s="18">
        <f>ROUND(E41/E7,2)</f>
        <v/>
      </c>
      <c r="F53" s="31" t="n"/>
      <c r="G53" s="37" t="n"/>
      <c r="I53" s="100">
        <f>ROUND(I41/I7,2)</f>
        <v/>
      </c>
      <c r="J53" s="100">
        <f>ROUND(J41/J7,2)</f>
        <v/>
      </c>
      <c r="K53" s="18">
        <f>ROUND(K41/K7,2)</f>
        <v/>
      </c>
    </row>
    <row r="54" ht="16" customHeight="1" thickBot="1">
      <c r="A54" s="55" t="n"/>
      <c r="B54" s="17" t="n"/>
      <c r="C54" s="17" t="n"/>
      <c r="D54" s="17" t="n"/>
      <c r="E54" s="17" t="n"/>
      <c r="F54" s="31" t="n"/>
    </row>
    <row r="55" ht="16" customHeight="1">
      <c r="A55" s="47" t="inlineStr">
        <is>
          <t>YIELD SENSITIVITY (same expenses but average yield)</t>
        </is>
      </c>
      <c r="B55" s="64" t="n"/>
      <c r="C55" s="408" t="n"/>
      <c r="D55" s="408" t="n"/>
      <c r="E55" s="408" t="n"/>
      <c r="F55" s="31" t="n"/>
    </row>
    <row r="56" ht="16" customHeight="1">
      <c r="A56" s="49" t="inlineStr">
        <is>
          <t>Provincial Average Yield (bu./ac)</t>
        </is>
      </c>
      <c r="B56" s="65" t="n"/>
      <c r="C56" s="17">
        <f>I7</f>
        <v/>
      </c>
      <c r="D56" s="17">
        <f>J7</f>
        <v/>
      </c>
      <c r="E56" s="17">
        <f>K7</f>
        <v/>
      </c>
      <c r="F56" s="31" t="n"/>
    </row>
    <row r="57" ht="16" customHeight="1">
      <c r="A57" s="49" t="inlineStr">
        <is>
          <t xml:space="preserve"> Return over Variable Expenses </t>
        </is>
      </c>
      <c r="B57" s="65" t="n"/>
      <c r="C57" s="17">
        <f>I44</f>
        <v/>
      </c>
      <c r="D57" s="17">
        <f>J44</f>
        <v/>
      </c>
      <c r="E57" s="17">
        <f>K44</f>
        <v/>
      </c>
      <c r="F57" s="31" t="n"/>
    </row>
    <row r="58" ht="16" customHeight="1" thickBot="1">
      <c r="A58" s="737" t="inlineStr">
        <is>
          <t xml:space="preserve"> Return over Total Expenses </t>
        </is>
      </c>
      <c r="B58" s="66" t="n"/>
      <c r="C58" s="409">
        <f>I45</f>
        <v/>
      </c>
      <c r="D58" s="409">
        <f>J45</f>
        <v/>
      </c>
      <c r="E58" s="409">
        <f>K45</f>
        <v/>
      </c>
      <c r="F58" s="750" t="n"/>
    </row>
    <row r="59" ht="16" customHeight="1">
      <c r="A59" s="22" t="inlineStr">
        <is>
          <t>*Farm managers need to determine their own actual labour and management costs and add it to total expenses.</t>
        </is>
      </c>
      <c r="B59" s="24" t="n"/>
      <c r="C59" s="24" t="n"/>
      <c r="D59" s="24" t="n"/>
      <c r="E59" s="24" t="n"/>
    </row>
    <row r="60">
      <c r="A60" s="24" t="n"/>
      <c r="B60" s="24" t="n"/>
      <c r="C60" s="24" t="n"/>
      <c r="D60" s="24" t="n"/>
      <c r="E60" s="24" t="n"/>
    </row>
    <row r="61">
      <c r="A61" s="24" t="n"/>
      <c r="B61" s="24" t="n"/>
      <c r="C61" s="419" t="n"/>
      <c r="D61" s="419" t="n"/>
      <c r="E61" s="419" t="n"/>
    </row>
    <row r="62" ht="16" customHeight="1">
      <c r="A62" s="57" t="n"/>
      <c r="B62" s="56" t="n"/>
      <c r="C62" s="429" t="n"/>
      <c r="D62" s="429" t="n"/>
      <c r="E62" s="429" t="n"/>
    </row>
    <row r="63" ht="16" customHeight="1">
      <c r="A63" s="57" t="n"/>
      <c r="B63" s="56" t="n"/>
      <c r="C63" s="56" t="n"/>
      <c r="D63" s="56" t="n"/>
      <c r="E63" s="56" t="n"/>
    </row>
  </sheetData>
  <mergeCells count="2">
    <mergeCell ref="F3:F58"/>
    <mergeCell ref="I4:K4"/>
  </mergeCell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K64"/>
  <sheetViews>
    <sheetView showGridLines="0" topLeftCell="A23" workbookViewId="0">
      <selection activeCell="N21" sqref="N21"/>
    </sheetView>
  </sheetViews>
  <sheetFormatPr baseColWidth="8" defaultRowHeight="16" customHeight="1"/>
  <cols>
    <col width="55.7109375" customWidth="1" min="1" max="1"/>
    <col width="13.85546875" bestFit="1" customWidth="1" min="2" max="2"/>
    <col width="11.42578125" customWidth="1" min="3" max="3"/>
    <col width="13.85546875" bestFit="1" customWidth="1" min="4" max="5"/>
    <col width="52" customWidth="1" min="6" max="6"/>
    <col width="13.42578125" customWidth="1" min="9" max="11"/>
  </cols>
  <sheetData>
    <row r="1" ht="16" customHeight="1">
      <c r="A1" s="23" t="inlineStr">
        <is>
          <t>FEED BARLEY PRODUCTION COSTS ($/ACRE) FOR SASKATCHEWAN 2026</t>
        </is>
      </c>
      <c r="B1" s="23" t="n"/>
      <c r="C1" s="23" t="n"/>
      <c r="D1" s="23" t="n"/>
      <c r="E1" s="23" t="n"/>
      <c r="F1" s="24" t="n"/>
    </row>
    <row r="2" ht="16" customHeight="1" thickBot="1">
      <c r="A2" s="25" t="n"/>
      <c r="B2" s="25" t="n"/>
      <c r="C2" s="25" t="inlineStr">
        <is>
          <t>Economics</t>
        </is>
      </c>
      <c r="D2" s="25" t="n"/>
      <c r="E2" s="25" t="n"/>
      <c r="F2" s="25" t="inlineStr">
        <is>
          <t>Agronomics</t>
        </is>
      </c>
    </row>
    <row r="3" ht="16" customHeight="1" thickBot="1">
      <c r="A3" s="278" t="inlineStr">
        <is>
          <t>CROP</t>
        </is>
      </c>
      <c r="B3" s="279" t="n"/>
      <c r="C3" s="280" t="n"/>
      <c r="D3" s="675" t="inlineStr">
        <is>
          <t>FEED BARLEY</t>
        </is>
      </c>
      <c r="E3" s="282" t="n"/>
      <c r="F3" s="751" t="inlineStr">
        <is>
          <t>Seeding: Seeding rates are based on a target plant stand in plants per square foot. This guide assumes a producer will seed to achieve 25 plants per square foot in the black soil zone, 22 in the dark brown soil zone and 20 in the brown soil zone, with a thousand kernel weight of 45 grams and 85 per cent emergence.
Fertilization: Fertility costs are based on nutrient removal rates given the targeted crop yield. These are: 96 lb./ac. N and 42 lb./ac. P2O5 for the black soil zone, 80 lb./ac. N and 35 lb./ac. P2O5 for the dark brown soil zone and 61 lb./ac. N and 26 lb./ac. P2O5 for the brown soil zone. Producers are encouraged to use their own rates based on soil tests.
Crop Rotation: Diverse crop rotations are recommended to help reduce disease pressure and suppress weeds to manage herbicide resistance. Barley is a very competitive crop that will suppress growth of weeds. Feed barley markets may be more tolerant of weed escapes than malt barley.
Crop Protection                                                                Insect control: Cutworms, aphids, thrips, mites, grasshoppers, armyworm, slugs and wireworms might require control. Seed treatments are available for wireworm control.
Disease control: Cereal crops can be affected by both leaf diseases and fusarium head blight (FHB). When disease pressure is moderate, a single application at FHB timing can be effective in managing both types of diseases. This estimation includes the cost of a single fungicide application in the black soil zone. When disease pressure is high, an additional fungicide application for leaf diseases may be required. Fungicide applications should be made based on field history and disease risk during the growing season. 
Weed control: Because barley is competitive, growers can often reduce the number of herbicide applications from those listed. Herbicide costs are based on the following herbicide timings. Please refer to general assumptions for details.
Please insert herbicide application window.</t>
        </is>
      </c>
    </row>
    <row r="4" ht="16" customHeight="1" thickBot="1">
      <c r="A4" s="26" t="n"/>
      <c r="B4" s="677" t="inlineStr">
        <is>
          <t>My Farm</t>
        </is>
      </c>
      <c r="C4" s="211" t="n"/>
      <c r="D4" s="678" t="inlineStr">
        <is>
          <t>80th percentile</t>
        </is>
      </c>
      <c r="E4" s="212" t="n"/>
      <c r="F4" s="31" t="n"/>
      <c r="I4" s="679" t="inlineStr">
        <is>
          <t xml:space="preserve">Average Yield </t>
        </is>
      </c>
      <c r="J4" s="680" t="n"/>
      <c r="K4" s="681" t="n"/>
    </row>
    <row r="5" ht="16" customHeight="1" thickBot="1">
      <c r="A5" s="682" t="inlineStr">
        <is>
          <t>Soil Zone</t>
        </is>
      </c>
      <c r="B5" s="264" t="n"/>
      <c r="C5" s="752" t="inlineStr">
        <is>
          <t>Brown</t>
        </is>
      </c>
      <c r="D5" s="753" t="inlineStr">
        <is>
          <t>Dark Brown</t>
        </is>
      </c>
      <c r="E5" s="754" t="inlineStr">
        <is>
          <t>Black</t>
        </is>
      </c>
      <c r="F5" s="31" t="n"/>
      <c r="I5" s="686" t="inlineStr">
        <is>
          <t>Brown</t>
        </is>
      </c>
      <c r="J5" s="687" t="inlineStr">
        <is>
          <t>Dark Brown</t>
        </is>
      </c>
      <c r="K5" s="688" t="inlineStr">
        <is>
          <t>Black</t>
        </is>
      </c>
    </row>
    <row r="6" ht="16" customHeight="1">
      <c r="A6" s="32" t="inlineStr">
        <is>
          <t>REVENUE PER ACRE</t>
        </is>
      </c>
      <c r="B6" s="33" t="n"/>
      <c r="C6" s="33" t="n"/>
      <c r="D6" s="34" t="n"/>
      <c r="E6" s="35" t="n"/>
      <c r="F6" s="31" t="n"/>
      <c r="I6" s="31" t="n"/>
      <c r="J6" s="31" t="n"/>
      <c r="K6" s="31" t="n"/>
    </row>
    <row r="7" ht="16" customHeight="1">
      <c r="A7" s="689" t="inlineStr">
        <is>
          <t>Estimated Yield (bu./ac) (A)</t>
        </is>
      </c>
      <c r="B7" s="68" t="n"/>
      <c r="C7" s="755" t="n">
        <v>56.99913</v>
      </c>
      <c r="D7" s="691" t="n">
        <v>75.33335658442023</v>
      </c>
      <c r="E7" s="692" t="n">
        <v>90.4821</v>
      </c>
      <c r="F7" s="31" t="n"/>
      <c r="G7" s="37" t="n"/>
      <c r="I7" s="693" t="n">
        <v>35.8154143925655</v>
      </c>
      <c r="J7" s="693" t="n">
        <v>54.26402479296965</v>
      </c>
      <c r="K7" s="693" t="n">
        <v>72.6953058783367</v>
      </c>
    </row>
    <row r="8" ht="16" customHeight="1" thickBot="1">
      <c r="A8" s="689" t="inlineStr">
        <is>
          <t>Est. On Farm Market Price $/bu. (B)</t>
        </is>
      </c>
      <c r="B8" s="69" t="n"/>
      <c r="C8" s="756" t="n">
        <v>5.02576384353001</v>
      </c>
      <c r="D8" s="694" t="n">
        <v>5.02576384353001</v>
      </c>
      <c r="E8" s="695" t="n">
        <v>5.02576384353001</v>
      </c>
      <c r="F8" s="31" t="n"/>
      <c r="G8" s="37" t="n"/>
      <c r="I8" s="696" t="n">
        <v>5.02576384353001</v>
      </c>
      <c r="J8" s="696" t="n">
        <v>5.02576384353001</v>
      </c>
      <c r="K8" s="696">
        <f>E8</f>
        <v/>
      </c>
    </row>
    <row r="9" ht="16" customHeight="1" thickBot="1">
      <c r="A9" s="70" t="inlineStr">
        <is>
          <t>Estimated Gross Revenue/ac (AxB)=C</t>
        </is>
      </c>
      <c r="B9" s="379">
        <f>ROUND((B8*B7),2)</f>
        <v/>
      </c>
      <c r="C9" s="71">
        <f>ROUND((C8*C7),2)</f>
        <v/>
      </c>
      <c r="D9" s="380">
        <f>ROUND((D8*D7),2)</f>
        <v/>
      </c>
      <c r="E9" s="381">
        <f>ROUND((E8*E7),2)</f>
        <v/>
      </c>
      <c r="F9" s="31" t="n"/>
      <c r="G9" s="37" t="n"/>
      <c r="I9" s="40">
        <f>ROUND((I8*I7),2)</f>
        <v/>
      </c>
      <c r="J9" s="40">
        <f>ROUND((J8*J7),2)</f>
        <v/>
      </c>
      <c r="K9" s="40">
        <f>ROUND((K8*K7),2)</f>
        <v/>
      </c>
    </row>
    <row r="10">
      <c r="A10" s="67" t="n"/>
      <c r="B10" s="86" t="n"/>
      <c r="C10" s="757" t="n"/>
      <c r="D10" s="758" t="n"/>
      <c r="E10" s="759" t="n"/>
      <c r="F10" s="31" t="n"/>
      <c r="G10" s="37" t="n"/>
      <c r="I10" s="332" t="n"/>
      <c r="J10" s="332" t="n"/>
      <c r="K10" s="332" t="n"/>
    </row>
    <row r="11" ht="16" customHeight="1">
      <c r="A11" s="73" t="inlineStr">
        <is>
          <t>EXPENSES PER ACRE</t>
        </is>
      </c>
      <c r="B11" s="295" t="n"/>
      <c r="C11" s="296" t="n"/>
      <c r="D11" s="700" t="n"/>
      <c r="E11" s="701" t="n"/>
      <c r="F11" s="31" t="n"/>
      <c r="G11" s="37" t="n"/>
      <c r="I11" s="332" t="n"/>
      <c r="J11" s="332" t="n"/>
      <c r="K11" s="332" t="n"/>
    </row>
    <row r="12" ht="16" customHeight="1">
      <c r="A12" s="73" t="inlineStr">
        <is>
          <t>Variable Expenses/acre</t>
        </is>
      </c>
      <c r="B12" s="295" t="n"/>
      <c r="C12" s="296" t="n"/>
      <c r="D12" s="700" t="n"/>
      <c r="E12" s="702" t="n"/>
      <c r="F12" s="31" t="n"/>
      <c r="G12" s="37" t="n"/>
      <c r="I12" s="332" t="n"/>
      <c r="J12" s="332" t="n"/>
      <c r="K12" s="332" t="n"/>
    </row>
    <row r="13" ht="16" customHeight="1">
      <c r="A13" s="689" t="inlineStr">
        <is>
          <t>Seed</t>
        </is>
      </c>
      <c r="B13" s="300" t="n"/>
      <c r="C13" s="703" t="n">
        <v>21.412</v>
      </c>
      <c r="D13" s="704" t="n">
        <v>23.744</v>
      </c>
      <c r="E13" s="705" t="n">
        <v>26.924</v>
      </c>
      <c r="F13" s="31" t="n"/>
      <c r="G13" s="37" t="n"/>
      <c r="I13" s="696">
        <f>C13</f>
        <v/>
      </c>
      <c r="J13" s="696">
        <f>D13</f>
        <v/>
      </c>
      <c r="K13" s="696">
        <f>E13</f>
        <v/>
      </c>
    </row>
    <row r="14" ht="16" customHeight="1">
      <c r="A14" s="689" t="inlineStr">
        <is>
          <t xml:space="preserve">                     -Seed Treatments/Inoculants</t>
        </is>
      </c>
      <c r="B14" s="300" t="n"/>
      <c r="C14" s="703" t="n">
        <v>7.514572806197894</v>
      </c>
      <c r="D14" s="704" t="n">
        <v>8.332991626674893</v>
      </c>
      <c r="E14" s="705" t="n">
        <v>9.449017290961709</v>
      </c>
      <c r="F14" s="31" t="n"/>
      <c r="G14" s="37" t="n"/>
      <c r="I14" s="696">
        <f>C14</f>
        <v/>
      </c>
      <c r="J14" s="696">
        <f>D14</f>
        <v/>
      </c>
      <c r="K14" s="696">
        <f>E14</f>
        <v/>
      </c>
    </row>
    <row r="15" ht="16" customHeight="1">
      <c r="A15" s="689" t="inlineStr">
        <is>
          <t>Fertilizer -Nitrogen (N)</t>
        </is>
      </c>
      <c r="B15" s="300" t="n"/>
      <c r="C15" s="706" t="n">
        <v>49.93884636629054</v>
      </c>
      <c r="D15" s="707" t="n">
        <v>65.49356900497119</v>
      </c>
      <c r="E15" s="708" t="n">
        <v>78.59228280596544</v>
      </c>
      <c r="F15" s="31" t="n"/>
      <c r="G15" s="37" t="n"/>
      <c r="I15" s="696">
        <f>C15</f>
        <v/>
      </c>
      <c r="J15" s="696">
        <f>D15</f>
        <v/>
      </c>
      <c r="K15" s="696">
        <f>E15</f>
        <v/>
      </c>
    </row>
    <row r="16" ht="16" customHeight="1">
      <c r="A16" s="689" t="inlineStr">
        <is>
          <t xml:space="preserve">               -Phosphorous (P2O5)</t>
        </is>
      </c>
      <c r="B16" s="300" t="n"/>
      <c r="C16" s="706" t="n">
        <v>24.98915016176122</v>
      </c>
      <c r="D16" s="707" t="n">
        <v>33.63924060237088</v>
      </c>
      <c r="E16" s="708" t="n">
        <v>40.36708872284505</v>
      </c>
      <c r="F16" s="31" t="n"/>
      <c r="G16" s="37" t="n"/>
      <c r="I16" s="696">
        <f>C16</f>
        <v/>
      </c>
      <c r="J16" s="696">
        <f>D16</f>
        <v/>
      </c>
      <c r="K16" s="696">
        <f>E16</f>
        <v/>
      </c>
    </row>
    <row r="17" ht="16" customHeight="1">
      <c r="A17" s="689" t="inlineStr">
        <is>
          <t xml:space="preserve">               -Sulphur and Other</t>
        </is>
      </c>
      <c r="B17" s="301" t="n"/>
      <c r="C17" s="709" t="n">
        <v>0</v>
      </c>
      <c r="D17" s="710" t="n">
        <v>0</v>
      </c>
      <c r="E17" s="711" t="n">
        <v>0</v>
      </c>
      <c r="F17" s="31" t="n"/>
      <c r="G17" s="37" t="n"/>
      <c r="I17" s="696">
        <f>C17</f>
        <v/>
      </c>
      <c r="J17" s="696">
        <f>D17</f>
        <v/>
      </c>
      <c r="K17" s="696">
        <f>E17</f>
        <v/>
      </c>
    </row>
    <row r="18" ht="16" customHeight="1">
      <c r="A18" s="689" t="inlineStr">
        <is>
          <t>Plant Protection -Herbicides</t>
        </is>
      </c>
      <c r="B18" s="300" t="n"/>
      <c r="C18" s="703" t="n">
        <v>28.37458035846724</v>
      </c>
      <c r="D18" s="704" t="n">
        <v>28.37458035846724</v>
      </c>
      <c r="E18" s="705" t="n">
        <v>28.37458035846724</v>
      </c>
      <c r="F18" s="31" t="n"/>
      <c r="G18" s="37" t="n"/>
      <c r="I18" s="696">
        <f>C18</f>
        <v/>
      </c>
      <c r="J18" s="696">
        <f>D18</f>
        <v/>
      </c>
      <c r="K18" s="696">
        <f>E18</f>
        <v/>
      </c>
    </row>
    <row r="19" ht="16" customHeight="1">
      <c r="A19" s="689" t="inlineStr">
        <is>
          <t xml:space="preserve">                     -Insecticides</t>
        </is>
      </c>
      <c r="B19" s="300" t="n"/>
      <c r="C19" s="712" t="n">
        <v>18.7118</v>
      </c>
      <c r="D19" s="712" t="n">
        <v>18.7118</v>
      </c>
      <c r="E19" s="712" t="n">
        <v>18.7118</v>
      </c>
      <c r="F19" s="31" t="n"/>
      <c r="G19" s="37" t="n"/>
      <c r="I19" s="696">
        <f>C19</f>
        <v/>
      </c>
      <c r="J19" s="696">
        <f>D19</f>
        <v/>
      </c>
      <c r="K19" s="696">
        <f>E19</f>
        <v/>
      </c>
    </row>
    <row r="20" ht="16" customHeight="1">
      <c r="A20" s="689" t="inlineStr">
        <is>
          <t xml:space="preserve">                     -Fungicides</t>
        </is>
      </c>
      <c r="B20" s="300" t="n"/>
      <c r="C20" s="703" t="n">
        <v>0</v>
      </c>
      <c r="D20" s="704" t="n">
        <v>0</v>
      </c>
      <c r="E20" s="705" t="n">
        <v>15.99</v>
      </c>
      <c r="F20" s="31" t="n"/>
      <c r="G20" s="37" t="n"/>
      <c r="I20" s="696">
        <f>C20</f>
        <v/>
      </c>
      <c r="J20" s="696">
        <f>D20</f>
        <v/>
      </c>
      <c r="K20" s="696">
        <f>E20</f>
        <v/>
      </c>
    </row>
    <row r="21" ht="16" customHeight="1">
      <c r="A21" s="689" t="inlineStr">
        <is>
          <t>Machinery Operating -Fuel</t>
        </is>
      </c>
      <c r="B21" s="301" t="n"/>
      <c r="C21" s="712" t="n">
        <v>16.06179708666667</v>
      </c>
      <c r="D21" s="713" t="n">
        <v>20.07724635833333</v>
      </c>
      <c r="E21" s="714" t="n">
        <v>25.09655794791667</v>
      </c>
      <c r="F21" s="31" t="n"/>
      <c r="G21" s="37" t="n"/>
      <c r="I21" s="696">
        <f>C21</f>
        <v/>
      </c>
      <c r="J21" s="696">
        <f>D21</f>
        <v/>
      </c>
      <c r="K21" s="696">
        <f>E21</f>
        <v/>
      </c>
    </row>
    <row r="22" ht="16" customHeight="1">
      <c r="A22" s="689" t="inlineStr">
        <is>
          <t xml:space="preserve">                                  -Repair</t>
        </is>
      </c>
      <c r="B22" s="300" t="n"/>
      <c r="C22" s="703" t="n">
        <v>11.56328841689489</v>
      </c>
      <c r="D22" s="704" t="n">
        <v>13.03949744699887</v>
      </c>
      <c r="E22" s="705" t="n">
        <v>14.75790247400408</v>
      </c>
      <c r="F22" s="31" t="n"/>
      <c r="G22" s="37" t="n"/>
      <c r="I22" s="696">
        <f>C22</f>
        <v/>
      </c>
      <c r="J22" s="696">
        <f>D22</f>
        <v/>
      </c>
      <c r="K22" s="696">
        <f>E22</f>
        <v/>
      </c>
    </row>
    <row r="23" ht="16" customHeight="1">
      <c r="A23" s="689" t="inlineStr">
        <is>
          <t>Custom Work and Hired Labour</t>
        </is>
      </c>
      <c r="B23" s="300" t="n"/>
      <c r="C23" s="703" t="n">
        <v>22</v>
      </c>
      <c r="D23" s="704" t="n">
        <v>22.25</v>
      </c>
      <c r="E23" s="705" t="n">
        <v>22.25</v>
      </c>
      <c r="F23" s="31" t="n"/>
      <c r="G23" s="37" t="n"/>
      <c r="I23" s="696">
        <f>C23</f>
        <v/>
      </c>
      <c r="J23" s="696">
        <f>D23</f>
        <v/>
      </c>
      <c r="K23" s="696">
        <f>E23</f>
        <v/>
      </c>
    </row>
    <row r="24" ht="16" customHeight="1">
      <c r="A24" s="689" t="inlineStr">
        <is>
          <t>Crop Insurance Premium</t>
        </is>
      </c>
      <c r="B24" s="302" t="n"/>
      <c r="C24" s="703" t="n">
        <v>8.78167404686325</v>
      </c>
      <c r="D24" s="704" t="n">
        <v>6.848361023075701</v>
      </c>
      <c r="E24" s="705" t="n">
        <v>5.227861999865595</v>
      </c>
      <c r="F24" s="31" t="n"/>
      <c r="G24" s="37" t="n"/>
      <c r="I24" s="696">
        <f>C24</f>
        <v/>
      </c>
      <c r="J24" s="696">
        <f>D24</f>
        <v/>
      </c>
      <c r="K24" s="696">
        <f>E24</f>
        <v/>
      </c>
    </row>
    <row r="25" ht="16" customHeight="1">
      <c r="A25" s="689" t="inlineStr">
        <is>
          <t>Hail Insurance Premium</t>
        </is>
      </c>
      <c r="B25" s="302" t="n"/>
      <c r="C25" s="703" t="n">
        <v>14</v>
      </c>
      <c r="D25" s="704" t="n">
        <v>14</v>
      </c>
      <c r="E25" s="705" t="n">
        <v>14</v>
      </c>
      <c r="F25" s="31" t="n"/>
      <c r="G25" s="37" t="n"/>
      <c r="I25" s="696">
        <f>C25</f>
        <v/>
      </c>
      <c r="J25" s="696">
        <f>D25</f>
        <v/>
      </c>
      <c r="K25" s="696">
        <f>E25</f>
        <v/>
      </c>
    </row>
    <row r="26" ht="16" customHeight="1">
      <c r="A26" s="689" t="inlineStr">
        <is>
          <t>Utilities and Miscellaneous</t>
        </is>
      </c>
      <c r="B26" s="301" t="n"/>
      <c r="C26" s="715" t="n">
        <v>4.395974170413743</v>
      </c>
      <c r="D26" s="716" t="n">
        <v>5.768849384517721</v>
      </c>
      <c r="E26" s="717" t="n">
        <v>6.656364674443524</v>
      </c>
      <c r="F26" s="31" t="n"/>
      <c r="G26" s="37" t="n"/>
      <c r="I26" s="427">
        <f>C26</f>
        <v/>
      </c>
      <c r="J26" s="427">
        <f>D26</f>
        <v/>
      </c>
      <c r="K26" s="427">
        <f>E26</f>
        <v/>
      </c>
    </row>
    <row r="27" ht="16" customHeight="1" thickBot="1">
      <c r="A27" s="689" t="inlineStr">
        <is>
          <t>Interest on Variable Expenses</t>
        </is>
      </c>
      <c r="B27" s="303" t="n"/>
      <c r="C27" s="718" t="n">
        <v>8.623894145259966</v>
      </c>
      <c r="D27" s="719" t="n">
        <v>9.855941142498184</v>
      </c>
      <c r="E27" s="720" t="n">
        <v>11.6022503442599</v>
      </c>
      <c r="F27" s="31" t="n"/>
      <c r="G27" s="37" t="n"/>
      <c r="I27" s="427">
        <f>C27</f>
        <v/>
      </c>
      <c r="J27" s="427">
        <f>D27</f>
        <v/>
      </c>
      <c r="K27" s="427">
        <f>E27</f>
        <v/>
      </c>
    </row>
    <row r="28" ht="16" customHeight="1" thickBot="1">
      <c r="A28" s="70" t="inlineStr">
        <is>
          <t>Total Variable Expenses (D)</t>
        </is>
      </c>
      <c r="B28" s="423">
        <f>SUM(B13:B27)</f>
        <v/>
      </c>
      <c r="C28" s="424">
        <f>SUM(C13:C27)</f>
        <v/>
      </c>
      <c r="D28" s="425">
        <f>SUM(D13:D27)</f>
        <v/>
      </c>
      <c r="E28" s="426">
        <f>SUM(E13:E27)</f>
        <v/>
      </c>
      <c r="F28" s="31" t="n"/>
      <c r="G28" s="37" t="n"/>
      <c r="I28" s="428">
        <f>SUM(I13:I27)</f>
        <v/>
      </c>
      <c r="J28" s="428">
        <f>SUM(J13:J27)</f>
        <v/>
      </c>
      <c r="K28" s="428">
        <f>SUM(K13:K27)</f>
        <v/>
      </c>
    </row>
    <row r="29">
      <c r="A29" s="67" t="n"/>
      <c r="B29" s="295" t="n"/>
      <c r="C29" s="760" t="n"/>
      <c r="D29" s="761" t="n"/>
      <c r="E29" s="699" t="n"/>
      <c r="F29" s="31" t="n"/>
      <c r="G29" s="37" t="n"/>
      <c r="I29" s="332" t="n"/>
      <c r="J29" s="332" t="n"/>
      <c r="K29" s="332" t="n"/>
    </row>
    <row r="30" ht="16" customHeight="1">
      <c r="A30" s="73" t="inlineStr">
        <is>
          <t>Other Expenses/acre</t>
        </is>
      </c>
      <c r="B30" s="295" t="n"/>
      <c r="C30" s="721" t="n"/>
      <c r="D30" s="700" t="n"/>
      <c r="E30" s="701" t="n"/>
      <c r="F30" s="31" t="n"/>
      <c r="G30" s="37" t="n"/>
      <c r="I30" s="332" t="n"/>
      <c r="J30" s="332" t="n"/>
      <c r="K30" s="332" t="n"/>
    </row>
    <row r="31" ht="16" customHeight="1">
      <c r="A31" s="689" t="inlineStr">
        <is>
          <t>Building Repair</t>
        </is>
      </c>
      <c r="B31" s="762" t="n"/>
      <c r="C31" s="723" t="n">
        <v>0.7445684561908097</v>
      </c>
      <c r="D31" s="724" t="n">
        <v>0.9756414253534748</v>
      </c>
      <c r="E31" s="725" t="n">
        <v>1.335088266273176</v>
      </c>
      <c r="F31" s="31" t="n"/>
      <c r="G31" s="37" t="n"/>
      <c r="I31" s="726">
        <f>C31</f>
        <v/>
      </c>
      <c r="J31" s="726">
        <f>D31</f>
        <v/>
      </c>
      <c r="K31" s="726">
        <f>E31</f>
        <v/>
      </c>
    </row>
    <row r="32" ht="16" customHeight="1">
      <c r="A32" s="689" t="inlineStr">
        <is>
          <t>Property Taxes</t>
        </is>
      </c>
      <c r="B32" s="763" t="n"/>
      <c r="C32" s="728" t="n">
        <v>5.076533574707355</v>
      </c>
      <c r="D32" s="729" t="n">
        <v>6.642698188180902</v>
      </c>
      <c r="E32" s="730" t="n">
        <v>10.0720586349247</v>
      </c>
      <c r="F32" s="31" t="n"/>
      <c r="G32" s="37" t="n"/>
      <c r="I32" s="726">
        <f>C32</f>
        <v/>
      </c>
      <c r="J32" s="726">
        <f>D32</f>
        <v/>
      </c>
      <c r="K32" s="726">
        <f>E32</f>
        <v/>
      </c>
    </row>
    <row r="33" ht="16" customHeight="1">
      <c r="A33" s="689" t="inlineStr">
        <is>
          <t>Business Overhead</t>
        </is>
      </c>
      <c r="B33" s="762" t="n"/>
      <c r="C33" s="723" t="n">
        <v>2.607474711623781</v>
      </c>
      <c r="D33" s="724" t="n">
        <v>3.986427684117127</v>
      </c>
      <c r="E33" s="725" t="n">
        <v>4.675904170363799</v>
      </c>
      <c r="F33" s="31" t="n"/>
      <c r="G33" s="37" t="n"/>
      <c r="I33" s="726">
        <f>C33</f>
        <v/>
      </c>
      <c r="J33" s="726">
        <f>D33</f>
        <v/>
      </c>
      <c r="K33" s="726">
        <f>E33</f>
        <v/>
      </c>
    </row>
    <row r="34" ht="16" customHeight="1">
      <c r="A34" s="689" t="inlineStr">
        <is>
          <t>Machinery Depreciation</t>
        </is>
      </c>
      <c r="B34" s="763" t="n"/>
      <c r="C34" s="728" t="n">
        <v>47.58737925414436</v>
      </c>
      <c r="D34" s="729" t="n">
        <v>53.66254718572614</v>
      </c>
      <c r="E34" s="730" t="n">
        <v>60.73444479686295</v>
      </c>
      <c r="F34" s="31" t="n"/>
      <c r="G34" s="37" t="n"/>
      <c r="I34" s="726">
        <f>C34</f>
        <v/>
      </c>
      <c r="J34" s="726">
        <f>D34</f>
        <v/>
      </c>
      <c r="K34" s="726">
        <f>E34</f>
        <v/>
      </c>
    </row>
    <row r="35" ht="16" customHeight="1">
      <c r="A35" s="689" t="inlineStr">
        <is>
          <t>Building Depreciation</t>
        </is>
      </c>
      <c r="B35" s="762" t="n"/>
      <c r="C35" s="723" t="n">
        <v>1.45</v>
      </c>
      <c r="D35" s="724" t="n">
        <v>1.9</v>
      </c>
      <c r="E35" s="725" t="n">
        <v>2.6</v>
      </c>
      <c r="F35" s="31" t="n"/>
      <c r="G35" s="37" t="n"/>
      <c r="I35" s="726">
        <f>C35</f>
        <v/>
      </c>
      <c r="J35" s="726">
        <f>D35</f>
        <v/>
      </c>
      <c r="K35" s="726">
        <f>E35</f>
        <v/>
      </c>
    </row>
    <row r="36" ht="16" customHeight="1">
      <c r="A36" s="689" t="inlineStr">
        <is>
          <t>Machinery Investment</t>
        </is>
      </c>
      <c r="B36" s="763" t="n"/>
      <c r="C36" s="728" t="n">
        <v>30.02007569770789</v>
      </c>
      <c r="D36" s="729" t="n">
        <v>33.85254144893939</v>
      </c>
      <c r="E36" s="730" t="n">
        <v>38.31378526904906</v>
      </c>
      <c r="F36" s="31" t="n"/>
      <c r="G36" s="37" t="n"/>
      <c r="I36" s="726">
        <f>C36</f>
        <v/>
      </c>
      <c r="J36" s="726">
        <f>D36</f>
        <v/>
      </c>
      <c r="K36" s="726">
        <f>E36</f>
        <v/>
      </c>
    </row>
    <row r="37" ht="16" customHeight="1">
      <c r="A37" s="689" t="inlineStr">
        <is>
          <t>Building Investment</t>
        </is>
      </c>
      <c r="B37" s="762" t="n"/>
      <c r="C37" s="723" t="n">
        <v>1.326266666666666</v>
      </c>
      <c r="D37" s="724" t="n">
        <v>1.737866666666666</v>
      </c>
      <c r="E37" s="725" t="n">
        <v>2.378133333333333</v>
      </c>
      <c r="F37" s="31" t="n"/>
      <c r="G37" s="37" t="n"/>
      <c r="I37" s="726">
        <f>C37</f>
        <v/>
      </c>
      <c r="J37" s="726">
        <f>D37</f>
        <v/>
      </c>
      <c r="K37" s="726">
        <f>E37</f>
        <v/>
      </c>
    </row>
    <row r="38" ht="16" customHeight="1" thickBot="1">
      <c r="A38" s="689" t="inlineStr">
        <is>
          <t>Land Investment</t>
        </is>
      </c>
      <c r="B38" s="763" t="n"/>
      <c r="C38" s="728" t="n">
        <v>70.10399999999998</v>
      </c>
      <c r="D38" s="729" t="n">
        <v>80.65649999999999</v>
      </c>
      <c r="E38" s="730" t="n">
        <v>75.38025</v>
      </c>
      <c r="F38" s="31" t="n"/>
      <c r="G38" s="37" t="n"/>
      <c r="I38" s="726">
        <f>C38</f>
        <v/>
      </c>
      <c r="J38" s="726">
        <f>D38</f>
        <v/>
      </c>
      <c r="K38" s="726">
        <f>E38</f>
        <v/>
      </c>
    </row>
    <row r="39" ht="16" customHeight="1" thickBot="1">
      <c r="A39" s="39" t="inlineStr">
        <is>
          <t>Total Other Expenses (E)</t>
        </is>
      </c>
      <c r="B39" s="42">
        <f>SUM(B31:B38)</f>
        <v/>
      </c>
      <c r="C39" s="42">
        <f>SUM(C31:C38)</f>
        <v/>
      </c>
      <c r="D39" s="398">
        <f>SUM(D31:D38)</f>
        <v/>
      </c>
      <c r="E39" s="399">
        <f>SUM(E31:E38)</f>
        <v/>
      </c>
      <c r="F39" s="31" t="n"/>
      <c r="G39" s="37" t="n"/>
      <c r="I39" s="43">
        <f>SUM(I31:I38)</f>
        <v/>
      </c>
      <c r="J39" s="43">
        <f>SUM(J31:J38)</f>
        <v/>
      </c>
      <c r="K39" s="43">
        <f>SUM(K31:K38)</f>
        <v/>
      </c>
    </row>
    <row r="40" ht="16" customHeight="1" thickBot="1">
      <c r="A40" s="764" t="inlineStr">
        <is>
          <t>Labour and Management (F)*</t>
        </is>
      </c>
      <c r="B40" s="310" t="n"/>
      <c r="C40" s="765" t="n"/>
      <c r="D40" s="766" t="n"/>
      <c r="E40" s="767" t="n"/>
      <c r="F40" s="31" t="n"/>
      <c r="G40" s="37" t="n"/>
      <c r="I40" s="332" t="n"/>
      <c r="J40" s="332" t="n"/>
      <c r="K40" s="332" t="n"/>
    </row>
    <row r="41" ht="16" customHeight="1" thickBot="1">
      <c r="A41" s="45" t="inlineStr">
        <is>
          <t xml:space="preserve">Total Expenses (D+E+F)=(G) </t>
        </is>
      </c>
      <c r="B41" s="42">
        <f>B28+B39+B40</f>
        <v/>
      </c>
      <c r="C41" s="42">
        <f>C28+C39+C40</f>
        <v/>
      </c>
      <c r="D41" s="398">
        <f>D28+D39+D40</f>
        <v/>
      </c>
      <c r="E41" s="399">
        <f>E28+E39+E40</f>
        <v/>
      </c>
      <c r="F41" s="31" t="n"/>
      <c r="G41" s="37" t="n"/>
      <c r="I41" s="43">
        <f>I28+I39+I40</f>
        <v/>
      </c>
      <c r="J41" s="43">
        <f>J28+J39+J40</f>
        <v/>
      </c>
      <c r="K41" s="43">
        <f>K28+K39+K40</f>
        <v/>
      </c>
    </row>
    <row r="42" ht="16" customHeight="1" thickBot="1">
      <c r="A42" s="46" t="n"/>
      <c r="B42" s="314" t="n"/>
      <c r="C42" s="314" t="n"/>
      <c r="D42" s="315" t="n"/>
      <c r="E42" s="316" t="n"/>
      <c r="F42" s="31" t="n"/>
      <c r="G42" s="37" t="n"/>
      <c r="I42" s="332" t="n"/>
      <c r="J42" s="332" t="n"/>
      <c r="K42" s="332" t="n"/>
    </row>
    <row r="43" ht="16" customHeight="1">
      <c r="A43" s="47" t="inlineStr">
        <is>
          <t>RETURNS PER ACRE</t>
        </is>
      </c>
      <c r="B43" s="48" t="n"/>
      <c r="C43" s="734" t="n"/>
      <c r="D43" s="735" t="n"/>
      <c r="E43" s="736" t="n"/>
      <c r="F43" s="31" t="n"/>
      <c r="G43" s="37" t="n"/>
      <c r="I43" s="333" t="n"/>
      <c r="J43" s="334" t="n"/>
      <c r="K43" s="333" t="n"/>
    </row>
    <row r="44" ht="16" customHeight="1">
      <c r="A44" s="49" t="inlineStr">
        <is>
          <t xml:space="preserve"> Return over Variable Expenses (C-D) </t>
        </is>
      </c>
      <c r="B44" s="20">
        <f>B9-B28</f>
        <v/>
      </c>
      <c r="C44" s="20">
        <f>C9-C28</f>
        <v/>
      </c>
      <c r="D44" s="400">
        <f>D9-D28</f>
        <v/>
      </c>
      <c r="E44" s="16">
        <f>E9-E28</f>
        <v/>
      </c>
      <c r="F44" s="31" t="n"/>
      <c r="G44" s="37" t="n"/>
      <c r="I44" s="99">
        <f>I9-I28</f>
        <v/>
      </c>
      <c r="J44" s="20">
        <f>J9-J28</f>
        <v/>
      </c>
      <c r="K44" s="99">
        <f>K9-K28</f>
        <v/>
      </c>
    </row>
    <row r="45" ht="16" customHeight="1" thickBot="1">
      <c r="A45" s="737" t="inlineStr">
        <is>
          <t xml:space="preserve"> Return over Total Expenses (C-G)</t>
        </is>
      </c>
      <c r="B45" s="21">
        <f>B9-B41</f>
        <v/>
      </c>
      <c r="C45" s="21">
        <f>C9-C41</f>
        <v/>
      </c>
      <c r="D45" s="401">
        <f>D9-D41</f>
        <v/>
      </c>
      <c r="E45" s="18">
        <f>E9-E41</f>
        <v/>
      </c>
      <c r="F45" s="31" t="n"/>
      <c r="G45" s="37" t="n"/>
      <c r="I45" s="100">
        <f>I9-I41</f>
        <v/>
      </c>
      <c r="J45" s="21">
        <f>J9-J41</f>
        <v/>
      </c>
      <c r="K45" s="100">
        <f>K9-K41</f>
        <v/>
      </c>
    </row>
    <row r="46" ht="16" customHeight="1" thickBot="1">
      <c r="A46" s="32" t="n"/>
      <c r="B46" s="19" t="n"/>
      <c r="C46" s="745" t="n"/>
      <c r="D46" s="746" t="n"/>
      <c r="E46" s="747" t="n"/>
      <c r="F46" s="31" t="n"/>
      <c r="G46" s="37" t="n"/>
      <c r="I46" s="332" t="n"/>
      <c r="J46" s="332" t="n"/>
      <c r="K46" s="332" t="n"/>
    </row>
    <row r="47" ht="16" customHeight="1">
      <c r="A47" s="51" t="inlineStr">
        <is>
          <t>BREAK-EVEN YIELD (bu./ac.)</t>
        </is>
      </c>
      <c r="B47" s="52" t="n"/>
      <c r="C47" s="741" t="n"/>
      <c r="D47" s="742" t="n"/>
      <c r="E47" s="743" t="n"/>
      <c r="F47" s="31" t="n"/>
      <c r="G47" s="37" t="n"/>
      <c r="I47" s="333" t="n"/>
      <c r="J47" s="333" t="n"/>
      <c r="K47" s="333" t="n"/>
    </row>
    <row r="48" ht="16" customHeight="1">
      <c r="A48" s="32" t="inlineStr">
        <is>
          <t>To Cover Variable Expenses</t>
        </is>
      </c>
      <c r="B48" s="20">
        <f>ROUND((B28)/B8,2)</f>
        <v/>
      </c>
      <c r="C48" s="20">
        <f>ROUND((C28)/C8,2)</f>
        <v/>
      </c>
      <c r="D48" s="400">
        <f>ROUND((D28)/D8,2)</f>
        <v/>
      </c>
      <c r="E48" s="16">
        <f>ROUND((E28)/E8,2)</f>
        <v/>
      </c>
      <c r="F48" s="31" t="n"/>
      <c r="G48" s="37" t="n"/>
      <c r="I48" s="99">
        <f>ROUND((I28)/I8,2)</f>
        <v/>
      </c>
      <c r="J48" s="99">
        <f>ROUND((J28)/J8,2)</f>
        <v/>
      </c>
      <c r="K48" s="99">
        <f>ROUND((K28)/K8,2)</f>
        <v/>
      </c>
    </row>
    <row r="49" ht="16" customHeight="1" thickBot="1">
      <c r="A49" s="53" t="inlineStr">
        <is>
          <t>To Cover Total Expenses</t>
        </is>
      </c>
      <c r="B49" s="21">
        <f>ROUND(B41/B8,2)</f>
        <v/>
      </c>
      <c r="C49" s="21">
        <f>ROUND(C41/C8,2)</f>
        <v/>
      </c>
      <c r="D49" s="401">
        <f>ROUND(D41/D8,2)</f>
        <v/>
      </c>
      <c r="E49" s="18">
        <f>ROUND(E41/E8,2)</f>
        <v/>
      </c>
      <c r="F49" s="31" t="n"/>
      <c r="G49" s="37" t="n"/>
      <c r="I49" s="100">
        <f>ROUND(I41/I8,2)</f>
        <v/>
      </c>
      <c r="J49" s="100">
        <f>ROUND(J41/J8,2)</f>
        <v/>
      </c>
      <c r="K49" s="100">
        <f>ROUND(K41/K8,2)</f>
        <v/>
      </c>
    </row>
    <row r="50" ht="16" customHeight="1" thickBot="1">
      <c r="A50" s="32" t="n"/>
      <c r="B50" s="744" t="n"/>
      <c r="C50" s="738" t="n"/>
      <c r="D50" s="739" t="n"/>
      <c r="E50" s="740" t="n"/>
      <c r="F50" s="31" t="n"/>
      <c r="G50" s="37" t="n"/>
      <c r="I50" s="410" t="n"/>
      <c r="J50" s="410" t="n"/>
      <c r="K50" s="410" t="n"/>
    </row>
    <row r="51" ht="16" customHeight="1">
      <c r="A51" s="51" t="inlineStr">
        <is>
          <t>BREAK-EVEN PRICE ($ per bu.)</t>
        </is>
      </c>
      <c r="B51" s="52" t="n"/>
      <c r="C51" s="741" t="n"/>
      <c r="D51" s="742" t="n"/>
      <c r="E51" s="743" t="n"/>
      <c r="F51" s="31" t="n"/>
      <c r="G51" s="37" t="n"/>
      <c r="I51" s="411" t="n"/>
      <c r="J51" s="411" t="n"/>
      <c r="K51" s="411" t="n"/>
    </row>
    <row r="52" ht="16" customHeight="1">
      <c r="A52" s="32" t="inlineStr">
        <is>
          <t>To Cover Variable Expenses</t>
        </is>
      </c>
      <c r="B52" s="20">
        <f>ROUND((B28)/B7,2)</f>
        <v/>
      </c>
      <c r="C52" s="20">
        <f>ROUND((C28)/C7,2)</f>
        <v/>
      </c>
      <c r="D52" s="400">
        <f>ROUND((D28)/D7,2)</f>
        <v/>
      </c>
      <c r="E52" s="16">
        <f>ROUND((E28)/E7,2)</f>
        <v/>
      </c>
      <c r="F52" s="31" t="n"/>
      <c r="G52" s="37" t="n"/>
      <c r="I52" s="99">
        <f>ROUND((I28)/I7,2)</f>
        <v/>
      </c>
      <c r="J52" s="16">
        <f>ROUND((J28)/J7,2)</f>
        <v/>
      </c>
      <c r="K52" s="16">
        <f>ROUND((K28)/K7,2)</f>
        <v/>
      </c>
    </row>
    <row r="53" ht="16" customHeight="1" thickBot="1">
      <c r="A53" s="53" t="inlineStr">
        <is>
          <t>To Cover Total Expenses</t>
        </is>
      </c>
      <c r="B53" s="21">
        <f>ROUND(B41/B7,2)</f>
        <v/>
      </c>
      <c r="C53" s="21">
        <f>ROUND(C41/C7,2)</f>
        <v/>
      </c>
      <c r="D53" s="401">
        <f>ROUND(D41/D7,2)</f>
        <v/>
      </c>
      <c r="E53" s="18">
        <f>ROUND(E41/E7,2)</f>
        <v/>
      </c>
      <c r="F53" s="31" t="n"/>
      <c r="G53" s="37" t="n"/>
      <c r="I53" s="100">
        <f>ROUND(I41/I7,2)</f>
        <v/>
      </c>
      <c r="J53" s="18">
        <f>ROUND(J41/J7,2)</f>
        <v/>
      </c>
      <c r="K53" s="18">
        <f>ROUND(K41/K7,2)</f>
        <v/>
      </c>
    </row>
    <row r="54" ht="16" customHeight="1" thickBot="1">
      <c r="A54" s="55" t="n"/>
      <c r="B54" s="315" t="n"/>
      <c r="C54" s="17" t="n"/>
      <c r="D54" s="17" t="n"/>
      <c r="E54" s="17" t="n"/>
      <c r="F54" s="31" t="n"/>
    </row>
    <row r="55" ht="16" customHeight="1">
      <c r="A55" s="47" t="inlineStr">
        <is>
          <t>YIELD SENSITIVITY (same expenses but average yield)</t>
        </is>
      </c>
      <c r="B55" s="326" t="n"/>
      <c r="C55" s="408" t="n"/>
      <c r="D55" s="408" t="n"/>
      <c r="E55" s="408" t="n"/>
      <c r="F55" s="31" t="n"/>
    </row>
    <row r="56" ht="16" customHeight="1">
      <c r="A56" s="49" t="inlineStr">
        <is>
          <t>Provincial Average Yield (bu./ac)</t>
        </is>
      </c>
      <c r="B56" s="327" t="n"/>
      <c r="C56" s="17">
        <f>I7</f>
        <v/>
      </c>
      <c r="D56" s="17">
        <f>J7</f>
        <v/>
      </c>
      <c r="E56" s="17">
        <f>K7</f>
        <v/>
      </c>
      <c r="F56" s="31" t="n"/>
    </row>
    <row r="57" ht="16" customHeight="1">
      <c r="A57" s="49" t="inlineStr">
        <is>
          <t xml:space="preserve"> Return over Variable Expenses </t>
        </is>
      </c>
      <c r="B57" s="327" t="n"/>
      <c r="C57" s="17">
        <f>I44</f>
        <v/>
      </c>
      <c r="D57" s="17">
        <f>J44</f>
        <v/>
      </c>
      <c r="E57" s="17">
        <f>K44</f>
        <v/>
      </c>
      <c r="F57" s="31" t="n"/>
    </row>
    <row r="58" ht="16" customHeight="1" thickBot="1">
      <c r="A58" s="737" t="inlineStr">
        <is>
          <t xml:space="preserve"> Return over Total Expenses </t>
        </is>
      </c>
      <c r="B58" s="328" t="n"/>
      <c r="C58" s="409">
        <f>I45</f>
        <v/>
      </c>
      <c r="D58" s="409">
        <f>J45</f>
        <v/>
      </c>
      <c r="E58" s="409">
        <f>K45</f>
        <v/>
      </c>
      <c r="F58" s="750" t="n"/>
    </row>
    <row r="59" ht="16" customHeight="1">
      <c r="A59" s="22" t="inlineStr">
        <is>
          <t>*Farm managers need to determine their own actual labour and management costs and add it to total expenses.</t>
        </is>
      </c>
      <c r="B59" s="24" t="n"/>
      <c r="C59" s="24" t="n"/>
      <c r="D59" s="24" t="n"/>
      <c r="E59" s="24" t="n"/>
    </row>
    <row r="60">
      <c r="A60" s="24" t="n"/>
      <c r="B60" s="24" t="n"/>
      <c r="C60" s="24" t="n"/>
      <c r="D60" s="24" t="n"/>
      <c r="E60" s="24" t="n"/>
    </row>
    <row r="61">
      <c r="A61" s="24" t="n"/>
      <c r="B61" s="24" t="n"/>
      <c r="C61" s="419" t="n"/>
      <c r="D61" s="419" t="n"/>
      <c r="E61" s="419" t="n"/>
    </row>
    <row r="62" ht="16" customHeight="1">
      <c r="A62" s="57" t="n"/>
      <c r="B62" s="56" t="n"/>
      <c r="C62" s="56" t="n"/>
      <c r="D62" s="56" t="n"/>
      <c r="E62" s="56" t="n"/>
    </row>
    <row r="63" ht="16" customHeight="1">
      <c r="A63" s="57" t="n"/>
      <c r="B63" s="56" t="n"/>
      <c r="C63" s="56" t="n"/>
      <c r="D63" s="56" t="n"/>
      <c r="E63" s="56" t="n"/>
    </row>
    <row r="64">
      <c r="B64" s="37" t="n"/>
      <c r="D64" s="37" t="n"/>
    </row>
  </sheetData>
  <mergeCells count="2">
    <mergeCell ref="F3:F58"/>
    <mergeCell ref="I4:K4"/>
  </mergeCell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K63"/>
  <sheetViews>
    <sheetView showGridLines="0" topLeftCell="A29" workbookViewId="0">
      <selection activeCell="F3" sqref="F3:F58"/>
    </sheetView>
  </sheetViews>
  <sheetFormatPr baseColWidth="8" defaultRowHeight="16" customHeight="1"/>
  <cols>
    <col width="55.7109375" customWidth="1" min="1" max="1"/>
    <col width="13.85546875" bestFit="1" customWidth="1" min="2" max="2"/>
    <col width="11.42578125" customWidth="1" min="3" max="3"/>
    <col width="13.85546875" bestFit="1" customWidth="1" min="4" max="5"/>
    <col width="57.85546875" customWidth="1" min="6" max="6"/>
    <col width="13.42578125" customWidth="1" min="9" max="11"/>
  </cols>
  <sheetData>
    <row r="1" ht="16" customHeight="1">
      <c r="A1" s="23" t="inlineStr">
        <is>
          <t>CORN PRODUCTION COSTS ($/ACRE) FOR SASKATCHEWAN 2026</t>
        </is>
      </c>
      <c r="B1" s="23" t="n"/>
      <c r="C1" s="23" t="n"/>
      <c r="D1" s="23" t="n"/>
      <c r="E1" s="23" t="n"/>
      <c r="F1" s="24" t="n"/>
    </row>
    <row r="2" ht="16" customHeight="1" thickBot="1">
      <c r="A2" s="25" t="n"/>
      <c r="B2" s="25" t="n"/>
      <c r="C2" s="25" t="inlineStr">
        <is>
          <t>Economics</t>
        </is>
      </c>
      <c r="D2" s="25" t="n"/>
      <c r="E2" s="25" t="n"/>
      <c r="F2" s="25" t="inlineStr">
        <is>
          <t>Agronomics</t>
        </is>
      </c>
    </row>
    <row r="3" ht="16" customHeight="1" thickBot="1">
      <c r="A3" s="278" t="inlineStr">
        <is>
          <t>CROP</t>
        </is>
      </c>
      <c r="B3" s="279" t="n"/>
      <c r="C3" s="280" t="n"/>
      <c r="D3" s="675" t="inlineStr">
        <is>
          <t>CORN</t>
        </is>
      </c>
      <c r="E3" s="282" t="n"/>
      <c r="F3" s="676" t="inlineStr">
        <is>
          <t>Variety Selection: Corn varieties are not listed in the Varieties of Grain Crops found on saskatchewan.ca/crops. Please contact your retailer for more information.
Seeding: A plant population of 30,000 plants/ac. is used for all three soil zones.
Fertilization: Fertility costs are based on nutrient removal rates given the targeted crop yield. These are: 107 lb./ac. N and 48 lb./ac. P2O5 for the black soil zone and 87 lb./ac. N and 31 lb./ac. P2O5 in the dark brown soil zone and 57 lb./ac. N and 25 lb./ac. P2O5 in the brown soil zone.  Producers are encouraged to use their own rates based on soil tests.
Crop Rotation: Extended crop rotations can be used to reduce disease pressure by allowing infected residue to decompose between host crops. This is particularly important for residue- borne diseases caused by bacteria, such as Goss’s Wilt, as fungicides will not protect against this disease. Corn is not competitive with weeds. Some herbicide choices in corn can significantly restrict cropping options the following year.
Crop Protection                                                                           Insect control: Cutworms, wireworms, seedcorn maggot, corn rootworm, aphids, spider mite, grasshoppers, European corn borer, corn earworm and armyworms might require control. Seed treatments are available for wireworm and seedcorn maggot control. Varieties resistant to European corn borer, corn earworm, and corn rootworm are available.
Disease control: The cost of fungicide is not included in this estimate. Disease risk assessment is encouraged to guide fungicide application decisions. 
Weed control: Corn must be kept free of weeds until 10 leaf tips are visible to prevent significant yield losses. Herbicide costs are based on the following herbicide timings. Please refer to general assumptions for details. Please insert herbicide application window.</t>
        </is>
      </c>
    </row>
    <row r="4" ht="16" customHeight="1" thickBot="1">
      <c r="A4" s="26" t="n"/>
      <c r="B4" s="677" t="inlineStr">
        <is>
          <t>My Farm</t>
        </is>
      </c>
      <c r="C4" s="211" t="n"/>
      <c r="D4" s="678" t="inlineStr">
        <is>
          <t>80th percentile</t>
        </is>
      </c>
      <c r="E4" s="212" t="n"/>
      <c r="F4" s="31" t="n"/>
      <c r="I4" s="679" t="inlineStr">
        <is>
          <t xml:space="preserve">Average Yield </t>
        </is>
      </c>
      <c r="J4" s="680" t="n"/>
      <c r="K4" s="681" t="n"/>
    </row>
    <row r="5" ht="16" customHeight="1" thickBot="1">
      <c r="A5" s="682" t="inlineStr">
        <is>
          <t>Soil Zone</t>
        </is>
      </c>
      <c r="B5" s="261" t="n"/>
      <c r="C5" s="768" t="inlineStr">
        <is>
          <t>Brown</t>
        </is>
      </c>
      <c r="D5" s="687" t="inlineStr">
        <is>
          <t>Dark Brown</t>
        </is>
      </c>
      <c r="E5" s="688" t="inlineStr">
        <is>
          <t>Black</t>
        </is>
      </c>
      <c r="F5" s="31" t="n"/>
      <c r="I5" s="686" t="inlineStr">
        <is>
          <t>Brown</t>
        </is>
      </c>
      <c r="J5" s="687" t="inlineStr">
        <is>
          <t>Dark Brown</t>
        </is>
      </c>
      <c r="K5" s="688" t="inlineStr">
        <is>
          <t>Black</t>
        </is>
      </c>
    </row>
    <row r="6" ht="16" customHeight="1">
      <c r="A6" s="73" t="inlineStr">
        <is>
          <t>REVENUE PER ACRE</t>
        </is>
      </c>
      <c r="B6" s="119" t="n"/>
      <c r="C6" s="345" t="n"/>
      <c r="D6" s="345" t="n"/>
      <c r="E6" s="346" t="n"/>
      <c r="F6" s="31" t="n"/>
      <c r="I6" s="332" t="n"/>
      <c r="J6" s="332" t="n"/>
      <c r="K6" s="332" t="n"/>
    </row>
    <row r="7" ht="16" customHeight="1">
      <c r="A7" s="689" t="inlineStr">
        <is>
          <t>Estimated Yield (bu./ac) (A)</t>
        </is>
      </c>
      <c r="B7" s="120" t="n"/>
      <c r="C7" s="690" t="n">
        <v>52.87350573553601</v>
      </c>
      <c r="D7" s="691" t="n">
        <v>81.64923200000003</v>
      </c>
      <c r="E7" s="692" t="n">
        <v>99.876616</v>
      </c>
      <c r="F7" s="31" t="n"/>
      <c r="G7" s="37" t="n"/>
      <c r="I7" s="769" t="n">
        <v>24.69514467768</v>
      </c>
      <c r="J7" s="769" t="n">
        <v>47.70925327638017</v>
      </c>
      <c r="K7" s="769" t="n">
        <v>74.87977628081067</v>
      </c>
    </row>
    <row r="8" ht="16" customHeight="1" thickBot="1">
      <c r="A8" s="689" t="inlineStr">
        <is>
          <t>Est. On Farm Market Price $/bu. (B)</t>
        </is>
      </c>
      <c r="B8" s="192" t="n"/>
      <c r="C8" s="713" t="n">
        <v>5.23</v>
      </c>
      <c r="D8" s="713" t="n">
        <v>5.23</v>
      </c>
      <c r="E8" s="714" t="n">
        <v>5.23</v>
      </c>
      <c r="F8" s="31" t="n"/>
      <c r="G8" s="37" t="n"/>
      <c r="I8" s="696">
        <f>C8</f>
        <v/>
      </c>
      <c r="J8" s="696">
        <f>D8</f>
        <v/>
      </c>
      <c r="K8" s="696">
        <f>E8</f>
        <v/>
      </c>
    </row>
    <row r="9" ht="16" customHeight="1" thickBot="1">
      <c r="A9" s="70" t="inlineStr">
        <is>
          <t>Estimated Gross Revenue/ac (AxB)=C</t>
        </is>
      </c>
      <c r="B9" s="71">
        <f>ROUND((B8*B7),2)</f>
        <v/>
      </c>
      <c r="C9" s="379">
        <f>ROUND((C8*C7),2)</f>
        <v/>
      </c>
      <c r="D9" s="107">
        <f>ROUND((D8*D7),2)</f>
        <v/>
      </c>
      <c r="E9" s="415">
        <f>ROUND((E8*E7),2)</f>
        <v/>
      </c>
      <c r="F9" s="31" t="n"/>
      <c r="G9" s="37" t="n"/>
      <c r="I9" s="40">
        <f>ROUND((I8*I7),2)</f>
        <v/>
      </c>
      <c r="J9" s="40">
        <f>ROUND((J8*J7),2)</f>
        <v/>
      </c>
      <c r="K9" s="40">
        <f>ROUND((K8*K7),2)</f>
        <v/>
      </c>
    </row>
    <row r="10">
      <c r="A10" s="67" t="n"/>
      <c r="B10" s="72" t="n"/>
      <c r="C10" s="697" t="n"/>
      <c r="D10" s="347" t="n"/>
      <c r="E10" s="699" t="n"/>
      <c r="F10" s="31" t="n"/>
      <c r="G10" s="37" t="n"/>
      <c r="I10" s="332" t="n"/>
      <c r="J10" s="332" t="n"/>
      <c r="K10" s="332" t="n"/>
    </row>
    <row r="11" ht="16" customHeight="1">
      <c r="A11" s="73" t="inlineStr">
        <is>
          <t>EXPENSES PER ACRE</t>
        </is>
      </c>
      <c r="B11" s="72" t="n"/>
      <c r="C11" s="296" t="n"/>
      <c r="D11" s="700" t="n"/>
      <c r="E11" s="701" t="n"/>
      <c r="F11" s="31" t="n"/>
      <c r="G11" s="37" t="n"/>
      <c r="I11" s="332" t="n"/>
      <c r="J11" s="332" t="n"/>
      <c r="K11" s="332" t="n"/>
    </row>
    <row r="12" ht="16" customHeight="1">
      <c r="A12" s="73" t="inlineStr">
        <is>
          <t>Variable Expenses/acre</t>
        </is>
      </c>
      <c r="B12" s="72" t="n"/>
      <c r="C12" s="296" t="n"/>
      <c r="D12" s="700" t="n"/>
      <c r="E12" s="702" t="n"/>
      <c r="F12" s="31" t="n"/>
      <c r="G12" s="37" t="n"/>
      <c r="I12" s="332" t="n"/>
      <c r="J12" s="332" t="n"/>
      <c r="K12" s="332" t="n"/>
    </row>
    <row r="13" ht="16" customHeight="1">
      <c r="A13" s="689" t="inlineStr">
        <is>
          <t>Seed</t>
        </is>
      </c>
      <c r="B13" s="74" t="n"/>
      <c r="C13" s="703" t="n">
        <v>109.8</v>
      </c>
      <c r="D13" s="704" t="n">
        <v>109.8</v>
      </c>
      <c r="E13" s="705" t="n">
        <v>109.8</v>
      </c>
      <c r="F13" s="31" t="n"/>
      <c r="G13" s="37" t="n"/>
      <c r="I13" s="696">
        <f>C13</f>
        <v/>
      </c>
      <c r="J13" s="696">
        <f>D13</f>
        <v/>
      </c>
      <c r="K13" s="696">
        <f>E13</f>
        <v/>
      </c>
    </row>
    <row r="14" ht="16" customHeight="1">
      <c r="A14" s="689" t="inlineStr">
        <is>
          <t xml:space="preserve">                     -Seed Treatments/Inoculants</t>
        </is>
      </c>
      <c r="B14" s="74" t="n"/>
      <c r="C14" s="703" t="n">
        <v>24.3</v>
      </c>
      <c r="D14" s="704" t="n">
        <v>24.3</v>
      </c>
      <c r="E14" s="705" t="n">
        <v>24.3</v>
      </c>
      <c r="F14" s="31" t="n"/>
      <c r="G14" s="37" t="n"/>
      <c r="I14" s="696">
        <f>C14</f>
        <v/>
      </c>
      <c r="J14" s="696">
        <f>D14</f>
        <v/>
      </c>
      <c r="K14" s="696">
        <f>E14</f>
        <v/>
      </c>
    </row>
    <row r="15" ht="16" customHeight="1">
      <c r="A15" s="689" t="inlineStr">
        <is>
          <t>Fertilizer -Nitrogen (N)</t>
        </is>
      </c>
      <c r="B15" s="74" t="n"/>
      <c r="C15" s="706" t="n">
        <v>46.66416791604198</v>
      </c>
      <c r="D15" s="707" t="n">
        <v>71.22425629290618</v>
      </c>
      <c r="E15" s="708" t="n">
        <v>87.59764854414898</v>
      </c>
      <c r="F15" s="31" t="n"/>
      <c r="G15" s="37" t="n"/>
      <c r="I15" s="696">
        <f>C15</f>
        <v/>
      </c>
      <c r="J15" s="696">
        <f>D15</f>
        <v/>
      </c>
      <c r="K15" s="696">
        <f>E15</f>
        <v/>
      </c>
    </row>
    <row r="16" ht="16" customHeight="1">
      <c r="A16" s="689" t="inlineStr">
        <is>
          <t xml:space="preserve">               -Phosphorous (P2O5)</t>
        </is>
      </c>
      <c r="B16" s="74" t="n"/>
      <c r="C16" s="706" t="n">
        <v>24.02802900169349</v>
      </c>
      <c r="D16" s="707" t="n">
        <v>29.79475596209992</v>
      </c>
      <c r="E16" s="708" t="n">
        <v>46.13381568325149</v>
      </c>
      <c r="F16" s="31" t="n"/>
      <c r="G16" s="37" t="n"/>
      <c r="I16" s="696">
        <f>C16</f>
        <v/>
      </c>
      <c r="J16" s="696">
        <f>D16</f>
        <v/>
      </c>
      <c r="K16" s="696">
        <f>E16</f>
        <v/>
      </c>
    </row>
    <row r="17" ht="16" customHeight="1">
      <c r="A17" s="689" t="inlineStr">
        <is>
          <t xml:space="preserve">               -Sulphur and Other</t>
        </is>
      </c>
      <c r="B17" s="75" t="n"/>
      <c r="C17" s="709" t="n">
        <v>0</v>
      </c>
      <c r="D17" s="710" t="n">
        <v>0</v>
      </c>
      <c r="E17" s="711" t="n">
        <v>0</v>
      </c>
      <c r="F17" s="31" t="n"/>
      <c r="G17" s="37" t="n"/>
      <c r="I17" s="696">
        <f>C17</f>
        <v/>
      </c>
      <c r="J17" s="696">
        <f>D17</f>
        <v/>
      </c>
      <c r="K17" s="696">
        <f>E17</f>
        <v/>
      </c>
    </row>
    <row r="18" ht="16" customHeight="1">
      <c r="A18" s="689" t="inlineStr">
        <is>
          <t>Plant Protection -Herbicides</t>
        </is>
      </c>
      <c r="B18" s="74" t="n"/>
      <c r="C18" s="703" t="n">
        <v>50.44052374301676</v>
      </c>
      <c r="D18" s="704" t="n">
        <v>34.70802374301676</v>
      </c>
      <c r="E18" s="705" t="n">
        <v>50.44052374301676</v>
      </c>
      <c r="F18" s="31" t="n"/>
      <c r="G18" s="37" t="n"/>
      <c r="I18" s="696">
        <f>C18</f>
        <v/>
      </c>
      <c r="J18" s="696">
        <f>D18</f>
        <v/>
      </c>
      <c r="K18" s="696">
        <f>E18</f>
        <v/>
      </c>
    </row>
    <row r="19" ht="16" customHeight="1">
      <c r="A19" s="689" t="inlineStr">
        <is>
          <t xml:space="preserve">                     -Insecticides</t>
        </is>
      </c>
      <c r="B19" s="74" t="n"/>
      <c r="C19" s="770" t="n">
        <v>22.626525</v>
      </c>
      <c r="D19" s="771" t="n">
        <v>22.626525</v>
      </c>
      <c r="E19" s="772" t="n">
        <v>22.626525</v>
      </c>
      <c r="F19" s="31" t="n"/>
      <c r="G19" s="37" t="n"/>
      <c r="I19" s="427">
        <f>C19</f>
        <v/>
      </c>
      <c r="J19" s="427">
        <f>D19</f>
        <v/>
      </c>
      <c r="K19" s="427">
        <f>E19</f>
        <v/>
      </c>
    </row>
    <row r="20" ht="16" customHeight="1">
      <c r="A20" s="689" t="inlineStr">
        <is>
          <t xml:space="preserve">                     -Fungicides</t>
        </is>
      </c>
      <c r="B20" s="74" t="n"/>
      <c r="C20" s="715" t="n">
        <v>0</v>
      </c>
      <c r="D20" s="716" t="n">
        <v>0</v>
      </c>
      <c r="E20" s="717" t="n">
        <v>0</v>
      </c>
      <c r="F20" s="31" t="n"/>
      <c r="G20" s="37" t="n"/>
      <c r="I20" s="427">
        <f>C20</f>
        <v/>
      </c>
      <c r="J20" s="427">
        <f>D20</f>
        <v/>
      </c>
      <c r="K20" s="427">
        <f>E20</f>
        <v/>
      </c>
    </row>
    <row r="21" ht="16" customHeight="1">
      <c r="A21" s="689" t="inlineStr">
        <is>
          <t>Machinery Operating -Fuel</t>
        </is>
      </c>
      <c r="B21" s="75" t="n"/>
      <c r="C21" s="770" t="n">
        <v>17.95142027333333</v>
      </c>
      <c r="D21" s="771" t="n">
        <v>22.43927534166667</v>
      </c>
      <c r="E21" s="772" t="n">
        <v>28.04909417708333</v>
      </c>
      <c r="F21" s="31" t="n"/>
      <c r="G21" s="37" t="n"/>
      <c r="I21" s="427">
        <f>C21</f>
        <v/>
      </c>
      <c r="J21" s="427">
        <f>D21</f>
        <v/>
      </c>
      <c r="K21" s="427">
        <f>E21</f>
        <v/>
      </c>
    </row>
    <row r="22" ht="16" customHeight="1">
      <c r="A22" s="689" t="inlineStr">
        <is>
          <t xml:space="preserve">                                  -Repair</t>
        </is>
      </c>
      <c r="B22" s="74" t="n"/>
      <c r="C22" s="715" t="n">
        <v>15.23314151493411</v>
      </c>
      <c r="D22" s="716" t="n">
        <v>16.70935054503809</v>
      </c>
      <c r="E22" s="717" t="n">
        <v>18.4277555720433</v>
      </c>
      <c r="F22" s="31" t="n"/>
      <c r="G22" s="37" t="n"/>
      <c r="I22" s="427">
        <f>C22</f>
        <v/>
      </c>
      <c r="J22" s="427">
        <f>D22</f>
        <v/>
      </c>
      <c r="K22" s="427">
        <f>E22</f>
        <v/>
      </c>
    </row>
    <row r="23" ht="16" customHeight="1">
      <c r="A23" s="689" t="inlineStr">
        <is>
          <t>Custom Work and Hired Labour</t>
        </is>
      </c>
      <c r="B23" s="74" t="n"/>
      <c r="C23" s="715" t="n">
        <v>50.23891</v>
      </c>
      <c r="D23" s="716" t="n">
        <v>46.67592</v>
      </c>
      <c r="E23" s="717" t="n">
        <v>59.4644</v>
      </c>
      <c r="F23" s="31" t="n"/>
      <c r="G23" s="37" t="n"/>
      <c r="I23" s="427">
        <f>C23</f>
        <v/>
      </c>
      <c r="J23" s="427">
        <f>D23</f>
        <v/>
      </c>
      <c r="K23" s="427">
        <f>E23</f>
        <v/>
      </c>
    </row>
    <row r="24" ht="16" customHeight="1">
      <c r="A24" s="689" t="inlineStr">
        <is>
          <t>Crop Insurance Premium</t>
        </is>
      </c>
      <c r="B24" s="77" t="n"/>
      <c r="C24" s="715" t="n">
        <v>10.3764326058964</v>
      </c>
      <c r="D24" s="716" t="n">
        <v>10.31537406034663</v>
      </c>
      <c r="E24" s="717" t="n">
        <v>3.654</v>
      </c>
      <c r="F24" s="31" t="n"/>
      <c r="G24" s="37" t="n"/>
      <c r="I24" s="427">
        <f>C24</f>
        <v/>
      </c>
      <c r="J24" s="427">
        <f>D24</f>
        <v/>
      </c>
      <c r="K24" s="427">
        <f>E24</f>
        <v/>
      </c>
    </row>
    <row r="25" ht="16" customHeight="1">
      <c r="A25" s="689" t="inlineStr">
        <is>
          <t>Hail Insurance Premium</t>
        </is>
      </c>
      <c r="B25" s="77" t="n"/>
      <c r="C25" s="715" t="n">
        <v>14</v>
      </c>
      <c r="D25" s="716" t="n">
        <v>14</v>
      </c>
      <c r="E25" s="717" t="n">
        <v>14</v>
      </c>
      <c r="F25" s="31" t="n"/>
      <c r="G25" s="37" t="n"/>
      <c r="I25" s="427">
        <f>C25</f>
        <v/>
      </c>
      <c r="J25" s="427">
        <f>D25</f>
        <v/>
      </c>
      <c r="K25" s="427">
        <f>E25</f>
        <v/>
      </c>
    </row>
    <row r="26" ht="16" customHeight="1">
      <c r="A26" s="689" t="inlineStr">
        <is>
          <t>Utilities and Miscellaneous</t>
        </is>
      </c>
      <c r="B26" s="75" t="n"/>
      <c r="C26" s="715" t="n">
        <v>4.395974170413743</v>
      </c>
      <c r="D26" s="716" t="n">
        <v>5.768849384517721</v>
      </c>
      <c r="E26" s="717" t="n">
        <v>6.656364674443524</v>
      </c>
      <c r="F26" s="31" t="n"/>
      <c r="G26" s="37" t="n"/>
      <c r="I26" s="427">
        <f>C26</f>
        <v/>
      </c>
      <c r="J26" s="427">
        <f>D26</f>
        <v/>
      </c>
      <c r="K26" s="427">
        <f>E26</f>
        <v/>
      </c>
    </row>
    <row r="27" ht="16" customHeight="1" thickBot="1">
      <c r="A27" s="689" t="inlineStr">
        <is>
          <t>Interest on Variable Expenses</t>
        </is>
      </c>
      <c r="B27" s="74" t="n"/>
      <c r="C27" s="718" t="n">
        <v>14.77008737066582</v>
      </c>
      <c r="D27" s="719" t="n">
        <v>15.46332024181388</v>
      </c>
      <c r="E27" s="720" t="n">
        <v>17.84088482398565</v>
      </c>
      <c r="F27" s="31" t="n"/>
      <c r="G27" s="37" t="n"/>
      <c r="I27" s="427">
        <f>C27</f>
        <v/>
      </c>
      <c r="J27" s="427">
        <f>D27</f>
        <v/>
      </c>
      <c r="K27" s="427">
        <f>E27</f>
        <v/>
      </c>
    </row>
    <row r="28" ht="16" customHeight="1" thickBot="1">
      <c r="A28" s="70" t="inlineStr">
        <is>
          <t>Total Variable Expenses (D)</t>
        </is>
      </c>
      <c r="B28" s="78">
        <f>SUM(B13:B27)</f>
        <v/>
      </c>
      <c r="C28" s="423">
        <f>SUM(C13:C27)</f>
        <v/>
      </c>
      <c r="D28" s="430">
        <f>SUM(D13:D27)</f>
        <v/>
      </c>
      <c r="E28" s="431">
        <f>SUM(E13:E27)</f>
        <v/>
      </c>
      <c r="F28" s="31" t="n"/>
      <c r="G28" s="37" t="n"/>
      <c r="I28" s="428">
        <f>SUM(I13:I27)</f>
        <v/>
      </c>
      <c r="J28" s="428">
        <f>SUM(J13:J27)</f>
        <v/>
      </c>
      <c r="K28" s="428">
        <f>SUM(K13:K27)</f>
        <v/>
      </c>
    </row>
    <row r="29">
      <c r="A29" s="67" t="n"/>
      <c r="B29" s="72" t="n"/>
      <c r="C29" s="721" t="n"/>
      <c r="D29" s="700" t="n"/>
      <c r="E29" s="701" t="n"/>
      <c r="F29" s="31" t="n"/>
      <c r="G29" s="37" t="n"/>
      <c r="I29" s="332" t="n"/>
      <c r="J29" s="332" t="n"/>
      <c r="K29" s="332" t="n"/>
    </row>
    <row r="30" ht="16" customHeight="1">
      <c r="A30" s="73" t="inlineStr">
        <is>
          <t>Other Expenses/acre</t>
        </is>
      </c>
      <c r="B30" s="72" t="n"/>
      <c r="C30" s="721" t="n"/>
      <c r="D30" s="700" t="n"/>
      <c r="E30" s="701" t="n"/>
      <c r="F30" s="31" t="n"/>
      <c r="G30" s="37" t="n"/>
      <c r="I30" s="332" t="n"/>
      <c r="J30" s="332" t="n"/>
      <c r="K30" s="332" t="n"/>
    </row>
    <row r="31" ht="16" customHeight="1">
      <c r="A31" s="689" t="inlineStr">
        <is>
          <t>Building Repair</t>
        </is>
      </c>
      <c r="B31" s="722" t="n"/>
      <c r="C31" s="773" t="n">
        <v>0.7445684561908097</v>
      </c>
      <c r="D31" s="774" t="n">
        <v>0.9756414253534748</v>
      </c>
      <c r="E31" s="775" t="n">
        <v>1.335088266273176</v>
      </c>
      <c r="F31" s="31" t="n"/>
      <c r="G31" s="37" t="n"/>
      <c r="I31" s="776">
        <f>C31</f>
        <v/>
      </c>
      <c r="J31" s="776">
        <f>D31</f>
        <v/>
      </c>
      <c r="K31" s="776">
        <f>E31</f>
        <v/>
      </c>
    </row>
    <row r="32" ht="16" customHeight="1">
      <c r="A32" s="689" t="inlineStr">
        <is>
          <t>Property Taxes</t>
        </is>
      </c>
      <c r="B32" s="727" t="n"/>
      <c r="C32" s="777" t="n">
        <v>5.076533574707355</v>
      </c>
      <c r="D32" s="778" t="n">
        <v>6.642698188180902</v>
      </c>
      <c r="E32" s="779" t="n">
        <v>10.0720586349247</v>
      </c>
      <c r="F32" s="31" t="n"/>
      <c r="G32" s="37" t="n"/>
      <c r="I32" s="776">
        <f>C32</f>
        <v/>
      </c>
      <c r="J32" s="776">
        <f>D32</f>
        <v/>
      </c>
      <c r="K32" s="776">
        <f>E32</f>
        <v/>
      </c>
    </row>
    <row r="33" ht="16" customHeight="1">
      <c r="A33" s="689" t="inlineStr">
        <is>
          <t>Business Overhead</t>
        </is>
      </c>
      <c r="B33" s="731" t="n"/>
      <c r="C33" s="773" t="n">
        <v>2.607474711623781</v>
      </c>
      <c r="D33" s="774" t="n">
        <v>3.986427684117127</v>
      </c>
      <c r="E33" s="775" t="n">
        <v>4.675904170363799</v>
      </c>
      <c r="F33" s="31" t="n"/>
      <c r="G33" s="37" t="n"/>
      <c r="I33" s="776">
        <f>C33</f>
        <v/>
      </c>
      <c r="J33" s="776">
        <f>D33</f>
        <v/>
      </c>
      <c r="K33" s="776">
        <f>E33</f>
        <v/>
      </c>
    </row>
    <row r="34" ht="16" customHeight="1">
      <c r="A34" s="689" t="inlineStr">
        <is>
          <t>Machinery Depreciation</t>
        </is>
      </c>
      <c r="B34" s="732" t="n"/>
      <c r="C34" s="777" t="n">
        <v>62.69023623453651</v>
      </c>
      <c r="D34" s="778" t="n">
        <v>68.7654041661183</v>
      </c>
      <c r="E34" s="779" t="n">
        <v>75.83730177725511</v>
      </c>
      <c r="F34" s="31" t="n"/>
      <c r="G34" s="37" t="n"/>
      <c r="I34" s="776">
        <f>C34</f>
        <v/>
      </c>
      <c r="J34" s="776">
        <f>D34</f>
        <v/>
      </c>
      <c r="K34" s="776">
        <f>E34</f>
        <v/>
      </c>
    </row>
    <row r="35" ht="16" customHeight="1">
      <c r="A35" s="689" t="inlineStr">
        <is>
          <t>Building Depreciation</t>
        </is>
      </c>
      <c r="B35" s="722" t="n"/>
      <c r="C35" s="773" t="n">
        <v>1.45</v>
      </c>
      <c r="D35" s="774" t="n">
        <v>1.9</v>
      </c>
      <c r="E35" s="775" t="n">
        <v>2.6</v>
      </c>
      <c r="F35" s="31" t="n"/>
      <c r="G35" s="37" t="n"/>
      <c r="I35" s="776">
        <f>C35</f>
        <v/>
      </c>
      <c r="J35" s="776">
        <f>D35</f>
        <v/>
      </c>
      <c r="K35" s="776">
        <f>E35</f>
        <v/>
      </c>
    </row>
    <row r="36" ht="16" customHeight="1">
      <c r="A36" s="689" t="inlineStr">
        <is>
          <t>Machinery Investment</t>
        </is>
      </c>
      <c r="B36" s="732" t="n"/>
      <c r="C36" s="777" t="n">
        <v>39.54757893300201</v>
      </c>
      <c r="D36" s="778" t="n">
        <v>43.38004468423351</v>
      </c>
      <c r="E36" s="779" t="n">
        <v>47.84128850434317</v>
      </c>
      <c r="F36" s="31" t="n"/>
      <c r="G36" s="37" t="n"/>
      <c r="I36" s="776">
        <f>C36</f>
        <v/>
      </c>
      <c r="J36" s="776">
        <f>D36</f>
        <v/>
      </c>
      <c r="K36" s="776">
        <f>E36</f>
        <v/>
      </c>
    </row>
    <row r="37" ht="16" customHeight="1">
      <c r="A37" s="689" t="inlineStr">
        <is>
          <t>Building Investment</t>
        </is>
      </c>
      <c r="B37" s="722" t="n"/>
      <c r="C37" s="773" t="n">
        <v>1.326266666666666</v>
      </c>
      <c r="D37" s="774" t="n">
        <v>1.737866666666666</v>
      </c>
      <c r="E37" s="775" t="n">
        <v>2.378133333333333</v>
      </c>
      <c r="F37" s="31" t="n"/>
      <c r="G37" s="37" t="n"/>
      <c r="I37" s="776">
        <f>C37</f>
        <v/>
      </c>
      <c r="J37" s="776">
        <f>D37</f>
        <v/>
      </c>
      <c r="K37" s="776">
        <f>E37</f>
        <v/>
      </c>
    </row>
    <row r="38" ht="16" customHeight="1" thickBot="1">
      <c r="A38" s="689" t="inlineStr">
        <is>
          <t>Land Investment</t>
        </is>
      </c>
      <c r="B38" s="727" t="n"/>
      <c r="C38" s="777" t="n">
        <v>70.10399999999998</v>
      </c>
      <c r="D38" s="778" t="n">
        <v>80.65649999999999</v>
      </c>
      <c r="E38" s="779" t="n">
        <v>75.38025</v>
      </c>
      <c r="F38" s="31" t="n"/>
      <c r="G38" s="37" t="n"/>
      <c r="I38" s="776">
        <f>C38</f>
        <v/>
      </c>
      <c r="J38" s="776">
        <f>D38</f>
        <v/>
      </c>
      <c r="K38" s="776">
        <f>E38</f>
        <v/>
      </c>
    </row>
    <row r="39" ht="16" customHeight="1" thickBot="1">
      <c r="A39" s="39" t="inlineStr">
        <is>
          <t>Total Other Expenses (E)</t>
        </is>
      </c>
      <c r="B39" s="42">
        <f>SUM(B31:B38)</f>
        <v/>
      </c>
      <c r="C39" s="442">
        <f>SUM(C31:C38)</f>
        <v/>
      </c>
      <c r="D39" s="443">
        <f>SUM(D31:D38)</f>
        <v/>
      </c>
      <c r="E39" s="444">
        <f>SUM(E31:E38)</f>
        <v/>
      </c>
      <c r="F39" s="31" t="n"/>
      <c r="G39" s="37" t="n"/>
      <c r="I39" s="428">
        <f>SUM(I31:I38)</f>
        <v/>
      </c>
      <c r="J39" s="428">
        <f>SUM(J31:J38)</f>
        <v/>
      </c>
      <c r="K39" s="428">
        <f>SUM(K31:K38)</f>
        <v/>
      </c>
    </row>
    <row r="40" ht="16" customHeight="1" thickBot="1">
      <c r="A40" s="764" t="inlineStr">
        <is>
          <t>Labour and Management (F)*</t>
        </is>
      </c>
      <c r="B40" s="41" t="n"/>
      <c r="C40" s="765" t="n"/>
      <c r="D40" s="766" t="n"/>
      <c r="E40" s="767" t="n"/>
      <c r="F40" s="31" t="n"/>
      <c r="G40" s="37" t="n"/>
      <c r="I40" s="464" t="n"/>
      <c r="J40" s="464" t="n"/>
      <c r="K40" s="464" t="n"/>
    </row>
    <row r="41" ht="16" customHeight="1" thickBot="1">
      <c r="A41" s="45" t="inlineStr">
        <is>
          <t xml:space="preserve">Total Expenses (D+E+F)=(G) </t>
        </is>
      </c>
      <c r="B41" s="42">
        <f>B28+B39+B40</f>
        <v/>
      </c>
      <c r="C41" s="442">
        <f>C28+C39+C40</f>
        <v/>
      </c>
      <c r="D41" s="443">
        <f>D28+D39+D40</f>
        <v/>
      </c>
      <c r="E41" s="444">
        <f>E28+E39+E40</f>
        <v/>
      </c>
      <c r="F41" s="31" t="n"/>
      <c r="G41" s="37" t="n"/>
      <c r="I41" s="428">
        <f>I28+I39+I40</f>
        <v/>
      </c>
      <c r="J41" s="428">
        <f>J28+J39+J40</f>
        <v/>
      </c>
      <c r="K41" s="428">
        <f>K28+K39+K40</f>
        <v/>
      </c>
    </row>
    <row r="42" ht="16" customHeight="1" thickBot="1">
      <c r="A42" s="46" t="n"/>
      <c r="B42" s="19" t="n"/>
      <c r="C42" s="445" t="n"/>
      <c r="D42" s="612" t="n"/>
      <c r="E42" s="447" t="n"/>
      <c r="F42" s="31" t="n"/>
      <c r="G42" s="37" t="n"/>
      <c r="I42" s="464" t="n"/>
      <c r="J42" s="464" t="n"/>
      <c r="K42" s="464" t="n"/>
    </row>
    <row r="43" ht="16" customHeight="1">
      <c r="A43" s="47" t="inlineStr">
        <is>
          <t>RETURNS PER ACRE</t>
        </is>
      </c>
      <c r="B43" s="48" t="n"/>
      <c r="C43" s="780" t="n"/>
      <c r="D43" s="781" t="n"/>
      <c r="E43" s="782" t="n"/>
      <c r="F43" s="31" t="n"/>
      <c r="G43" s="37" t="n"/>
      <c r="I43" s="465" t="n"/>
      <c r="J43" s="465" t="n"/>
      <c r="K43" s="466" t="n"/>
    </row>
    <row r="44" ht="16" customHeight="1">
      <c r="A44" s="49" t="inlineStr">
        <is>
          <t xml:space="preserve"> Return over Variable Expenses (C-D) </t>
        </is>
      </c>
      <c r="B44" s="20">
        <f>B9-B28</f>
        <v/>
      </c>
      <c r="C44" s="451">
        <f>C9-C28</f>
        <v/>
      </c>
      <c r="D44" s="452">
        <f>D9-D28</f>
        <v/>
      </c>
      <c r="E44" s="453">
        <f>E9-E28</f>
        <v/>
      </c>
      <c r="F44" s="31" t="n"/>
      <c r="G44" s="37" t="n"/>
      <c r="I44" s="467">
        <f>I9-I28</f>
        <v/>
      </c>
      <c r="J44" s="467">
        <f>J9-J28</f>
        <v/>
      </c>
      <c r="K44" s="453">
        <f>K9-K28</f>
        <v/>
      </c>
    </row>
    <row r="45" ht="16" customHeight="1" thickBot="1">
      <c r="A45" s="737" t="inlineStr">
        <is>
          <t xml:space="preserve"> Return over Total Expenses (C-G)</t>
        </is>
      </c>
      <c r="B45" s="21">
        <f>B9-B41</f>
        <v/>
      </c>
      <c r="C45" s="454">
        <f>C9-C41</f>
        <v/>
      </c>
      <c r="D45" s="455">
        <f>D9-D41</f>
        <v/>
      </c>
      <c r="E45" s="456">
        <f>E9-E41</f>
        <v/>
      </c>
      <c r="F45" s="31" t="n"/>
      <c r="G45" s="37" t="n"/>
      <c r="I45" s="468">
        <f>I9-I41</f>
        <v/>
      </c>
      <c r="J45" s="468">
        <f>J9-J41</f>
        <v/>
      </c>
      <c r="K45" s="456">
        <f>K9-K41</f>
        <v/>
      </c>
    </row>
    <row r="46" ht="16" customHeight="1" thickBot="1">
      <c r="A46" s="32" t="n"/>
      <c r="B46" s="19" t="n"/>
      <c r="C46" s="783" t="n"/>
      <c r="D46" s="784" t="n"/>
      <c r="E46" s="785" t="n"/>
      <c r="F46" s="31" t="n"/>
      <c r="G46" s="37" t="n"/>
      <c r="I46" s="464" t="n"/>
      <c r="J46" s="464" t="n"/>
      <c r="K46" s="464" t="n"/>
    </row>
    <row r="47" ht="16" customHeight="1">
      <c r="A47" s="51" t="inlineStr">
        <is>
          <t>BREAK-EVEN YIELD (bu./ac.)</t>
        </is>
      </c>
      <c r="B47" s="52" t="n"/>
      <c r="C47" s="786" t="n"/>
      <c r="D47" s="781" t="n"/>
      <c r="E47" s="787" t="n"/>
      <c r="F47" s="31" t="n"/>
      <c r="G47" s="37" t="n"/>
      <c r="I47" s="465" t="n"/>
      <c r="J47" s="465" t="n"/>
      <c r="K47" s="466" t="n"/>
    </row>
    <row r="48" ht="16" customHeight="1">
      <c r="A48" s="32" t="inlineStr">
        <is>
          <t>To Cover Variable Expenses</t>
        </is>
      </c>
      <c r="B48" s="20">
        <f>ROUND((B28)/B8,2)</f>
        <v/>
      </c>
      <c r="C48" s="451">
        <f>ROUND((C28)/C8,2)</f>
        <v/>
      </c>
      <c r="D48" s="452">
        <f>ROUND((D28)/D8,2)</f>
        <v/>
      </c>
      <c r="E48" s="453">
        <f>ROUND((E28)/E8,2)</f>
        <v/>
      </c>
      <c r="F48" s="31" t="n"/>
      <c r="G48" s="37" t="n"/>
      <c r="I48" s="467">
        <f>ROUND((I28)/I8,2)</f>
        <v/>
      </c>
      <c r="J48" s="467">
        <f>ROUND((J28)/J8,2)</f>
        <v/>
      </c>
      <c r="K48" s="453">
        <f>ROUND((K28)/K8,2)</f>
        <v/>
      </c>
    </row>
    <row r="49" ht="16" customHeight="1" thickBot="1">
      <c r="A49" s="53" t="inlineStr">
        <is>
          <t>To Cover Total Expenses</t>
        </is>
      </c>
      <c r="B49" s="21">
        <f>ROUND(B41/B8,2)</f>
        <v/>
      </c>
      <c r="C49" s="454">
        <f>ROUND(C41/C8,2)</f>
        <v/>
      </c>
      <c r="D49" s="455">
        <f>ROUND(D41/D8,2)</f>
        <v/>
      </c>
      <c r="E49" s="456">
        <f>ROUND(E41/E8,2)</f>
        <v/>
      </c>
      <c r="F49" s="31" t="n"/>
      <c r="G49" s="37" t="n"/>
      <c r="I49" s="468">
        <f>ROUND(I41/I8,2)</f>
        <v/>
      </c>
      <c r="J49" s="468">
        <f>ROUND(J41/J8,2)</f>
        <v/>
      </c>
      <c r="K49" s="456">
        <f>ROUND(K41/K8,2)</f>
        <v/>
      </c>
    </row>
    <row r="50" ht="16" customHeight="1" thickBot="1">
      <c r="A50" s="32" t="n"/>
      <c r="B50" s="744" t="n"/>
      <c r="C50" s="783" t="n"/>
      <c r="D50" s="784" t="n"/>
      <c r="E50" s="785" t="n"/>
      <c r="F50" s="31" t="n"/>
      <c r="G50" s="37" t="n"/>
      <c r="I50" s="464" t="n"/>
      <c r="J50" s="464" t="n"/>
      <c r="K50" s="464" t="n"/>
    </row>
    <row r="51" ht="16" customHeight="1">
      <c r="A51" s="51" t="inlineStr">
        <is>
          <t>BREAK-EVEN PRICE ($ per bu.)</t>
        </is>
      </c>
      <c r="B51" s="52" t="n"/>
      <c r="C51" s="786" t="n"/>
      <c r="D51" s="781" t="n"/>
      <c r="E51" s="787" t="n"/>
      <c r="F51" s="31" t="n"/>
      <c r="G51" s="37" t="n"/>
      <c r="I51" s="465" t="n"/>
      <c r="J51" s="465" t="n"/>
      <c r="K51" s="466" t="n"/>
    </row>
    <row r="52" ht="16" customHeight="1">
      <c r="A52" s="32" t="inlineStr">
        <is>
          <t>To Cover Variable Expenses</t>
        </is>
      </c>
      <c r="B52" s="20">
        <f>ROUND((B28)/B7,2)</f>
        <v/>
      </c>
      <c r="C52" s="451">
        <f>ROUND((C28)/C7,2)</f>
        <v/>
      </c>
      <c r="D52" s="452">
        <f>ROUND((D28)/D7,2)</f>
        <v/>
      </c>
      <c r="E52" s="453">
        <f>ROUND((E28)/E7,2)</f>
        <v/>
      </c>
      <c r="F52" s="31" t="n"/>
      <c r="G52" s="37" t="n"/>
      <c r="I52" s="467">
        <f>ROUND((I28)/I7,2)</f>
        <v/>
      </c>
      <c r="J52" s="467">
        <f>ROUND((J28)/J7,2)</f>
        <v/>
      </c>
      <c r="K52" s="453">
        <f>ROUND((K28)/K7,2)</f>
        <v/>
      </c>
    </row>
    <row r="53" ht="16" customHeight="1" thickBot="1">
      <c r="A53" s="53" t="inlineStr">
        <is>
          <t>To Cover Total Expenses</t>
        </is>
      </c>
      <c r="B53" s="21">
        <f>ROUND(B41/B7,2)</f>
        <v/>
      </c>
      <c r="C53" s="454">
        <f>ROUND(C41/C7,2)</f>
        <v/>
      </c>
      <c r="D53" s="455">
        <f>ROUND(D41/D7,2)</f>
        <v/>
      </c>
      <c r="E53" s="456">
        <f>ROUND(E41/E7,2)</f>
        <v/>
      </c>
      <c r="F53" s="31" t="n"/>
      <c r="G53" s="37" t="n"/>
      <c r="I53" s="468">
        <f>ROUND(I41/I7,2)</f>
        <v/>
      </c>
      <c r="J53" s="468">
        <f>ROUND(J41/J7,2)</f>
        <v/>
      </c>
      <c r="K53" s="456">
        <f>ROUND(K41/K7,2)</f>
        <v/>
      </c>
    </row>
    <row r="54" ht="16" customHeight="1" thickBot="1">
      <c r="A54" s="55" t="n"/>
      <c r="B54" s="17" t="n"/>
      <c r="C54" s="612" t="n"/>
      <c r="D54" s="612" t="n"/>
      <c r="E54" s="612" t="n"/>
      <c r="F54" s="31" t="n"/>
    </row>
    <row r="55" ht="16" customHeight="1">
      <c r="A55" s="47" t="inlineStr">
        <is>
          <t>YIELD SENSITIVITY (same expenses but average yield)</t>
        </is>
      </c>
      <c r="B55" s="64" t="n"/>
      <c r="C55" s="462" t="n"/>
      <c r="D55" s="462" t="n"/>
      <c r="E55" s="462" t="n"/>
      <c r="F55" s="31" t="n"/>
    </row>
    <row r="56" ht="16" customHeight="1">
      <c r="A56" s="49" t="inlineStr">
        <is>
          <t>Provincial Average Yield (bu./ac)</t>
        </is>
      </c>
      <c r="B56" s="65" t="n"/>
      <c r="C56" s="612">
        <f>I7</f>
        <v/>
      </c>
      <c r="D56" s="612">
        <f>J7</f>
        <v/>
      </c>
      <c r="E56" s="612">
        <f>K7</f>
        <v/>
      </c>
      <c r="F56" s="31" t="n"/>
    </row>
    <row r="57" ht="16" customHeight="1">
      <c r="A57" s="49" t="inlineStr">
        <is>
          <t xml:space="preserve"> Return over Variable Expenses </t>
        </is>
      </c>
      <c r="B57" s="65" t="n"/>
      <c r="C57" s="612">
        <f>I44</f>
        <v/>
      </c>
      <c r="D57" s="612">
        <f>J44</f>
        <v/>
      </c>
      <c r="E57" s="612">
        <f>K44</f>
        <v/>
      </c>
      <c r="F57" s="31" t="n"/>
    </row>
    <row r="58" ht="16" customHeight="1" thickBot="1">
      <c r="A58" s="737" t="inlineStr">
        <is>
          <t xml:space="preserve"> Return over Total Expenses </t>
        </is>
      </c>
      <c r="B58" s="66" t="n"/>
      <c r="C58" s="463">
        <f>I45</f>
        <v/>
      </c>
      <c r="D58" s="463">
        <f>J45</f>
        <v/>
      </c>
      <c r="E58" s="463">
        <f>K45</f>
        <v/>
      </c>
      <c r="F58" s="750" t="n"/>
    </row>
    <row r="59" ht="16" customHeight="1">
      <c r="A59" s="22" t="inlineStr">
        <is>
          <t>*Farm managers need to determine their own actual labour and management costs and add it to total expenses.</t>
        </is>
      </c>
      <c r="B59" s="24" t="n"/>
      <c r="C59" s="24" t="n"/>
      <c r="D59" s="24" t="n"/>
      <c r="E59" s="24" t="n"/>
    </row>
    <row r="60">
      <c r="A60" s="24" t="n"/>
      <c r="B60" s="24" t="n"/>
      <c r="C60" s="24" t="n"/>
      <c r="D60" s="24" t="n"/>
      <c r="E60" s="24" t="n"/>
    </row>
    <row r="61">
      <c r="A61" s="24" t="n"/>
      <c r="B61" s="24" t="n"/>
      <c r="C61" s="419" t="n"/>
      <c r="D61" s="419" t="n"/>
      <c r="E61" s="419" t="n"/>
    </row>
    <row r="62" ht="16" customHeight="1">
      <c r="A62" s="57" t="n"/>
      <c r="B62" s="56" t="n"/>
      <c r="C62" s="429" t="n"/>
      <c r="D62" s="429" t="n"/>
      <c r="E62" s="429" t="n"/>
    </row>
    <row r="63" ht="16" customHeight="1">
      <c r="A63" s="57" t="n"/>
      <c r="B63" s="56" t="n"/>
      <c r="C63" s="56" t="n"/>
      <c r="D63" s="56" t="n"/>
      <c r="E63" s="56" t="n"/>
    </row>
  </sheetData>
  <mergeCells count="2">
    <mergeCell ref="F3:F58"/>
    <mergeCell ref="I4:K4"/>
  </mergeCell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1:K63"/>
  <sheetViews>
    <sheetView showGridLines="0" topLeftCell="A29" workbookViewId="0">
      <selection activeCell="E28" sqref="E28"/>
    </sheetView>
  </sheetViews>
  <sheetFormatPr baseColWidth="8" defaultRowHeight="16" customHeight="1"/>
  <cols>
    <col width="55.7109375" customWidth="1" min="1" max="1"/>
    <col width="13.85546875" bestFit="1" customWidth="1" min="2" max="2"/>
    <col width="11.42578125" customWidth="1" min="3" max="3"/>
    <col width="13.85546875" bestFit="1" customWidth="1" min="4" max="5"/>
    <col width="49.7109375" customWidth="1" min="6" max="6"/>
    <col width="13.42578125" customWidth="1" min="9" max="11"/>
  </cols>
  <sheetData>
    <row r="1" ht="16" customHeight="1">
      <c r="A1" s="23" t="inlineStr">
        <is>
          <t>HYBRID FALL RYE PRODUCTION COSTS ($/ACRE) FOR SASKATCHEWAN 2026</t>
        </is>
      </c>
      <c r="B1" s="23" t="n"/>
      <c r="C1" s="23" t="n"/>
      <c r="D1" s="23" t="n"/>
      <c r="E1" s="23" t="n"/>
      <c r="F1" s="24" t="n"/>
    </row>
    <row r="2" ht="16" customHeight="1" thickBot="1">
      <c r="A2" s="25" t="n"/>
      <c r="B2" s="25" t="n"/>
      <c r="C2" s="25" t="inlineStr">
        <is>
          <t>Economics</t>
        </is>
      </c>
      <c r="D2" s="25" t="n"/>
      <c r="E2" s="25" t="n"/>
      <c r="F2" s="25" t="inlineStr">
        <is>
          <t>Agronomics</t>
        </is>
      </c>
    </row>
    <row r="3" ht="16" customHeight="1" thickBot="1">
      <c r="A3" s="278" t="inlineStr">
        <is>
          <t>CROP</t>
        </is>
      </c>
      <c r="B3" s="279" t="n"/>
      <c r="C3" s="280" t="n"/>
      <c r="D3" s="675" t="inlineStr">
        <is>
          <t>HYBRID FALL RYE</t>
        </is>
      </c>
      <c r="E3" s="282" t="n"/>
      <c r="F3" s="676" t="inlineStr">
        <is>
          <t>Seeding: Certified seed is needed every year for hybrids. A seeding rate of 0.8 units/ac. is used for all soil zones. One unit is equal to one million viable seeds. 
Fertilization: Fertility costs are based on nutrient removal rates given the targeted crop yield. These are: 91 lb./ac N and 38 lb./ac. P2O5 for the black soil zone, 74lb./ac. N and 31 lb./ac. P2O5 for the dark brown soil zone and 47 lb./ac. N and 20 lb./ac. P2O5 for the brown soil zone. Producers are encouraged to use their own rates based on soil tests.
Crop Rotation: Diverse crop rotations are recommended to help reduce disease pressure and suppress weeds to manage herbicide resistance. Fall rye is a very competitive crop that will suppress growth of spring germinating weeds. 
Crop Protection                                                           Insect control: Cutworms, aphids, thrips, mites, grasshoppers, armyworm, slugs and wireworms might require control. Seed treatments are available for wireworm control. 
Disease control: The cost of fungicide is not included in this estimate. Disease risk assessment is encouraged to guide fungicide application decisions. 
Weed control: Rye has very few herbicide options. Herbicide costs are based on the following herbicide timings. Please refer to general assumptions for details.
Please insert herbicide application window.</t>
        </is>
      </c>
    </row>
    <row r="4" ht="16" customHeight="1" thickBot="1">
      <c r="A4" s="26" t="n"/>
      <c r="B4" s="677" t="inlineStr">
        <is>
          <t>My Farm</t>
        </is>
      </c>
      <c r="C4" s="211" t="n"/>
      <c r="D4" s="678" t="inlineStr">
        <is>
          <t>80th percentile</t>
        </is>
      </c>
      <c r="E4" s="212" t="n"/>
      <c r="F4" s="31" t="n"/>
      <c r="I4" s="679" t="inlineStr">
        <is>
          <t xml:space="preserve">Average Yield </t>
        </is>
      </c>
      <c r="J4" s="680" t="n"/>
      <c r="K4" s="681" t="n"/>
    </row>
    <row r="5" ht="16" customHeight="1" thickBot="1">
      <c r="A5" s="682" t="inlineStr">
        <is>
          <t>Soil Zone</t>
        </is>
      </c>
      <c r="B5" s="182" t="n"/>
      <c r="C5" s="683" t="inlineStr">
        <is>
          <t>Brown</t>
        </is>
      </c>
      <c r="D5" s="684" t="inlineStr">
        <is>
          <t>Dark Brown</t>
        </is>
      </c>
      <c r="E5" s="685" t="inlineStr">
        <is>
          <t>Black</t>
        </is>
      </c>
      <c r="F5" s="31" t="n"/>
      <c r="I5" s="686" t="inlineStr">
        <is>
          <t>Brown</t>
        </is>
      </c>
      <c r="J5" s="687" t="inlineStr">
        <is>
          <t>Dark Brown</t>
        </is>
      </c>
      <c r="K5" s="688" t="inlineStr">
        <is>
          <t>Black</t>
        </is>
      </c>
    </row>
    <row r="6" ht="16" customHeight="1">
      <c r="A6" s="96" t="inlineStr">
        <is>
          <t>REVENUE PER ACRE</t>
        </is>
      </c>
      <c r="B6" s="123" t="n"/>
      <c r="C6" s="87" t="n"/>
      <c r="D6" s="87" t="n"/>
      <c r="E6" s="88" t="n"/>
      <c r="F6" s="31" t="n"/>
      <c r="I6" s="332" t="n"/>
      <c r="J6" s="332" t="n"/>
      <c r="K6" s="332" t="n"/>
    </row>
    <row r="7" ht="16" customHeight="1">
      <c r="A7" s="689" t="inlineStr">
        <is>
          <t>Estimated Yield (bu./ac) (A)</t>
        </is>
      </c>
      <c r="B7" s="120" t="n"/>
      <c r="C7" s="788" t="n">
        <v>40.15536</v>
      </c>
      <c r="D7" s="789" t="n">
        <v>63.38248000000001</v>
      </c>
      <c r="E7" s="790" t="n">
        <v>77.94864</v>
      </c>
      <c r="F7" s="31" t="n"/>
      <c r="G7" s="37" t="n"/>
      <c r="I7" s="769" t="n">
        <v>24.4</v>
      </c>
      <c r="J7" s="769" t="n">
        <v>46.1</v>
      </c>
      <c r="K7" s="769" t="n">
        <v>55.9</v>
      </c>
    </row>
    <row r="8" ht="16" customHeight="1" thickBot="1">
      <c r="A8" s="689" t="inlineStr">
        <is>
          <t>Est. On Farm Market Price $/bu. (B)</t>
        </is>
      </c>
      <c r="B8" s="192" t="n"/>
      <c r="C8" s="791" t="n">
        <v>4.83</v>
      </c>
      <c r="D8" s="791" t="n">
        <v>4.83</v>
      </c>
      <c r="E8" s="792" t="n">
        <v>4.83</v>
      </c>
      <c r="F8" s="31" t="n"/>
      <c r="G8" s="37" t="n"/>
      <c r="I8" s="427">
        <f>C8</f>
        <v/>
      </c>
      <c r="J8" s="427">
        <f>D8</f>
        <v/>
      </c>
      <c r="K8" s="427">
        <f>E8</f>
        <v/>
      </c>
    </row>
    <row r="9" ht="16" customHeight="1" thickBot="1">
      <c r="A9" s="70" t="inlineStr">
        <is>
          <t>Estimated Gross Revenue/ac (AxB)=C</t>
        </is>
      </c>
      <c r="B9" s="71">
        <f>ROUND((B8*B7),2)</f>
        <v/>
      </c>
      <c r="C9" s="471">
        <f>ROUND((C8*C7),2)</f>
        <v/>
      </c>
      <c r="D9" s="472">
        <f>ROUND((D8*D7),2)</f>
        <v/>
      </c>
      <c r="E9" s="473">
        <f>ROUND((E8*E7),2)</f>
        <v/>
      </c>
      <c r="F9" s="31" t="n"/>
      <c r="G9" s="37" t="n"/>
      <c r="I9" s="474">
        <f>ROUND((I8*I7),2)</f>
        <v/>
      </c>
      <c r="J9" s="474">
        <f>ROUND((J8*J7),2)</f>
        <v/>
      </c>
      <c r="K9" s="474">
        <f>ROUND((K8*K7),2)</f>
        <v/>
      </c>
    </row>
    <row r="10">
      <c r="A10" s="67" t="n"/>
      <c r="B10" s="72" t="n"/>
      <c r="C10" s="697" t="n"/>
      <c r="D10" s="698" t="n"/>
      <c r="E10" s="699" t="n"/>
      <c r="F10" s="31" t="n"/>
      <c r="G10" s="37" t="n"/>
      <c r="I10" s="332" t="n"/>
      <c r="J10" s="332" t="n"/>
      <c r="K10" s="332" t="n"/>
    </row>
    <row r="11" ht="16" customHeight="1">
      <c r="A11" s="73" t="inlineStr">
        <is>
          <t>EXPENSES PER ACRE</t>
        </is>
      </c>
      <c r="B11" s="72" t="n"/>
      <c r="C11" s="296" t="n"/>
      <c r="D11" s="700" t="n"/>
      <c r="E11" s="701" t="n"/>
      <c r="F11" s="31" t="n"/>
      <c r="G11" s="37" t="n"/>
      <c r="I11" s="332" t="n"/>
      <c r="J11" s="332" t="n"/>
      <c r="K11" s="332" t="n"/>
    </row>
    <row r="12" ht="16" customHeight="1">
      <c r="A12" s="73" t="inlineStr">
        <is>
          <t>Variable Expenses/acre</t>
        </is>
      </c>
      <c r="B12" s="72" t="n"/>
      <c r="C12" s="296" t="n"/>
      <c r="D12" s="700" t="n"/>
      <c r="E12" s="702" t="n"/>
      <c r="F12" s="31" t="n"/>
      <c r="G12" s="37" t="n"/>
      <c r="I12" s="332" t="n"/>
      <c r="J12" s="332" t="n"/>
      <c r="K12" s="332" t="n"/>
    </row>
    <row r="13" ht="16" customHeight="1">
      <c r="A13" s="689" t="inlineStr">
        <is>
          <t>Seed</t>
        </is>
      </c>
      <c r="B13" s="74" t="n"/>
      <c r="C13" s="715" t="n">
        <v>60</v>
      </c>
      <c r="D13" s="716" t="n">
        <v>60</v>
      </c>
      <c r="E13" s="717" t="n">
        <v>60</v>
      </c>
      <c r="F13" s="31" t="n"/>
      <c r="G13" s="37" t="n"/>
      <c r="I13" s="427">
        <f>C13</f>
        <v/>
      </c>
      <c r="J13" s="427">
        <f>D13</f>
        <v/>
      </c>
      <c r="K13" s="427">
        <f>E13</f>
        <v/>
      </c>
    </row>
    <row r="14" ht="16" customHeight="1">
      <c r="A14" s="689" t="inlineStr">
        <is>
          <t xml:space="preserve">                     -Seed Treatments/Inoculants</t>
        </is>
      </c>
      <c r="B14" s="74" t="n"/>
      <c r="C14" s="715" t="n">
        <v>0</v>
      </c>
      <c r="D14" s="716" t="n">
        <v>0</v>
      </c>
      <c r="E14" s="717" t="n">
        <v>0</v>
      </c>
      <c r="F14" s="31" t="n"/>
      <c r="G14" s="37" t="n"/>
      <c r="I14" s="427">
        <f>C14</f>
        <v/>
      </c>
      <c r="J14" s="427">
        <f>D14</f>
        <v/>
      </c>
      <c r="K14" s="427">
        <f>E14</f>
        <v/>
      </c>
    </row>
    <row r="15" ht="16" customHeight="1">
      <c r="A15" s="689" t="inlineStr">
        <is>
          <t>Fertilizer -Nitrogen (N)</t>
        </is>
      </c>
      <c r="B15" s="74" t="n"/>
      <c r="C15" s="793" t="n">
        <v>38.47747179042058</v>
      </c>
      <c r="D15" s="794" t="n">
        <v>60.58155132959836</v>
      </c>
      <c r="E15" s="795" t="n">
        <v>74.49893474315473</v>
      </c>
      <c r="F15" s="31" t="n"/>
      <c r="G15" s="37" t="n"/>
      <c r="I15" s="427">
        <f>C15</f>
        <v/>
      </c>
      <c r="J15" s="427">
        <f>D15</f>
        <v/>
      </c>
      <c r="K15" s="427">
        <f>E15</f>
        <v/>
      </c>
    </row>
    <row r="16" ht="16" customHeight="1">
      <c r="A16" s="689" t="inlineStr">
        <is>
          <t xml:space="preserve">               -Phosphorous (P2O5)</t>
        </is>
      </c>
      <c r="B16" s="74" t="n"/>
      <c r="C16" s="793" t="n">
        <v>19.22242320135479</v>
      </c>
      <c r="D16" s="794" t="n">
        <v>29.79475596209992</v>
      </c>
      <c r="E16" s="795" t="n">
        <v>36.5226040825741</v>
      </c>
      <c r="F16" s="31" t="n"/>
      <c r="G16" s="37" t="n"/>
      <c r="I16" s="427">
        <f>C16</f>
        <v/>
      </c>
      <c r="J16" s="427">
        <f>D16</f>
        <v/>
      </c>
      <c r="K16" s="427">
        <f>E16</f>
        <v/>
      </c>
    </row>
    <row r="17" ht="16" customHeight="1">
      <c r="A17" s="689" t="inlineStr">
        <is>
          <t xml:space="preserve">               -Sulphur and Other</t>
        </is>
      </c>
      <c r="B17" s="75" t="n"/>
      <c r="C17" s="796" t="n">
        <v>0</v>
      </c>
      <c r="D17" s="797" t="n">
        <v>0</v>
      </c>
      <c r="E17" s="798" t="n">
        <v>0</v>
      </c>
      <c r="F17" s="31" t="n"/>
      <c r="G17" s="37" t="n"/>
      <c r="I17" s="427">
        <f>C17</f>
        <v/>
      </c>
      <c r="J17" s="427">
        <f>D17</f>
        <v/>
      </c>
      <c r="K17" s="427">
        <f>E17</f>
        <v/>
      </c>
    </row>
    <row r="18" ht="16" customHeight="1">
      <c r="A18" s="689" t="inlineStr">
        <is>
          <t>Plant Protection -Herbicides</t>
        </is>
      </c>
      <c r="B18" s="74" t="n"/>
      <c r="C18" s="715" t="n">
        <v>31.03</v>
      </c>
      <c r="D18" s="716" t="n">
        <v>31.03</v>
      </c>
      <c r="E18" s="717" t="n">
        <v>31.03</v>
      </c>
      <c r="F18" s="31" t="n"/>
      <c r="G18" s="37" t="n"/>
      <c r="I18" s="427">
        <f>C18</f>
        <v/>
      </c>
      <c r="J18" s="427">
        <f>D18</f>
        <v/>
      </c>
      <c r="K18" s="427">
        <f>E18</f>
        <v/>
      </c>
    </row>
    <row r="19" ht="16" customHeight="1">
      <c r="A19" s="689" t="inlineStr">
        <is>
          <t xml:space="preserve">                     -Insecticides</t>
        </is>
      </c>
      <c r="B19" s="74" t="n"/>
      <c r="C19" s="770" t="n">
        <v>0</v>
      </c>
      <c r="D19" s="771" t="n">
        <v>0</v>
      </c>
      <c r="E19" s="772" t="n">
        <v>0</v>
      </c>
      <c r="F19" s="31" t="n"/>
      <c r="G19" s="37" t="n"/>
      <c r="I19" s="427">
        <f>C19</f>
        <v/>
      </c>
      <c r="J19" s="427">
        <f>D19</f>
        <v/>
      </c>
      <c r="K19" s="427">
        <f>E19</f>
        <v/>
      </c>
    </row>
    <row r="20" ht="16" customHeight="1">
      <c r="A20" s="689" t="inlineStr">
        <is>
          <t xml:space="preserve">                     -Fungicides</t>
        </is>
      </c>
      <c r="B20" s="74" t="n"/>
      <c r="C20" s="715" t="n">
        <v>0</v>
      </c>
      <c r="D20" s="716" t="n">
        <v>0</v>
      </c>
      <c r="E20" s="717" t="n">
        <v>0</v>
      </c>
      <c r="F20" s="31" t="n"/>
      <c r="G20" s="37" t="n"/>
      <c r="I20" s="427">
        <f>C20</f>
        <v/>
      </c>
      <c r="J20" s="427">
        <f>D20</f>
        <v/>
      </c>
      <c r="K20" s="427">
        <f>E20</f>
        <v/>
      </c>
    </row>
    <row r="21" ht="16" customHeight="1">
      <c r="A21" s="689" t="inlineStr">
        <is>
          <t>Machinery Operating -Fuel</t>
        </is>
      </c>
      <c r="B21" s="75" t="n"/>
      <c r="C21" s="770" t="n">
        <v>16.06179708666667</v>
      </c>
      <c r="D21" s="771" t="n">
        <v>20.07724635833333</v>
      </c>
      <c r="E21" s="772" t="n">
        <v>25.09655794791667</v>
      </c>
      <c r="F21" s="31" t="n"/>
      <c r="G21" s="37" t="n"/>
      <c r="I21" s="427">
        <f>C21</f>
        <v/>
      </c>
      <c r="J21" s="427">
        <f>D21</f>
        <v/>
      </c>
      <c r="K21" s="427">
        <f>E21</f>
        <v/>
      </c>
    </row>
    <row r="22" ht="16" customHeight="1">
      <c r="A22" s="689" t="inlineStr">
        <is>
          <t xml:space="preserve">                                  -Repair</t>
        </is>
      </c>
      <c r="B22" s="74" t="n"/>
      <c r="C22" s="715" t="n">
        <v>11.56328841689489</v>
      </c>
      <c r="D22" s="716" t="n">
        <v>13.03949744699887</v>
      </c>
      <c r="E22" s="717" t="n">
        <v>14.75790247400408</v>
      </c>
      <c r="F22" s="31" t="n"/>
      <c r="G22" s="37" t="n"/>
      <c r="I22" s="427">
        <f>C22</f>
        <v/>
      </c>
      <c r="J22" s="427">
        <f>D22</f>
        <v/>
      </c>
      <c r="K22" s="427">
        <f>E22</f>
        <v/>
      </c>
    </row>
    <row r="23" ht="16" customHeight="1">
      <c r="A23" s="689" t="inlineStr">
        <is>
          <t>Custom Work and Hired Labour</t>
        </is>
      </c>
      <c r="B23" s="74" t="n"/>
      <c r="C23" s="715" t="n">
        <v>22</v>
      </c>
      <c r="D23" s="716" t="n">
        <v>22</v>
      </c>
      <c r="E23" s="717" t="n">
        <v>22.25</v>
      </c>
      <c r="F23" s="31" t="n"/>
      <c r="G23" s="37" t="n"/>
      <c r="I23" s="427">
        <f>C23</f>
        <v/>
      </c>
      <c r="J23" s="427">
        <f>D23</f>
        <v/>
      </c>
      <c r="K23" s="427">
        <f>E23</f>
        <v/>
      </c>
    </row>
    <row r="24" ht="16" customHeight="1">
      <c r="A24" s="689" t="inlineStr">
        <is>
          <t>Crop Insurance Premium</t>
        </is>
      </c>
      <c r="B24" s="77" t="n"/>
      <c r="C24" s="715" t="n">
        <v>8.901631976978948</v>
      </c>
      <c r="D24" s="716" t="n">
        <v>7.72941310594617</v>
      </c>
      <c r="E24" s="717" t="n">
        <v>6.151574333395471</v>
      </c>
      <c r="F24" s="31" t="n"/>
      <c r="G24" s="37" t="n"/>
      <c r="I24" s="427">
        <f>C24</f>
        <v/>
      </c>
      <c r="J24" s="427">
        <f>D24</f>
        <v/>
      </c>
      <c r="K24" s="427">
        <f>E24</f>
        <v/>
      </c>
    </row>
    <row r="25" ht="16" customHeight="1">
      <c r="A25" s="689" t="inlineStr">
        <is>
          <t>Hail Insurance Premium</t>
        </is>
      </c>
      <c r="B25" s="77" t="n"/>
      <c r="C25" s="715" t="n">
        <v>14</v>
      </c>
      <c r="D25" s="716" t="n">
        <v>14</v>
      </c>
      <c r="E25" s="717" t="n">
        <v>14</v>
      </c>
      <c r="F25" s="31" t="n"/>
      <c r="G25" s="37" t="n"/>
      <c r="I25" s="427">
        <f>C25</f>
        <v/>
      </c>
      <c r="J25" s="427">
        <f>D25</f>
        <v/>
      </c>
      <c r="K25" s="427">
        <f>E25</f>
        <v/>
      </c>
    </row>
    <row r="26" ht="16" customHeight="1">
      <c r="A26" s="689" t="inlineStr">
        <is>
          <t>Utilities and Miscellaneous</t>
        </is>
      </c>
      <c r="B26" s="75" t="n"/>
      <c r="C26" s="715" t="n">
        <v>4.395974170413743</v>
      </c>
      <c r="D26" s="716" t="n">
        <v>5.768849384517721</v>
      </c>
      <c r="E26" s="717" t="n">
        <v>6.656364674443524</v>
      </c>
      <c r="F26" s="31" t="n"/>
      <c r="G26" s="37" t="n"/>
      <c r="I26" s="427">
        <f>C26</f>
        <v/>
      </c>
      <c r="J26" s="427">
        <f>D26</f>
        <v/>
      </c>
      <c r="K26" s="427">
        <f>E26</f>
        <v/>
      </c>
    </row>
    <row r="27" ht="16" customHeight="1" thickBot="1">
      <c r="A27" s="689" t="inlineStr">
        <is>
          <t>Interest on Variable Expenses</t>
        </is>
      </c>
      <c r="B27" s="74" t="n"/>
      <c r="C27" s="718" t="n">
        <v>19.22560038196056</v>
      </c>
      <c r="D27" s="719" t="n">
        <v>22.49461591765452</v>
      </c>
      <c r="E27" s="720" t="n">
        <v>24.79012753936762</v>
      </c>
      <c r="F27" s="31" t="n"/>
      <c r="G27" s="37" t="n"/>
      <c r="I27" s="427">
        <f>C27</f>
        <v/>
      </c>
      <c r="J27" s="427">
        <f>D27</f>
        <v/>
      </c>
      <c r="K27" s="427">
        <f>E27</f>
        <v/>
      </c>
    </row>
    <row r="28" ht="16" customHeight="1" thickBot="1">
      <c r="A28" s="70" t="inlineStr">
        <is>
          <t>Total Variable Expenses (D)</t>
        </is>
      </c>
      <c r="B28" s="78">
        <f>SUM(B13:B27)</f>
        <v/>
      </c>
      <c r="C28" s="423">
        <f>SUM(C13:C27)</f>
        <v/>
      </c>
      <c r="D28" s="430">
        <f>SUM(D13:D27)</f>
        <v/>
      </c>
      <c r="E28" s="431">
        <f>SUM(E13:E27)</f>
        <v/>
      </c>
      <c r="F28" s="31" t="n"/>
      <c r="G28" s="37" t="n"/>
      <c r="I28" s="428">
        <f>SUM(I13:I27)</f>
        <v/>
      </c>
      <c r="J28" s="428">
        <f>SUM(J13:J27)</f>
        <v/>
      </c>
      <c r="K28" s="428">
        <f>SUM(K13:K27)</f>
        <v/>
      </c>
    </row>
    <row r="29">
      <c r="A29" s="67" t="n"/>
      <c r="B29" s="72" t="n"/>
      <c r="C29" s="721" t="n"/>
      <c r="D29" s="700" t="n"/>
      <c r="E29" s="701" t="n"/>
      <c r="F29" s="31" t="n"/>
      <c r="G29" s="37" t="n"/>
      <c r="I29" s="464" t="n"/>
      <c r="J29" s="464" t="n"/>
      <c r="K29" s="464" t="n"/>
    </row>
    <row r="30" ht="16" customHeight="1">
      <c r="A30" s="73" t="inlineStr">
        <is>
          <t>Other Expenses/acre</t>
        </is>
      </c>
      <c r="B30" s="72" t="n"/>
      <c r="C30" s="721" t="n"/>
      <c r="D30" s="700" t="n"/>
      <c r="E30" s="701" t="n"/>
      <c r="F30" s="31" t="n"/>
      <c r="G30" s="37" t="n"/>
      <c r="I30" s="464" t="n"/>
      <c r="J30" s="464" t="n"/>
      <c r="K30" s="464" t="n"/>
    </row>
    <row r="31" ht="16" customHeight="1">
      <c r="A31" s="689" t="inlineStr">
        <is>
          <t>Building Repair</t>
        </is>
      </c>
      <c r="B31" s="722" t="n"/>
      <c r="C31" s="773" t="n">
        <v>0.7445684561908097</v>
      </c>
      <c r="D31" s="774" t="n">
        <v>0.9756414253534748</v>
      </c>
      <c r="E31" s="775" t="n">
        <v>1.335088266273176</v>
      </c>
      <c r="F31" s="31" t="n"/>
      <c r="G31" s="37" t="n"/>
      <c r="I31" s="776">
        <f>C31</f>
        <v/>
      </c>
      <c r="J31" s="776">
        <f>D31</f>
        <v/>
      </c>
      <c r="K31" s="776">
        <f>E31</f>
        <v/>
      </c>
    </row>
    <row r="32" ht="16" customHeight="1">
      <c r="A32" s="689" t="inlineStr">
        <is>
          <t>Property Taxes</t>
        </is>
      </c>
      <c r="B32" s="727" t="n"/>
      <c r="C32" s="777" t="n">
        <v>5.076533574707355</v>
      </c>
      <c r="D32" s="778" t="n">
        <v>6.642698188180902</v>
      </c>
      <c r="E32" s="779" t="n">
        <v>10.0720586349247</v>
      </c>
      <c r="F32" s="31" t="n"/>
      <c r="G32" s="37" t="n"/>
      <c r="I32" s="776">
        <f>C32</f>
        <v/>
      </c>
      <c r="J32" s="776">
        <f>D32</f>
        <v/>
      </c>
      <c r="K32" s="776">
        <f>E32</f>
        <v/>
      </c>
    </row>
    <row r="33" ht="16" customHeight="1">
      <c r="A33" s="689" t="inlineStr">
        <is>
          <t>Business Overhead</t>
        </is>
      </c>
      <c r="B33" s="731" t="n"/>
      <c r="C33" s="773" t="n">
        <v>2.607474711623781</v>
      </c>
      <c r="D33" s="774" t="n">
        <v>3.986427684117127</v>
      </c>
      <c r="E33" s="775" t="n">
        <v>4.675904170363799</v>
      </c>
      <c r="F33" s="31" t="n"/>
      <c r="G33" s="37" t="n"/>
      <c r="I33" s="776">
        <f>C33</f>
        <v/>
      </c>
      <c r="J33" s="776">
        <f>D33</f>
        <v/>
      </c>
      <c r="K33" s="776">
        <f>E33</f>
        <v/>
      </c>
    </row>
    <row r="34" ht="16" customHeight="1">
      <c r="A34" s="689" t="inlineStr">
        <is>
          <t>Machinery Depreciation</t>
        </is>
      </c>
      <c r="B34" s="732" t="n"/>
      <c r="C34" s="777" t="n">
        <v>47.58737925414436</v>
      </c>
      <c r="D34" s="778" t="n">
        <v>53.66254718572614</v>
      </c>
      <c r="E34" s="779" t="n">
        <v>60.73444479686295</v>
      </c>
      <c r="F34" s="31" t="n"/>
      <c r="G34" s="37" t="n"/>
      <c r="I34" s="776">
        <f>C34</f>
        <v/>
      </c>
      <c r="J34" s="776">
        <f>D34</f>
        <v/>
      </c>
      <c r="K34" s="776">
        <f>E34</f>
        <v/>
      </c>
    </row>
    <row r="35" ht="16" customHeight="1">
      <c r="A35" s="689" t="inlineStr">
        <is>
          <t>Building Depreciation</t>
        </is>
      </c>
      <c r="B35" s="722" t="n"/>
      <c r="C35" s="773" t="n">
        <v>1.45</v>
      </c>
      <c r="D35" s="774" t="n">
        <v>1.9</v>
      </c>
      <c r="E35" s="775" t="n">
        <v>2.6</v>
      </c>
      <c r="F35" s="31" t="n"/>
      <c r="G35" s="37" t="n"/>
      <c r="I35" s="776">
        <f>C35</f>
        <v/>
      </c>
      <c r="J35" s="776">
        <f>D35</f>
        <v/>
      </c>
      <c r="K35" s="776">
        <f>E35</f>
        <v/>
      </c>
    </row>
    <row r="36" ht="16" customHeight="1">
      <c r="A36" s="689" t="inlineStr">
        <is>
          <t>Machinery Investment</t>
        </is>
      </c>
      <c r="B36" s="732" t="n"/>
      <c r="C36" s="777" t="n">
        <v>30.02007569770789</v>
      </c>
      <c r="D36" s="778" t="n">
        <v>33.85254144893939</v>
      </c>
      <c r="E36" s="779" t="n">
        <v>38.31378526904906</v>
      </c>
      <c r="F36" s="31" t="n"/>
      <c r="G36" s="37" t="n"/>
      <c r="I36" s="776">
        <f>C36</f>
        <v/>
      </c>
      <c r="J36" s="776">
        <f>D36</f>
        <v/>
      </c>
      <c r="K36" s="776">
        <f>E36</f>
        <v/>
      </c>
    </row>
    <row r="37" ht="16" customHeight="1">
      <c r="A37" s="689" t="inlineStr">
        <is>
          <t>Building Investment</t>
        </is>
      </c>
      <c r="B37" s="722" t="n"/>
      <c r="C37" s="773" t="n">
        <v>1.326266666666666</v>
      </c>
      <c r="D37" s="774" t="n">
        <v>1.737866666666666</v>
      </c>
      <c r="E37" s="775" t="n">
        <v>2.378133333333333</v>
      </c>
      <c r="F37" s="31" t="n"/>
      <c r="G37" s="37" t="n"/>
      <c r="I37" s="776">
        <f>C37</f>
        <v/>
      </c>
      <c r="J37" s="776">
        <f>D37</f>
        <v/>
      </c>
      <c r="K37" s="776">
        <f>E37</f>
        <v/>
      </c>
    </row>
    <row r="38" ht="16" customHeight="1" thickBot="1">
      <c r="A38" s="689" t="inlineStr">
        <is>
          <t>Land Investment</t>
        </is>
      </c>
      <c r="B38" s="727" t="n"/>
      <c r="C38" s="777" t="n">
        <v>70.10399999999998</v>
      </c>
      <c r="D38" s="778" t="n">
        <v>80.65649999999999</v>
      </c>
      <c r="E38" s="779" t="n">
        <v>75.38025</v>
      </c>
      <c r="F38" s="31" t="n"/>
      <c r="G38" s="37" t="n"/>
      <c r="I38" s="776">
        <f>C38</f>
        <v/>
      </c>
      <c r="J38" s="776">
        <f>D38</f>
        <v/>
      </c>
      <c r="K38" s="776">
        <f>E38</f>
        <v/>
      </c>
    </row>
    <row r="39" ht="16" customHeight="1" thickBot="1">
      <c r="A39" s="70" t="inlineStr">
        <is>
          <t>Total Other Expenses (E)</t>
        </is>
      </c>
      <c r="B39" s="78">
        <f>SUM(B31:B38)</f>
        <v/>
      </c>
      <c r="C39" s="424">
        <f>SUM(C31:C38)</f>
        <v/>
      </c>
      <c r="D39" s="425">
        <f>SUM(D31:D38)</f>
        <v/>
      </c>
      <c r="E39" s="426">
        <f>SUM(E31:E38)</f>
        <v/>
      </c>
      <c r="F39" s="31" t="n"/>
      <c r="G39" s="37" t="n"/>
      <c r="I39" s="428">
        <f>SUM(I31:I38)</f>
        <v/>
      </c>
      <c r="J39" s="428">
        <f>SUM(J31:J38)</f>
        <v/>
      </c>
      <c r="K39" s="428">
        <f>SUM(K31:K38)</f>
        <v/>
      </c>
    </row>
    <row r="40" ht="16" customHeight="1" thickBot="1">
      <c r="A40" s="689" t="inlineStr">
        <is>
          <t>Labour and Management (F)*</t>
        </is>
      </c>
      <c r="B40" s="75" t="n"/>
      <c r="C40" s="799" t="n"/>
      <c r="D40" s="800" t="n"/>
      <c r="E40" s="801" t="n"/>
      <c r="F40" s="31" t="n"/>
      <c r="G40" s="37" t="n"/>
      <c r="I40" s="464" t="n"/>
      <c r="J40" s="464" t="n"/>
      <c r="K40" s="464" t="n"/>
    </row>
    <row r="41" ht="16" customHeight="1" thickBot="1">
      <c r="A41" s="45" t="inlineStr">
        <is>
          <t xml:space="preserve">Total Expenses (D+E+F)=(G) </t>
        </is>
      </c>
      <c r="B41" s="42">
        <f>B28+B39+B40</f>
        <v/>
      </c>
      <c r="C41" s="442">
        <f>C28+C39+C40</f>
        <v/>
      </c>
      <c r="D41" s="443">
        <f>D28+D39+D40</f>
        <v/>
      </c>
      <c r="E41" s="444">
        <f>E28+E39+E40</f>
        <v/>
      </c>
      <c r="F41" s="31" t="n"/>
      <c r="G41" s="37" t="n"/>
      <c r="I41" s="428">
        <f>I28+I39+I40</f>
        <v/>
      </c>
      <c r="J41" s="428">
        <f>J28+J39+J40</f>
        <v/>
      </c>
      <c r="K41" s="428">
        <f>K28+K39+K40</f>
        <v/>
      </c>
    </row>
    <row r="42" ht="16" customHeight="1" thickBot="1">
      <c r="A42" s="46" t="n"/>
      <c r="B42" s="19" t="n"/>
      <c r="C42" s="445" t="n"/>
      <c r="D42" s="612" t="n"/>
      <c r="E42" s="447" t="n"/>
      <c r="F42" s="31" t="n"/>
      <c r="G42" s="37" t="n"/>
      <c r="I42" s="464" t="n"/>
      <c r="J42" s="464" t="n"/>
      <c r="K42" s="464" t="n"/>
    </row>
    <row r="43" ht="16" customHeight="1">
      <c r="A43" s="47" t="inlineStr">
        <is>
          <t>RETURNS PER ACRE</t>
        </is>
      </c>
      <c r="B43" s="48" t="n"/>
      <c r="C43" s="780" t="n"/>
      <c r="D43" s="781" t="n"/>
      <c r="E43" s="782" t="n"/>
      <c r="F43" s="31" t="n"/>
      <c r="G43" s="37" t="n"/>
      <c r="I43" s="465" t="n"/>
      <c r="J43" s="465" t="n"/>
      <c r="K43" s="465" t="n"/>
    </row>
    <row r="44" ht="16" customHeight="1">
      <c r="A44" s="49" t="inlineStr">
        <is>
          <t xml:space="preserve"> Return over Variable Expenses (C-D) </t>
        </is>
      </c>
      <c r="B44" s="20">
        <f>B9-B28</f>
        <v/>
      </c>
      <c r="C44" s="451">
        <f>C9-C28</f>
        <v/>
      </c>
      <c r="D44" s="452">
        <f>D9-D28</f>
        <v/>
      </c>
      <c r="E44" s="453">
        <f>E9-E28</f>
        <v/>
      </c>
      <c r="F44" s="31" t="n"/>
      <c r="G44" s="37" t="n"/>
      <c r="I44" s="451">
        <f>I9-I28</f>
        <v/>
      </c>
      <c r="J44" s="451">
        <f>J9-J28</f>
        <v/>
      </c>
      <c r="K44" s="467">
        <f>K9-K28</f>
        <v/>
      </c>
    </row>
    <row r="45" ht="16" customHeight="1" thickBot="1">
      <c r="A45" s="737" t="inlineStr">
        <is>
          <t xml:space="preserve"> Return over Total Expenses (C-G)</t>
        </is>
      </c>
      <c r="B45" s="21">
        <f>B9-B41</f>
        <v/>
      </c>
      <c r="C45" s="454">
        <f>C9-C41</f>
        <v/>
      </c>
      <c r="D45" s="455">
        <f>D9-D41</f>
        <v/>
      </c>
      <c r="E45" s="456">
        <f>E9-E41</f>
        <v/>
      </c>
      <c r="F45" s="31" t="n"/>
      <c r="G45" s="37" t="n"/>
      <c r="I45" s="454">
        <f>I9-I41</f>
        <v/>
      </c>
      <c r="J45" s="454">
        <f>J9-J41</f>
        <v/>
      </c>
      <c r="K45" s="468">
        <f>K9-K41</f>
        <v/>
      </c>
    </row>
    <row r="46" ht="16" customHeight="1" thickBot="1">
      <c r="A46" s="32" t="n"/>
      <c r="B46" s="19" t="n"/>
      <c r="C46" s="783" t="n"/>
      <c r="D46" s="784" t="n"/>
      <c r="E46" s="785" t="n"/>
      <c r="F46" s="31" t="n"/>
      <c r="G46" s="37" t="n"/>
      <c r="I46" s="464" t="n"/>
      <c r="J46" s="464" t="n"/>
      <c r="K46" s="464" t="n"/>
    </row>
    <row r="47" ht="16" customHeight="1">
      <c r="A47" s="51" t="inlineStr">
        <is>
          <t>BREAK-EVEN YIELD (bu./ac.)</t>
        </is>
      </c>
      <c r="B47" s="52" t="n"/>
      <c r="C47" s="786" t="n"/>
      <c r="D47" s="781" t="n"/>
      <c r="E47" s="787" t="n"/>
      <c r="F47" s="31" t="n"/>
      <c r="G47" s="37" t="n"/>
      <c r="I47" s="465" t="n"/>
      <c r="J47" s="465" t="n"/>
      <c r="K47" s="466" t="n"/>
    </row>
    <row r="48" ht="16" customHeight="1">
      <c r="A48" s="32" t="inlineStr">
        <is>
          <t>To Cover Variable Expenses</t>
        </is>
      </c>
      <c r="B48" s="20">
        <f>ROUND((B28)/B8,2)</f>
        <v/>
      </c>
      <c r="C48" s="451">
        <f>ROUND((C28)/C8,2)</f>
        <v/>
      </c>
      <c r="D48" s="452">
        <f>ROUND((D28)/D8,2)</f>
        <v/>
      </c>
      <c r="E48" s="453">
        <f>ROUND((E28)/E8,2)</f>
        <v/>
      </c>
      <c r="F48" s="31" t="n"/>
      <c r="G48" s="37" t="n"/>
      <c r="I48" s="467">
        <f>ROUND((I28)/I8,2)</f>
        <v/>
      </c>
      <c r="J48" s="467">
        <f>ROUND((J28)/J8,2)</f>
        <v/>
      </c>
      <c r="K48" s="453">
        <f>ROUND((K28)/K8,2)</f>
        <v/>
      </c>
    </row>
    <row r="49" ht="16" customHeight="1" thickBot="1">
      <c r="A49" s="53" t="inlineStr">
        <is>
          <t>To Cover Total Expenses</t>
        </is>
      </c>
      <c r="B49" s="21">
        <f>ROUND(B41/B8,2)</f>
        <v/>
      </c>
      <c r="C49" s="454">
        <f>ROUND(C41/C8,2)</f>
        <v/>
      </c>
      <c r="D49" s="455">
        <f>ROUND(D41/D8,2)</f>
        <v/>
      </c>
      <c r="E49" s="456">
        <f>ROUND(E41/E8,2)</f>
        <v/>
      </c>
      <c r="F49" s="31" t="n"/>
      <c r="G49" s="37" t="n"/>
      <c r="I49" s="468">
        <f>ROUND(I41/I8,2)</f>
        <v/>
      </c>
      <c r="J49" s="468">
        <f>ROUND(J41/J8,2)</f>
        <v/>
      </c>
      <c r="K49" s="456">
        <f>ROUND(K41/K8,2)</f>
        <v/>
      </c>
    </row>
    <row r="50" ht="16" customHeight="1" thickBot="1">
      <c r="A50" s="32" t="n"/>
      <c r="B50" s="744" t="n"/>
      <c r="C50" s="783" t="n"/>
      <c r="D50" s="784" t="n"/>
      <c r="E50" s="785" t="n"/>
      <c r="F50" s="31" t="n"/>
      <c r="G50" s="37" t="n"/>
      <c r="I50" s="464" t="n"/>
      <c r="J50" s="464" t="n"/>
      <c r="K50" s="464" t="n"/>
    </row>
    <row r="51" ht="16" customHeight="1">
      <c r="A51" s="51" t="inlineStr">
        <is>
          <t>BREAK-EVEN PRICE ($ per bu.)</t>
        </is>
      </c>
      <c r="B51" s="52" t="n"/>
      <c r="C51" s="786" t="n"/>
      <c r="D51" s="781" t="n"/>
      <c r="E51" s="787" t="n"/>
      <c r="F51" s="31" t="n"/>
      <c r="G51" s="37" t="n"/>
      <c r="I51" s="465" t="n"/>
      <c r="J51" s="465" t="n"/>
      <c r="K51" s="466" t="n"/>
    </row>
    <row r="52" ht="16" customHeight="1">
      <c r="A52" s="32" t="inlineStr">
        <is>
          <t>To Cover Variable Expenses</t>
        </is>
      </c>
      <c r="B52" s="20">
        <f>ROUND((B28)/B7,2)</f>
        <v/>
      </c>
      <c r="C52" s="451">
        <f>ROUND((C28)/C7,2)</f>
        <v/>
      </c>
      <c r="D52" s="452">
        <f>ROUND((D28)/D7,2)</f>
        <v/>
      </c>
      <c r="E52" s="453">
        <f>ROUND((E28)/E7,2)</f>
        <v/>
      </c>
      <c r="F52" s="31" t="n"/>
      <c r="G52" s="37" t="n"/>
      <c r="I52" s="467">
        <f>ROUND((I28)/I7,2)</f>
        <v/>
      </c>
      <c r="J52" s="467">
        <f>ROUND((J28)/J7,2)</f>
        <v/>
      </c>
      <c r="K52" s="453">
        <f>ROUND((K28)/K7,2)</f>
        <v/>
      </c>
    </row>
    <row r="53" ht="16" customHeight="1" thickBot="1">
      <c r="A53" s="53" t="inlineStr">
        <is>
          <t>To Cover Total Expenses</t>
        </is>
      </c>
      <c r="B53" s="21">
        <f>ROUND(B41/B7,2)</f>
        <v/>
      </c>
      <c r="C53" s="454">
        <f>ROUND(C41/C7,2)</f>
        <v/>
      </c>
      <c r="D53" s="455">
        <f>ROUND(D41/D7,2)</f>
        <v/>
      </c>
      <c r="E53" s="456">
        <f>ROUND(E41/E7,2)</f>
        <v/>
      </c>
      <c r="F53" s="31" t="n"/>
      <c r="G53" s="37" t="n"/>
      <c r="I53" s="468">
        <f>ROUND(I41/I7,2)</f>
        <v/>
      </c>
      <c r="J53" s="468">
        <f>ROUND(J41/J7,2)</f>
        <v/>
      </c>
      <c r="K53" s="456">
        <f>ROUND(K41/K7,2)</f>
        <v/>
      </c>
    </row>
    <row r="54" ht="16" customHeight="1" thickBot="1">
      <c r="A54" s="55" t="n"/>
      <c r="B54" s="17" t="n"/>
      <c r="C54" s="612" t="n"/>
      <c r="D54" s="612" t="n"/>
      <c r="E54" s="612" t="n"/>
      <c r="F54" s="31" t="n"/>
      <c r="I54" s="349" t="n"/>
      <c r="J54" s="349" t="n"/>
      <c r="K54" s="349" t="n"/>
    </row>
    <row r="55" ht="16" customHeight="1">
      <c r="A55" s="47" t="inlineStr">
        <is>
          <t>YIELD SENSITIVITY (same expenses but average yield)</t>
        </is>
      </c>
      <c r="B55" s="64" t="n"/>
      <c r="C55" s="462" t="n"/>
      <c r="D55" s="462" t="n"/>
      <c r="E55" s="462" t="n"/>
      <c r="F55" s="31" t="n"/>
    </row>
    <row r="56" ht="16" customHeight="1">
      <c r="A56" s="49" t="inlineStr">
        <is>
          <t>Provincial Average Yield (bu./ac)</t>
        </is>
      </c>
      <c r="B56" s="65" t="n"/>
      <c r="C56" s="612">
        <f>I7</f>
        <v/>
      </c>
      <c r="D56" s="612">
        <f>J7</f>
        <v/>
      </c>
      <c r="E56" s="612">
        <f>K7</f>
        <v/>
      </c>
      <c r="F56" s="31" t="n"/>
    </row>
    <row r="57" ht="16" customHeight="1">
      <c r="A57" s="49" t="inlineStr">
        <is>
          <t xml:space="preserve"> Return over Variable Expenses </t>
        </is>
      </c>
      <c r="B57" s="65" t="n"/>
      <c r="C57" s="612">
        <f>I44</f>
        <v/>
      </c>
      <c r="D57" s="612">
        <f>J44</f>
        <v/>
      </c>
      <c r="E57" s="612">
        <f>K44</f>
        <v/>
      </c>
      <c r="F57" s="31" t="n"/>
    </row>
    <row r="58" ht="16" customHeight="1" thickBot="1">
      <c r="A58" s="737" t="inlineStr">
        <is>
          <t xml:space="preserve"> Return over Total Expenses </t>
        </is>
      </c>
      <c r="B58" s="66" t="n"/>
      <c r="C58" s="463">
        <f>I45</f>
        <v/>
      </c>
      <c r="D58" s="463">
        <f>J45</f>
        <v/>
      </c>
      <c r="E58" s="463">
        <f>K45</f>
        <v/>
      </c>
      <c r="F58" s="750" t="n"/>
    </row>
    <row r="59" ht="16" customHeight="1">
      <c r="A59" s="22" t="inlineStr">
        <is>
          <t>*Farm managers need to determine their own actual labour and management costs and add it to total expenses.</t>
        </is>
      </c>
      <c r="B59" s="24" t="n"/>
      <c r="C59" s="24" t="n"/>
      <c r="D59" s="24" t="n"/>
      <c r="E59" s="24" t="n"/>
    </row>
    <row r="60">
      <c r="A60" s="24" t="n"/>
      <c r="B60" s="24" t="n"/>
      <c r="C60" s="24" t="n"/>
      <c r="D60" s="24" t="n"/>
      <c r="E60" s="24" t="n"/>
    </row>
    <row r="61">
      <c r="A61" s="24" t="n"/>
      <c r="B61" s="24" t="n"/>
      <c r="C61" s="419" t="n"/>
      <c r="D61" s="419" t="n"/>
      <c r="E61" s="419" t="n"/>
    </row>
    <row r="62" ht="16" customHeight="1">
      <c r="A62" s="57" t="n"/>
      <c r="B62" s="56" t="n"/>
      <c r="C62" s="56" t="n"/>
      <c r="D62" s="56" t="n"/>
      <c r="E62" s="56" t="n"/>
    </row>
    <row r="63" ht="16" customHeight="1">
      <c r="A63" s="57" t="n"/>
      <c r="B63" s="56" t="n"/>
      <c r="C63" s="56" t="n"/>
      <c r="D63" s="56" t="n"/>
      <c r="E63" s="56" t="n"/>
    </row>
  </sheetData>
  <mergeCells count="2">
    <mergeCell ref="F3:F58"/>
    <mergeCell ref="I4:K4"/>
  </mergeCell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K63"/>
  <sheetViews>
    <sheetView showGridLines="0" topLeftCell="A55" workbookViewId="0">
      <selection activeCell="F3" sqref="F3:F58"/>
    </sheetView>
  </sheetViews>
  <sheetFormatPr baseColWidth="8" defaultRowHeight="16" customHeight="1"/>
  <cols>
    <col width="55.7109375" customWidth="1" min="1" max="1"/>
    <col width="13.85546875" bestFit="1" customWidth="1" min="2" max="2"/>
    <col width="11.42578125" customWidth="1" min="3" max="3"/>
    <col width="13.85546875" bestFit="1" customWidth="1" min="4" max="5"/>
    <col width="50.140625" customWidth="1" min="6" max="6"/>
    <col width="13.42578125" customWidth="1" min="9" max="11"/>
  </cols>
  <sheetData>
    <row r="1" ht="16" customHeight="1">
      <c r="A1" s="23" t="inlineStr">
        <is>
          <t>OATS PRODUCTION COSTS ($/ACRE) FOR SASKATCHEWAN 2026</t>
        </is>
      </c>
      <c r="B1" s="23" t="n"/>
      <c r="C1" s="23" t="n"/>
      <c r="D1" s="23" t="n"/>
      <c r="E1" s="23" t="n"/>
      <c r="F1" s="24" t="n"/>
    </row>
    <row r="2" ht="16" customHeight="1" thickBot="1">
      <c r="A2" s="25" t="n"/>
      <c r="B2" s="25" t="n"/>
      <c r="C2" s="25" t="inlineStr">
        <is>
          <t>Economics</t>
        </is>
      </c>
      <c r="D2" s="25" t="n"/>
      <c r="E2" s="25" t="n"/>
      <c r="F2" s="25" t="inlineStr">
        <is>
          <t>Agronomics</t>
        </is>
      </c>
    </row>
    <row r="3" ht="16" customHeight="1" thickBot="1">
      <c r="A3" s="278" t="inlineStr">
        <is>
          <t>CROP</t>
        </is>
      </c>
      <c r="B3" s="279" t="n"/>
      <c r="C3" s="280" t="n"/>
      <c r="D3" s="675" t="inlineStr">
        <is>
          <t>OATS</t>
        </is>
      </c>
      <c r="E3" s="282" t="n"/>
      <c r="F3" s="676" t="inlineStr">
        <is>
          <t>Seeding: A seed rate of 127 lb./ac. is used in the black soil zone, 106 lb./ac. in the dark brown soil zone and 85 lb./ac. in the brown soil zone. Seeding rates are based on a target plant stand in plants per square foot. This guide assumes a producer will seed to achieve 20 plants per square meter in the brown soil zone, 25 plants per square meter in the dark brown soil zone and 30 plants per square meter in the black soil zone, 37.5 thousand kernel weight and 85 percent emergence.                                                                     Fertilization: Fertility costs are based on nutrient removal rates given the targeted crop yield. These are: 89 lb./ac. N and 36 lb./ac. P2O5 for the black soil zone, 58 lb./ac. N and 24 lb./ac. P2O5 for the dark brown soil zone and 33 lb./ac. N and 13 lb./ac. P2O5 for the brown soil zone. Producers are encouraged to use their own rates based on soil tests.
Crop Rotation: Diverse crop rotations are recommended to help reduce disease pressure as well as suppress weeds to manage herbicide resistance. Oats are a very competitive crop that will suppress growth of spring germinating weeds. Wild oats cannot be controlled in tame oats with herbicides.
Crop Protection                                                           Insect control: Cutworms, aphids, thrips, mites, grasshoppers, armyworm, slugs and wireworms might require control. Seed treatments are available for wireworm control.
Disease control: Leaf diseases may result in yield losses in oat crops. Fungicide application can be used to protect leaf tissue from disease infection. This estimation includes the cost of a single fungicide application in the black soil zone. Fungicide application should be based on disease pressure in the field. 
Weed control: Because oats are very competitive, growers can often reduce the number of herbicide applications from those listed. Some buyers of milling oats do not allow use of pre-harvest glyphosate in their contracts. Herbicide costs are based on the following herbicide timings. Please refer to general assumptions for details. Please insert herbicide application window.</t>
        </is>
      </c>
    </row>
    <row r="4" ht="16" customHeight="1" thickBot="1">
      <c r="A4" s="26" t="n"/>
      <c r="B4" s="677" t="inlineStr">
        <is>
          <t>My Farm</t>
        </is>
      </c>
      <c r="C4" s="211" t="n"/>
      <c r="D4" s="678" t="inlineStr">
        <is>
          <t>80th percentile</t>
        </is>
      </c>
      <c r="E4" s="212" t="n"/>
      <c r="F4" s="31" t="n"/>
      <c r="I4" s="679" t="inlineStr">
        <is>
          <t xml:space="preserve">Average Yield </t>
        </is>
      </c>
      <c r="J4" s="680" t="n"/>
      <c r="K4" s="681" t="n"/>
    </row>
    <row r="5" ht="16" customHeight="1" thickBot="1">
      <c r="A5" s="682" t="inlineStr">
        <is>
          <t>Soil Zone</t>
        </is>
      </c>
      <c r="B5" s="261" t="n"/>
      <c r="C5" s="683" t="inlineStr">
        <is>
          <t>Brown</t>
        </is>
      </c>
      <c r="D5" s="684" t="inlineStr">
        <is>
          <t>Dark Brown</t>
        </is>
      </c>
      <c r="E5" s="685" t="inlineStr">
        <is>
          <t>Black</t>
        </is>
      </c>
      <c r="F5" s="31" t="n"/>
      <c r="I5" s="686" t="inlineStr">
        <is>
          <t>Brown</t>
        </is>
      </c>
      <c r="J5" s="687" t="inlineStr">
        <is>
          <t>Dark Brown</t>
        </is>
      </c>
      <c r="K5" s="688" t="inlineStr">
        <is>
          <t>Black</t>
        </is>
      </c>
    </row>
    <row r="6" ht="16" customHeight="1">
      <c r="A6" s="73" t="inlineStr">
        <is>
          <t>REVENUE PER ACRE</t>
        </is>
      </c>
      <c r="B6" s="72" t="n"/>
      <c r="C6" s="350" t="n"/>
      <c r="D6" s="345" t="n"/>
      <c r="E6" s="346" t="n"/>
      <c r="F6" s="31" t="n"/>
      <c r="I6" s="31" t="n"/>
      <c r="J6" s="31" t="n"/>
      <c r="K6" s="31" t="n"/>
    </row>
    <row r="7" ht="16" customHeight="1">
      <c r="A7" s="689" t="inlineStr">
        <is>
          <t>Estimated Yield (bu./ac) (A)</t>
        </is>
      </c>
      <c r="B7" s="68" t="n"/>
      <c r="C7" s="755" t="n">
        <v>47.98308</v>
      </c>
      <c r="D7" s="691" t="n">
        <v>84.94302</v>
      </c>
      <c r="E7" s="692" t="n">
        <v>130.33242</v>
      </c>
      <c r="F7" s="31" t="n"/>
      <c r="G7" s="37" t="n"/>
      <c r="I7" s="693" t="n">
        <v>26.58522</v>
      </c>
      <c r="J7" s="693" t="n">
        <v>56.41254</v>
      </c>
      <c r="K7" s="693" t="n">
        <v>97.26300000000001</v>
      </c>
    </row>
    <row r="8" ht="16" customHeight="1" thickBot="1">
      <c r="A8" s="689" t="inlineStr">
        <is>
          <t>Est. On Farm Market Price $/bu. (B)</t>
        </is>
      </c>
      <c r="B8" s="69" t="n"/>
      <c r="C8" s="802" t="n">
        <v>3.791266977165006</v>
      </c>
      <c r="D8" s="791" t="n">
        <v>3.791266977165006</v>
      </c>
      <c r="E8" s="792" t="n">
        <v>3.791266977165006</v>
      </c>
      <c r="F8" s="31" t="n"/>
      <c r="G8" s="37" t="n"/>
      <c r="I8" s="427">
        <f>C8</f>
        <v/>
      </c>
      <c r="J8" s="427">
        <f>D8</f>
        <v/>
      </c>
      <c r="K8" s="427">
        <f>E8</f>
        <v/>
      </c>
    </row>
    <row r="9" ht="16" customHeight="1" thickBot="1">
      <c r="A9" s="70" t="inlineStr">
        <is>
          <t>Estimated Gross Revenue/ac (AxB)=C</t>
        </is>
      </c>
      <c r="B9" s="71">
        <f>ROUND((B8*B7),2)</f>
        <v/>
      </c>
      <c r="C9" s="471">
        <f>ROUND((C8*C7),2)</f>
        <v/>
      </c>
      <c r="D9" s="472">
        <f>ROUND((D8*D7),2)</f>
        <v/>
      </c>
      <c r="E9" s="473">
        <f>ROUND((E8*E7),2)</f>
        <v/>
      </c>
      <c r="F9" s="31" t="n"/>
      <c r="G9" s="37" t="n"/>
      <c r="I9" s="474">
        <f>ROUND((I8*I7),2)</f>
        <v/>
      </c>
      <c r="J9" s="474">
        <f>ROUND((J8*J7),2)</f>
        <v/>
      </c>
      <c r="K9" s="474">
        <f>ROUND((K8*K7),2)</f>
        <v/>
      </c>
    </row>
    <row r="10">
      <c r="A10" s="67" t="n"/>
      <c r="B10" s="72" t="n"/>
      <c r="C10" s="697" t="n"/>
      <c r="D10" s="347" t="n"/>
      <c r="E10" s="699" t="n"/>
      <c r="F10" s="31" t="n"/>
      <c r="G10" s="37" t="n"/>
      <c r="I10" s="464" t="n"/>
      <c r="J10" s="464" t="n"/>
      <c r="K10" s="464" t="n"/>
    </row>
    <row r="11" ht="16" customHeight="1">
      <c r="A11" s="73" t="inlineStr">
        <is>
          <t>EXPENSES PER ACRE</t>
        </is>
      </c>
      <c r="B11" s="72" t="n"/>
      <c r="C11" s="296" t="n"/>
      <c r="D11" s="700" t="n"/>
      <c r="E11" s="701" t="n"/>
      <c r="F11" s="31" t="n"/>
      <c r="G11" s="37" t="n"/>
      <c r="I11" s="464" t="n"/>
      <c r="J11" s="464" t="n"/>
      <c r="K11" s="464" t="n"/>
    </row>
    <row r="12" ht="16" customHeight="1">
      <c r="A12" s="73" t="inlineStr">
        <is>
          <t>Variable Expenses/acre</t>
        </is>
      </c>
      <c r="B12" s="72" t="n"/>
      <c r="C12" s="296" t="n"/>
      <c r="D12" s="700" t="n"/>
      <c r="E12" s="702" t="n"/>
      <c r="F12" s="31" t="n"/>
      <c r="G12" s="37" t="n"/>
      <c r="I12" s="464" t="n"/>
      <c r="J12" s="464" t="n"/>
      <c r="K12" s="464" t="n"/>
    </row>
    <row r="13" ht="16" customHeight="1">
      <c r="A13" s="689" t="inlineStr">
        <is>
          <t>Seed</t>
        </is>
      </c>
      <c r="B13" s="74" t="n"/>
      <c r="C13" s="715" t="n">
        <v>22.015</v>
      </c>
      <c r="D13" s="716" t="n">
        <v>27.454</v>
      </c>
      <c r="E13" s="717" t="n">
        <v>32.893</v>
      </c>
      <c r="F13" s="31" t="n"/>
      <c r="G13" s="37" t="n"/>
      <c r="I13" s="427">
        <f>C13</f>
        <v/>
      </c>
      <c r="J13" s="427">
        <f>D13</f>
        <v/>
      </c>
      <c r="K13" s="427">
        <f>E13</f>
        <v/>
      </c>
    </row>
    <row r="14" ht="16" customHeight="1">
      <c r="A14" s="689" t="inlineStr">
        <is>
          <t xml:space="preserve">                     -Seed Treatments/Inoculants</t>
        </is>
      </c>
      <c r="B14" s="74" t="n"/>
      <c r="C14" s="715" t="n">
        <v>6.324145430958624</v>
      </c>
      <c r="D14" s="716" t="n">
        <v>7.886581360960166</v>
      </c>
      <c r="E14" s="717" t="n">
        <v>9.449017290961709</v>
      </c>
      <c r="F14" s="31" t="n"/>
      <c r="G14" s="37" t="n"/>
      <c r="I14" s="427">
        <f>C14</f>
        <v/>
      </c>
      <c r="J14" s="427">
        <f>D14</f>
        <v/>
      </c>
      <c r="K14" s="427">
        <f>E14</f>
        <v/>
      </c>
    </row>
    <row r="15" ht="16" customHeight="1">
      <c r="A15" s="689" t="inlineStr">
        <is>
          <t>Fertilizer -Nitrogen (N)</t>
        </is>
      </c>
      <c r="B15" s="74" t="n"/>
      <c r="C15" s="793" t="n">
        <v>27.01609721455062</v>
      </c>
      <c r="D15" s="794" t="n">
        <v>47.48283752860412</v>
      </c>
      <c r="E15" s="795" t="n">
        <v>72.86159551803046</v>
      </c>
      <c r="F15" s="31" t="n"/>
      <c r="G15" s="37" t="n"/>
      <c r="I15" s="427">
        <f>C15</f>
        <v/>
      </c>
      <c r="J15" s="427">
        <f>D15</f>
        <v/>
      </c>
      <c r="K15" s="427">
        <f>E15</f>
        <v/>
      </c>
    </row>
    <row r="16" ht="16" customHeight="1">
      <c r="A16" s="689" t="inlineStr">
        <is>
          <t xml:space="preserve">               -Phosphorous (P2O5)</t>
        </is>
      </c>
      <c r="B16" s="74" t="n"/>
      <c r="C16" s="793" t="n">
        <v>12.49457508088061</v>
      </c>
      <c r="D16" s="794" t="n">
        <v>23.06690784162575</v>
      </c>
      <c r="E16" s="795" t="n">
        <v>34.60036176243862</v>
      </c>
      <c r="F16" s="31" t="n"/>
      <c r="G16" s="37" t="n"/>
      <c r="I16" s="427">
        <f>C16</f>
        <v/>
      </c>
      <c r="J16" s="427">
        <f>D16</f>
        <v/>
      </c>
      <c r="K16" s="427">
        <f>E16</f>
        <v/>
      </c>
    </row>
    <row r="17" ht="16" customHeight="1">
      <c r="A17" s="689" t="inlineStr">
        <is>
          <t xml:space="preserve">               -Sulphur and Other</t>
        </is>
      </c>
      <c r="B17" s="75" t="n"/>
      <c r="C17" s="796" t="n">
        <v>0</v>
      </c>
      <c r="D17" s="797" t="n">
        <v>0</v>
      </c>
      <c r="E17" s="798" t="n">
        <v>0</v>
      </c>
      <c r="F17" s="31" t="n"/>
      <c r="G17" s="37" t="n"/>
      <c r="I17" s="427">
        <f>C17</f>
        <v/>
      </c>
      <c r="J17" s="427">
        <f>D17</f>
        <v/>
      </c>
      <c r="K17" s="427">
        <f>E17</f>
        <v/>
      </c>
    </row>
    <row r="18" ht="16" customHeight="1">
      <c r="A18" s="689" t="inlineStr">
        <is>
          <t>Plant Protection -Herbicides</t>
        </is>
      </c>
      <c r="B18" s="74" t="n"/>
      <c r="C18" s="715" t="n">
        <v>30.76</v>
      </c>
      <c r="D18" s="716" t="n">
        <v>30.76</v>
      </c>
      <c r="E18" s="717" t="n">
        <v>30.76</v>
      </c>
      <c r="F18" s="31" t="n"/>
      <c r="G18" s="37" t="n"/>
      <c r="I18" s="427">
        <f>C18</f>
        <v/>
      </c>
      <c r="J18" s="427">
        <f>D18</f>
        <v/>
      </c>
      <c r="K18" s="427">
        <f>E18</f>
        <v/>
      </c>
    </row>
    <row r="19" ht="16" customHeight="1">
      <c r="A19" s="689" t="inlineStr">
        <is>
          <t xml:space="preserve">                     -Insecticides</t>
        </is>
      </c>
      <c r="B19" s="74" t="n"/>
      <c r="C19" s="770" t="n">
        <v>0</v>
      </c>
      <c r="D19" s="771" t="n">
        <v>0</v>
      </c>
      <c r="E19" s="772" t="n">
        <v>0</v>
      </c>
      <c r="F19" s="31" t="n"/>
      <c r="G19" s="37" t="n"/>
      <c r="I19" s="427">
        <f>C19</f>
        <v/>
      </c>
      <c r="J19" s="427">
        <f>D19</f>
        <v/>
      </c>
      <c r="K19" s="427">
        <f>E19</f>
        <v/>
      </c>
    </row>
    <row r="20" ht="16" customHeight="1">
      <c r="A20" s="689" t="inlineStr">
        <is>
          <t xml:space="preserve">                     -Fungicides</t>
        </is>
      </c>
      <c r="B20" s="74" t="n"/>
      <c r="C20" s="715" t="n">
        <v>0</v>
      </c>
      <c r="D20" s="716" t="n">
        <v>0</v>
      </c>
      <c r="E20" s="717" t="n">
        <v>15.99</v>
      </c>
      <c r="F20" s="31" t="n"/>
      <c r="G20" s="37" t="n"/>
      <c r="I20" s="427">
        <f>C20</f>
        <v/>
      </c>
      <c r="J20" s="427">
        <f>D20</f>
        <v/>
      </c>
      <c r="K20" s="427">
        <f>E20</f>
        <v/>
      </c>
    </row>
    <row r="21" ht="16" customHeight="1">
      <c r="A21" s="689" t="inlineStr">
        <is>
          <t>Machinery Operating -Fuel</t>
        </is>
      </c>
      <c r="B21" s="75" t="n"/>
      <c r="C21" s="770" t="n">
        <v>16.06179708666667</v>
      </c>
      <c r="D21" s="771" t="n">
        <v>20.07724635833333</v>
      </c>
      <c r="E21" s="772" t="n">
        <v>25.09655794791667</v>
      </c>
      <c r="F21" s="31" t="n"/>
      <c r="G21" s="37" t="n"/>
      <c r="I21" s="427">
        <f>C21</f>
        <v/>
      </c>
      <c r="J21" s="427">
        <f>D21</f>
        <v/>
      </c>
      <c r="K21" s="427">
        <f>E21</f>
        <v/>
      </c>
    </row>
    <row r="22" ht="16" customHeight="1">
      <c r="A22" s="689" t="inlineStr">
        <is>
          <t xml:space="preserve">                                  -Repair</t>
        </is>
      </c>
      <c r="B22" s="74" t="n"/>
      <c r="C22" s="715" t="n">
        <v>11.56328841689489</v>
      </c>
      <c r="D22" s="716" t="n">
        <v>13.03949744699887</v>
      </c>
      <c r="E22" s="717" t="n">
        <v>14.75790247400408</v>
      </c>
      <c r="F22" s="31" t="n"/>
      <c r="G22" s="37" t="n"/>
      <c r="I22" s="427">
        <f>C22</f>
        <v/>
      </c>
      <c r="J22" s="427">
        <f>D22</f>
        <v/>
      </c>
      <c r="K22" s="427">
        <f>E22</f>
        <v/>
      </c>
    </row>
    <row r="23" ht="16" customHeight="1">
      <c r="A23" s="689" t="inlineStr">
        <is>
          <t>Custom Work and Hired Labour</t>
        </is>
      </c>
      <c r="B23" s="74" t="n"/>
      <c r="C23" s="715" t="n">
        <v>22</v>
      </c>
      <c r="D23" s="716" t="n">
        <v>22.25</v>
      </c>
      <c r="E23" s="717" t="n">
        <v>22.25</v>
      </c>
      <c r="F23" s="31" t="n"/>
      <c r="G23" s="37" t="n"/>
      <c r="I23" s="427">
        <f>C23</f>
        <v/>
      </c>
      <c r="J23" s="427">
        <f>D23</f>
        <v/>
      </c>
      <c r="K23" s="427">
        <f>E23</f>
        <v/>
      </c>
    </row>
    <row r="24" ht="16" customHeight="1">
      <c r="A24" s="689" t="inlineStr">
        <is>
          <t>Crop Insurance Premium</t>
        </is>
      </c>
      <c r="B24" s="77" t="n"/>
      <c r="C24" s="715" t="n">
        <v>9.087170144482528</v>
      </c>
      <c r="D24" s="716" t="n">
        <v>9.939882436083995</v>
      </c>
      <c r="E24" s="717" t="n">
        <v>8.417861997561534</v>
      </c>
      <c r="F24" s="31" t="n"/>
      <c r="G24" s="37" t="n"/>
      <c r="I24" s="427">
        <f>C24</f>
        <v/>
      </c>
      <c r="J24" s="427">
        <f>D24</f>
        <v/>
      </c>
      <c r="K24" s="427">
        <f>E24</f>
        <v/>
      </c>
    </row>
    <row r="25" ht="16" customHeight="1">
      <c r="A25" s="689" t="inlineStr">
        <is>
          <t>Hail Insurance Premium</t>
        </is>
      </c>
      <c r="B25" s="77" t="n"/>
      <c r="C25" s="715" t="n">
        <v>14</v>
      </c>
      <c r="D25" s="716" t="n">
        <v>14</v>
      </c>
      <c r="E25" s="717" t="n">
        <v>14</v>
      </c>
      <c r="F25" s="31" t="n"/>
      <c r="G25" s="37" t="n"/>
      <c r="I25" s="427">
        <f>C25</f>
        <v/>
      </c>
      <c r="J25" s="427">
        <f>D25</f>
        <v/>
      </c>
      <c r="K25" s="427">
        <f>E25</f>
        <v/>
      </c>
    </row>
    <row r="26" ht="16" customHeight="1">
      <c r="A26" s="689" t="inlineStr">
        <is>
          <t>Utilities and Miscellaneous</t>
        </is>
      </c>
      <c r="B26" s="75" t="n"/>
      <c r="C26" s="715" t="n">
        <v>4.395974170413743</v>
      </c>
      <c r="D26" s="716" t="n">
        <v>5.768849384517721</v>
      </c>
      <c r="E26" s="717" t="n">
        <v>6.656364674443524</v>
      </c>
      <c r="F26" s="31" t="n"/>
      <c r="G26" s="37" t="n"/>
      <c r="I26" s="427">
        <f>C26</f>
        <v/>
      </c>
      <c r="J26" s="427">
        <f>D26</f>
        <v/>
      </c>
      <c r="K26" s="427">
        <f>E26</f>
        <v/>
      </c>
    </row>
    <row r="27" ht="16" customHeight="1" thickBot="1">
      <c r="A27" s="689" t="inlineStr">
        <is>
          <t>Interest on Variable Expenses</t>
        </is>
      </c>
      <c r="B27" s="74" t="n"/>
      <c r="C27" s="718" t="n">
        <v>6.653856733698233</v>
      </c>
      <c r="D27" s="719" t="n">
        <v>8.396017049256425</v>
      </c>
      <c r="E27" s="720" t="n">
        <v>10.89547678839484</v>
      </c>
      <c r="F27" s="31" t="n"/>
      <c r="G27" s="37" t="n"/>
      <c r="I27" s="427">
        <f>C27</f>
        <v/>
      </c>
      <c r="J27" s="427">
        <f>D27</f>
        <v/>
      </c>
      <c r="K27" s="427">
        <f>E27</f>
        <v/>
      </c>
    </row>
    <row r="28" ht="16" customHeight="1" thickBot="1">
      <c r="A28" s="70" t="inlineStr">
        <is>
          <t>Total Variable Expenses (D)</t>
        </is>
      </c>
      <c r="B28" s="78">
        <f>SUM(B13:B27)</f>
        <v/>
      </c>
      <c r="C28" s="423">
        <f>SUM(C13:C27)</f>
        <v/>
      </c>
      <c r="D28" s="430">
        <f>SUM(D13:D27)</f>
        <v/>
      </c>
      <c r="E28" s="431">
        <f>SUM(E13:E27)</f>
        <v/>
      </c>
      <c r="F28" s="31" t="n"/>
      <c r="G28" s="37" t="n"/>
      <c r="I28" s="428">
        <f>SUM(I13:I27)</f>
        <v/>
      </c>
      <c r="J28" s="428">
        <f>SUM(J13:J27)</f>
        <v/>
      </c>
      <c r="K28" s="428">
        <f>SUM(K13:K27)</f>
        <v/>
      </c>
    </row>
    <row r="29">
      <c r="A29" s="67" t="n"/>
      <c r="B29" s="72" t="n"/>
      <c r="C29" s="721" t="n"/>
      <c r="D29" s="700" t="n"/>
      <c r="E29" s="701" t="n"/>
      <c r="F29" s="31" t="n"/>
      <c r="G29" s="37" t="n"/>
      <c r="I29" s="464" t="n"/>
      <c r="J29" s="464" t="n"/>
      <c r="K29" s="464" t="n"/>
    </row>
    <row r="30" ht="16" customHeight="1">
      <c r="A30" s="73" t="inlineStr">
        <is>
          <t>Other Expenses/acre</t>
        </is>
      </c>
      <c r="B30" s="72" t="n"/>
      <c r="C30" s="721" t="n"/>
      <c r="D30" s="700" t="n"/>
      <c r="E30" s="701" t="n"/>
      <c r="F30" s="31" t="n"/>
      <c r="G30" s="37" t="n"/>
      <c r="I30" s="464" t="n"/>
      <c r="J30" s="464" t="n"/>
      <c r="K30" s="464" t="n"/>
    </row>
    <row r="31" ht="16" customHeight="1">
      <c r="A31" s="689" t="inlineStr">
        <is>
          <t>Building Repair</t>
        </is>
      </c>
      <c r="B31" s="722" t="n"/>
      <c r="C31" s="773" t="n">
        <v>0.7445684561908097</v>
      </c>
      <c r="D31" s="774" t="n">
        <v>0.9756414253534748</v>
      </c>
      <c r="E31" s="775" t="n">
        <v>1.335088266273176</v>
      </c>
      <c r="F31" s="31" t="n"/>
      <c r="G31" s="37" t="n"/>
      <c r="I31" s="776">
        <f>C31</f>
        <v/>
      </c>
      <c r="J31" s="776">
        <f>D31</f>
        <v/>
      </c>
      <c r="K31" s="776">
        <f>E31</f>
        <v/>
      </c>
    </row>
    <row r="32" ht="16" customHeight="1">
      <c r="A32" s="689" t="inlineStr">
        <is>
          <t>Property Taxes</t>
        </is>
      </c>
      <c r="B32" s="727" t="n"/>
      <c r="C32" s="777" t="n">
        <v>5.076533574707355</v>
      </c>
      <c r="D32" s="778" t="n">
        <v>6.642698188180902</v>
      </c>
      <c r="E32" s="779" t="n">
        <v>10.0720586349247</v>
      </c>
      <c r="F32" s="31" t="n"/>
      <c r="G32" s="37" t="n"/>
      <c r="I32" s="776">
        <f>C32</f>
        <v/>
      </c>
      <c r="J32" s="776">
        <f>D32</f>
        <v/>
      </c>
      <c r="K32" s="776">
        <f>E32</f>
        <v/>
      </c>
    </row>
    <row r="33" ht="16" customHeight="1">
      <c r="A33" s="689" t="inlineStr">
        <is>
          <t>Business Overhead</t>
        </is>
      </c>
      <c r="B33" s="731" t="n"/>
      <c r="C33" s="773" t="n">
        <v>2.607474711623781</v>
      </c>
      <c r="D33" s="774" t="n">
        <v>3.986427684117127</v>
      </c>
      <c r="E33" s="775" t="n">
        <v>4.675904170363799</v>
      </c>
      <c r="F33" s="31" t="n"/>
      <c r="G33" s="37" t="n"/>
      <c r="I33" s="776">
        <f>C33</f>
        <v/>
      </c>
      <c r="J33" s="776">
        <f>D33</f>
        <v/>
      </c>
      <c r="K33" s="776">
        <f>E33</f>
        <v/>
      </c>
    </row>
    <row r="34" ht="16" customHeight="1">
      <c r="A34" s="689" t="inlineStr">
        <is>
          <t>Machinery Depreciation</t>
        </is>
      </c>
      <c r="B34" s="732" t="n"/>
      <c r="C34" s="777" t="n">
        <v>47.58737925414436</v>
      </c>
      <c r="D34" s="778" t="n">
        <v>53.66254718572614</v>
      </c>
      <c r="E34" s="779" t="n">
        <v>60.73444479686295</v>
      </c>
      <c r="F34" s="31" t="n"/>
      <c r="G34" s="37" t="n"/>
      <c r="I34" s="776">
        <f>C34</f>
        <v/>
      </c>
      <c r="J34" s="776">
        <f>D34</f>
        <v/>
      </c>
      <c r="K34" s="776">
        <f>E34</f>
        <v/>
      </c>
    </row>
    <row r="35" ht="16" customHeight="1">
      <c r="A35" s="689" t="inlineStr">
        <is>
          <t>Building Depreciation</t>
        </is>
      </c>
      <c r="B35" s="722" t="n"/>
      <c r="C35" s="773" t="n">
        <v>1.45</v>
      </c>
      <c r="D35" s="774" t="n">
        <v>1.9</v>
      </c>
      <c r="E35" s="775" t="n">
        <v>2.6</v>
      </c>
      <c r="F35" s="31" t="n"/>
      <c r="G35" s="37" t="n"/>
      <c r="I35" s="776">
        <f>C35</f>
        <v/>
      </c>
      <c r="J35" s="776">
        <f>D35</f>
        <v/>
      </c>
      <c r="K35" s="776">
        <f>E35</f>
        <v/>
      </c>
    </row>
    <row r="36" ht="16" customHeight="1">
      <c r="A36" s="689" t="inlineStr">
        <is>
          <t>Machinery Investment</t>
        </is>
      </c>
      <c r="B36" s="732" t="n"/>
      <c r="C36" s="777" t="n">
        <v>30.02007569770789</v>
      </c>
      <c r="D36" s="778" t="n">
        <v>33.85254144893939</v>
      </c>
      <c r="E36" s="779" t="n">
        <v>38.31378526904906</v>
      </c>
      <c r="F36" s="31" t="n"/>
      <c r="G36" s="37" t="n"/>
      <c r="I36" s="776">
        <f>C36</f>
        <v/>
      </c>
      <c r="J36" s="776">
        <f>D36</f>
        <v/>
      </c>
      <c r="K36" s="776">
        <f>E36</f>
        <v/>
      </c>
    </row>
    <row r="37" ht="16" customHeight="1">
      <c r="A37" s="689" t="inlineStr">
        <is>
          <t>Building Investment</t>
        </is>
      </c>
      <c r="B37" s="722" t="n"/>
      <c r="C37" s="773" t="n">
        <v>1.326266666666666</v>
      </c>
      <c r="D37" s="774" t="n">
        <v>1.737866666666666</v>
      </c>
      <c r="E37" s="775" t="n">
        <v>2.378133333333333</v>
      </c>
      <c r="F37" s="31" t="n"/>
      <c r="G37" s="37" t="n"/>
      <c r="I37" s="776">
        <f>C37</f>
        <v/>
      </c>
      <c r="J37" s="776">
        <f>D37</f>
        <v/>
      </c>
      <c r="K37" s="776">
        <f>E37</f>
        <v/>
      </c>
    </row>
    <row r="38" ht="16" customHeight="1" thickBot="1">
      <c r="A38" s="689" t="inlineStr">
        <is>
          <t>Land Investment</t>
        </is>
      </c>
      <c r="B38" s="727" t="n"/>
      <c r="C38" s="777" t="n">
        <v>70.10399999999998</v>
      </c>
      <c r="D38" s="778" t="n">
        <v>80.65649999999999</v>
      </c>
      <c r="E38" s="779" t="n">
        <v>75.38025</v>
      </c>
      <c r="F38" s="31" t="n"/>
      <c r="G38" s="37" t="n"/>
      <c r="I38" s="776">
        <f>C38</f>
        <v/>
      </c>
      <c r="J38" s="776">
        <f>D38</f>
        <v/>
      </c>
      <c r="K38" s="776">
        <f>E38</f>
        <v/>
      </c>
    </row>
    <row r="39" ht="16" customHeight="1" thickBot="1">
      <c r="A39" s="70" t="inlineStr">
        <is>
          <t>Total Other Expenses (E)</t>
        </is>
      </c>
      <c r="B39" s="78">
        <f>SUM(B31:B38)</f>
        <v/>
      </c>
      <c r="C39" s="424">
        <f>SUM(C31:C38)</f>
        <v/>
      </c>
      <c r="D39" s="425">
        <f>SUM(D31:D38)</f>
        <v/>
      </c>
      <c r="E39" s="426">
        <f>SUM(E31:E38)</f>
        <v/>
      </c>
      <c r="F39" s="31" t="n"/>
      <c r="G39" s="37" t="n"/>
      <c r="I39" s="428">
        <f>SUM(I31:I38)</f>
        <v/>
      </c>
      <c r="J39" s="428">
        <f>SUM(J31:J38)</f>
        <v/>
      </c>
      <c r="K39" s="428">
        <f>SUM(K31:K38)</f>
        <v/>
      </c>
    </row>
    <row r="40" ht="16" customHeight="1" thickBot="1">
      <c r="A40" s="764" t="inlineStr">
        <is>
          <t>Labour and Management (F)**</t>
        </is>
      </c>
      <c r="B40" s="41" t="n"/>
      <c r="C40" s="803" t="n"/>
      <c r="D40" s="804" t="n"/>
      <c r="E40" s="805" t="n"/>
      <c r="F40" s="31" t="n"/>
      <c r="G40" s="37" t="n"/>
      <c r="I40" s="464" t="n"/>
      <c r="J40" s="464" t="n"/>
      <c r="K40" s="464" t="n"/>
    </row>
    <row r="41" ht="16" customHeight="1" thickBot="1">
      <c r="A41" s="45" t="inlineStr">
        <is>
          <t xml:space="preserve">Total Expenses (D+E+F)=(G) </t>
        </is>
      </c>
      <c r="B41" s="42">
        <f>B28+B39+B40</f>
        <v/>
      </c>
      <c r="C41" s="442">
        <f>C28+C39+C40</f>
        <v/>
      </c>
      <c r="D41" s="443">
        <f>D28+D39+D40</f>
        <v/>
      </c>
      <c r="E41" s="444">
        <f>E28+E39+E40</f>
        <v/>
      </c>
      <c r="F41" s="31" t="n"/>
      <c r="G41" s="37" t="n"/>
      <c r="I41" s="428">
        <f>I28+I39+I40</f>
        <v/>
      </c>
      <c r="J41" s="428">
        <f>J28+J39+J40</f>
        <v/>
      </c>
      <c r="K41" s="428">
        <f>K28+K39+K40</f>
        <v/>
      </c>
    </row>
    <row r="42" ht="16" customHeight="1" thickBot="1">
      <c r="A42" s="46" t="n"/>
      <c r="B42" s="19" t="n"/>
      <c r="C42" s="445" t="n"/>
      <c r="D42" s="612" t="n"/>
      <c r="E42" s="447" t="n"/>
      <c r="F42" s="31" t="n"/>
      <c r="G42" s="37" t="n"/>
      <c r="I42" s="464" t="n"/>
      <c r="J42" s="464" t="n"/>
      <c r="K42" s="464" t="n"/>
    </row>
    <row r="43" ht="16" customHeight="1">
      <c r="A43" s="47" t="inlineStr">
        <is>
          <t>RETURNS PER ACRE</t>
        </is>
      </c>
      <c r="B43" s="48" t="n"/>
      <c r="C43" s="780" t="n"/>
      <c r="D43" s="781" t="n"/>
      <c r="E43" s="782" t="n"/>
      <c r="F43" s="31" t="n"/>
      <c r="G43" s="37" t="n"/>
      <c r="I43" s="465" t="n"/>
      <c r="J43" s="465" t="n"/>
      <c r="K43" s="466" t="n"/>
    </row>
    <row r="44" ht="16" customHeight="1">
      <c r="A44" s="49" t="inlineStr">
        <is>
          <t xml:space="preserve"> Return over Variable Expenses (C-D) </t>
        </is>
      </c>
      <c r="B44" s="20">
        <f>B9-B28</f>
        <v/>
      </c>
      <c r="C44" s="451">
        <f>C9-C28</f>
        <v/>
      </c>
      <c r="D44" s="452">
        <f>D9-D28</f>
        <v/>
      </c>
      <c r="E44" s="453">
        <f>E9-E28</f>
        <v/>
      </c>
      <c r="F44" s="31" t="n"/>
      <c r="G44" s="37" t="n"/>
      <c r="I44" s="467">
        <f>I9-I28</f>
        <v/>
      </c>
      <c r="J44" s="467">
        <f>J9-J28</f>
        <v/>
      </c>
      <c r="K44" s="453">
        <f>K9-K28</f>
        <v/>
      </c>
    </row>
    <row r="45" ht="16" customHeight="1" thickBot="1">
      <c r="A45" s="737" t="inlineStr">
        <is>
          <t xml:space="preserve"> Return over Total Expenses (C-G)</t>
        </is>
      </c>
      <c r="B45" s="21">
        <f>B9-B41</f>
        <v/>
      </c>
      <c r="C45" s="454">
        <f>C9-C41</f>
        <v/>
      </c>
      <c r="D45" s="455">
        <f>D9-D41</f>
        <v/>
      </c>
      <c r="E45" s="456">
        <f>E9-E41</f>
        <v/>
      </c>
      <c r="F45" s="31" t="n"/>
      <c r="G45" s="37" t="n"/>
      <c r="I45" s="468">
        <f>I9-I41</f>
        <v/>
      </c>
      <c r="J45" s="468">
        <f>J9-J41</f>
        <v/>
      </c>
      <c r="K45" s="456">
        <f>K9-K41</f>
        <v/>
      </c>
    </row>
    <row r="46" ht="16" customHeight="1" thickBot="1">
      <c r="A46" s="32" t="n"/>
      <c r="B46" s="19" t="n"/>
      <c r="C46" s="783" t="n"/>
      <c r="D46" s="784" t="n"/>
      <c r="E46" s="785" t="n"/>
      <c r="F46" s="31" t="n"/>
      <c r="G46" s="37" t="n"/>
      <c r="I46" s="464" t="n"/>
      <c r="J46" s="464" t="n"/>
      <c r="K46" s="464" t="n"/>
    </row>
    <row r="47" ht="16" customHeight="1">
      <c r="A47" s="51" t="inlineStr">
        <is>
          <t>BREAK-EVEN YIELD (bu./ac.)</t>
        </is>
      </c>
      <c r="B47" s="52" t="n"/>
      <c r="C47" s="786" t="n"/>
      <c r="D47" s="781" t="n"/>
      <c r="E47" s="787" t="n"/>
      <c r="F47" s="31" t="n"/>
      <c r="G47" s="37" t="n"/>
      <c r="I47" s="465" t="n"/>
      <c r="J47" s="465" t="n"/>
      <c r="K47" s="466" t="n"/>
    </row>
    <row r="48" ht="16" customHeight="1">
      <c r="A48" s="32" t="inlineStr">
        <is>
          <t>To Cover Variable Expenses</t>
        </is>
      </c>
      <c r="B48" s="20">
        <f>ROUND((B28)/B8,2)</f>
        <v/>
      </c>
      <c r="C48" s="451">
        <f>ROUND((C28)/C8,2)</f>
        <v/>
      </c>
      <c r="D48" s="452">
        <f>ROUND((D28)/D8,2)</f>
        <v/>
      </c>
      <c r="E48" s="453">
        <f>ROUND((E28)/E8,2)</f>
        <v/>
      </c>
      <c r="F48" s="31" t="n"/>
      <c r="G48" s="37" t="n"/>
      <c r="I48" s="467">
        <f>ROUND((I28)/I8,2)</f>
        <v/>
      </c>
      <c r="J48" s="467">
        <f>ROUND((J28)/J8,2)</f>
        <v/>
      </c>
      <c r="K48" s="453">
        <f>ROUND((K28)/K8,2)</f>
        <v/>
      </c>
    </row>
    <row r="49" ht="16" customHeight="1" thickBot="1">
      <c r="A49" s="53" t="inlineStr">
        <is>
          <t>To Cover Total Expenses</t>
        </is>
      </c>
      <c r="B49" s="21">
        <f>ROUND(B41/B8,2)</f>
        <v/>
      </c>
      <c r="C49" s="454">
        <f>ROUND(C41/C8,2)</f>
        <v/>
      </c>
      <c r="D49" s="455">
        <f>ROUND(D41/D8,2)</f>
        <v/>
      </c>
      <c r="E49" s="456">
        <f>ROUND(E41/E8,2)</f>
        <v/>
      </c>
      <c r="F49" s="31" t="n"/>
      <c r="G49" s="37" t="n"/>
      <c r="I49" s="468">
        <f>ROUND(I41/I8,2)</f>
        <v/>
      </c>
      <c r="J49" s="468">
        <f>ROUND(J41/J8,2)</f>
        <v/>
      </c>
      <c r="K49" s="456">
        <f>ROUND(K41/K8,2)</f>
        <v/>
      </c>
    </row>
    <row r="50" ht="16" customHeight="1" thickBot="1">
      <c r="A50" s="32" t="n"/>
      <c r="B50" s="744" t="n"/>
      <c r="C50" s="783" t="n"/>
      <c r="D50" s="784" t="n"/>
      <c r="E50" s="785" t="n"/>
      <c r="F50" s="31" t="n"/>
      <c r="G50" s="37" t="n"/>
      <c r="I50" s="464" t="n"/>
      <c r="J50" s="464" t="n"/>
      <c r="K50" s="464" t="n"/>
    </row>
    <row r="51" ht="16" customHeight="1">
      <c r="A51" s="51" t="inlineStr">
        <is>
          <t>BREAK-EVEN PRICE ($ per bu.)</t>
        </is>
      </c>
      <c r="B51" s="52" t="n"/>
      <c r="C51" s="786" t="n"/>
      <c r="D51" s="781" t="n"/>
      <c r="E51" s="787" t="n"/>
      <c r="F51" s="31" t="n"/>
      <c r="G51" s="37" t="n"/>
      <c r="I51" s="465" t="n"/>
      <c r="J51" s="487" t="n"/>
      <c r="K51" s="465" t="n"/>
    </row>
    <row r="52" ht="16" customHeight="1">
      <c r="A52" s="32" t="inlineStr">
        <is>
          <t>To Cover Variable Expenses</t>
        </is>
      </c>
      <c r="B52" s="20">
        <f>ROUND((B28)/B7,2)</f>
        <v/>
      </c>
      <c r="C52" s="451">
        <f>ROUND((C28)/C7,2)</f>
        <v/>
      </c>
      <c r="D52" s="452">
        <f>ROUND((D28)/D7,2)</f>
        <v/>
      </c>
      <c r="E52" s="453">
        <f>ROUND((E28)/E7,2)</f>
        <v/>
      </c>
      <c r="F52" s="31" t="n"/>
      <c r="G52" s="37" t="n"/>
      <c r="I52" s="467">
        <f>ROUND((I28)/I7,2)</f>
        <v/>
      </c>
      <c r="J52" s="452">
        <f>ROUND((J28)/J7,2)</f>
        <v/>
      </c>
      <c r="K52" s="467">
        <f>ROUND((K28)/K7,2)</f>
        <v/>
      </c>
    </row>
    <row r="53" ht="16" customHeight="1" thickBot="1">
      <c r="A53" s="53" t="inlineStr">
        <is>
          <t>To Cover Total Expenses</t>
        </is>
      </c>
      <c r="B53" s="21">
        <f>ROUND(B41/B7,2)</f>
        <v/>
      </c>
      <c r="C53" s="454">
        <f>ROUND(C41/C7,2)</f>
        <v/>
      </c>
      <c r="D53" s="455">
        <f>ROUND(D41/D7,2)</f>
        <v/>
      </c>
      <c r="E53" s="456">
        <f>ROUND(E41/E7,2)</f>
        <v/>
      </c>
      <c r="F53" s="31" t="n"/>
      <c r="G53" s="37" t="n"/>
      <c r="I53" s="468">
        <f>ROUND(I41/I7,2)</f>
        <v/>
      </c>
      <c r="J53" s="455">
        <f>ROUND(J41/J7,2)</f>
        <v/>
      </c>
      <c r="K53" s="468">
        <f>ROUND(K41/K7,2)</f>
        <v/>
      </c>
    </row>
    <row r="54" ht="16" customHeight="1" thickBot="1">
      <c r="A54" s="55" t="n"/>
      <c r="B54" s="17" t="n"/>
      <c r="C54" s="612" t="n"/>
      <c r="D54" s="612" t="n"/>
      <c r="E54" s="612" t="n"/>
      <c r="F54" s="31" t="n"/>
    </row>
    <row r="55" ht="16" customHeight="1">
      <c r="A55" s="47" t="inlineStr">
        <is>
          <t>YIELD SENSITIVITY (same expenses but average yield)</t>
        </is>
      </c>
      <c r="B55" s="64" t="n"/>
      <c r="C55" s="462" t="n"/>
      <c r="D55" s="462" t="n"/>
      <c r="E55" s="462" t="n"/>
      <c r="F55" s="31" t="n"/>
    </row>
    <row r="56" ht="16" customHeight="1">
      <c r="A56" s="49" t="inlineStr">
        <is>
          <t>Provincial Average Yield (bu./ac)</t>
        </is>
      </c>
      <c r="B56" s="65" t="n"/>
      <c r="C56" s="612">
        <f>I7</f>
        <v/>
      </c>
      <c r="D56" s="612">
        <f>J7</f>
        <v/>
      </c>
      <c r="E56" s="612">
        <f>K7</f>
        <v/>
      </c>
      <c r="F56" s="31" t="n"/>
    </row>
    <row r="57" ht="16" customHeight="1">
      <c r="A57" s="49" t="inlineStr">
        <is>
          <t xml:space="preserve"> Return over Variable Expenses </t>
        </is>
      </c>
      <c r="B57" s="65" t="n"/>
      <c r="C57" s="612">
        <f>I44</f>
        <v/>
      </c>
      <c r="D57" s="612">
        <f>J44</f>
        <v/>
      </c>
      <c r="E57" s="612">
        <f>K44</f>
        <v/>
      </c>
      <c r="F57" s="31" t="n"/>
    </row>
    <row r="58" ht="16" customHeight="1" thickBot="1">
      <c r="A58" s="737" t="inlineStr">
        <is>
          <t xml:space="preserve"> Return over Total Expenses </t>
        </is>
      </c>
      <c r="B58" s="66" t="n"/>
      <c r="C58" s="463">
        <f>I45</f>
        <v/>
      </c>
      <c r="D58" s="463">
        <f>J45</f>
        <v/>
      </c>
      <c r="E58" s="463">
        <f>K45</f>
        <v/>
      </c>
      <c r="F58" s="750" t="n"/>
    </row>
    <row r="59" ht="16" customHeight="1">
      <c r="A59" s="22" t="inlineStr">
        <is>
          <t>*Farm managers need to determine their own actual labour and management costs and add it to total expenses.</t>
        </is>
      </c>
      <c r="B59" s="24" t="n"/>
      <c r="C59" s="24" t="n"/>
      <c r="D59" s="24" t="n"/>
      <c r="E59" s="24" t="n"/>
    </row>
    <row r="60">
      <c r="A60" s="24" t="n"/>
      <c r="B60" s="24" t="n"/>
      <c r="C60" s="24" t="n"/>
      <c r="D60" s="24" t="n"/>
      <c r="E60" s="24" t="n"/>
    </row>
    <row r="61">
      <c r="A61" s="24" t="n"/>
      <c r="B61" s="24" t="n"/>
      <c r="C61" s="419" t="n"/>
      <c r="D61" s="419" t="n"/>
      <c r="E61" s="419" t="n"/>
    </row>
    <row r="62" ht="16" customHeight="1">
      <c r="A62" s="57" t="n"/>
      <c r="B62" s="56" t="n"/>
      <c r="C62" s="56" t="n"/>
      <c r="D62" s="56" t="n"/>
      <c r="E62" s="56" t="n"/>
    </row>
    <row r="63" ht="16" customHeight="1">
      <c r="A63" s="57" t="n"/>
      <c r="B63" s="56" t="n"/>
      <c r="C63" s="56" t="n"/>
      <c r="D63" s="56" t="n"/>
      <c r="E63" s="56" t="n"/>
    </row>
  </sheetData>
  <mergeCells count="2">
    <mergeCell ref="F3:F58"/>
    <mergeCell ref="I4:K4"/>
  </mergeCells>
  <pageMargins left="0.7" right="0.7" top="0.75" bottom="0.75" header="0.3" footer="0.3"/>
  <pageSetup orientation="portrait"/>
</worksheet>
</file>

<file path=xl/worksheets/sheet10.xml><?xml version="1.0" encoding="utf-8"?>
<worksheet xmlns="http://schemas.openxmlformats.org/spreadsheetml/2006/main">
  <sheetPr>
    <outlinePr summaryBelow="1" summaryRight="1"/>
    <pageSetUpPr/>
  </sheetPr>
  <dimension ref="A1:I63"/>
  <sheetViews>
    <sheetView showGridLines="0" topLeftCell="A29" workbookViewId="0">
      <selection activeCell="E3" sqref="E3:E58"/>
    </sheetView>
  </sheetViews>
  <sheetFormatPr baseColWidth="8" defaultRowHeight="16" customHeight="1"/>
  <cols>
    <col width="55.7109375" customWidth="1" min="1" max="1"/>
    <col width="13.85546875" bestFit="1" customWidth="1" min="2" max="2"/>
    <col width="11.42578125" customWidth="1" min="3" max="3"/>
    <col width="13.85546875" bestFit="1" customWidth="1" min="4" max="4"/>
    <col width="49.7109375" customWidth="1" min="5" max="5"/>
    <col width="13.42578125" customWidth="1" min="8" max="9"/>
  </cols>
  <sheetData>
    <row r="1" ht="16" customHeight="1">
      <c r="A1" s="23" t="inlineStr">
        <is>
          <t>DURUM PRODUCTION COSTS ($/ACRE) FOR SASKATCHEWAN 2026</t>
        </is>
      </c>
      <c r="B1" s="23" t="n"/>
      <c r="C1" s="23" t="n"/>
      <c r="D1" s="23" t="n"/>
      <c r="E1" s="24" t="n"/>
    </row>
    <row r="2" ht="16" customHeight="1" thickBot="1">
      <c r="A2" s="25" t="n"/>
      <c r="B2" s="25" t="n"/>
      <c r="C2" s="25" t="inlineStr">
        <is>
          <t>Economics</t>
        </is>
      </c>
      <c r="D2" s="25" t="n"/>
      <c r="E2" s="25" t="inlineStr">
        <is>
          <t>Agronomics</t>
        </is>
      </c>
    </row>
    <row r="3" ht="16" customHeight="1" thickBot="1">
      <c r="A3" s="278" t="inlineStr">
        <is>
          <t>CROP</t>
        </is>
      </c>
      <c r="B3" s="279" t="n"/>
      <c r="C3" s="806" t="inlineStr">
        <is>
          <t>DURUM</t>
        </is>
      </c>
      <c r="D3" s="681" t="n"/>
      <c r="E3" s="676" t="inlineStr">
        <is>
          <t>Seeding: Seeding rates are based on a target plant stand in plants per square foot. This guide assumes a producer will seed to achieve 22 plants per square foot in the dark brown soil zone and 20 in the brown soil zone, with a thousand kernel weight of 42.1 grams and 85 per cent emergence. Durum is recommended in the brown and dark brown soil zones. 
Fertilization: Fertility costs are based on nutrient removal rates given the targeted crop yield. These are: 95 lb./ac. N and 37 lb./ac. P2O5 for the dark brown soil zone and 67 lb./ac. N and 27 lb./ac. P2O5 for the brown soil zone. Producers are encouraged to use their own rates based on soil tests.
Crop Rotation: Diverse crop rotations are recommended to help reduce disease pressure and suppress weed growth. Like all cereals, durum is a relatively competitive crop against weeds. 
Crop Protection                                                        Insect control: Wheat midge, cutworms, aphids, thrips, mite, grasshoppers, armyworms, slugs, wheat stem sawfly and wireworms might require control. Varietal blends with resistance are available if heavy wheat midge pressures are anticipated. Wheat stem sawfly resistant varieties are available. Seed treatments are available for wireworm control. An insecticide application to control wheat midge is assumed, but in practice should be made based on scouting to determine economic risk. No insecticide applications for wheat midge would be required for midge tolerant varieties.
Disease control: Cereal crops can be affected by both leaf diseases and fusarium head blight (FHB). When disease pressure is moderate, a single application at FHB timing can be effective in managing both types of diseases. This estimation includes the cost of a single fungicide application. When disease pressure is high an additional fungicide application for leaf diseases might be required. Fungicide applications should be made based on field history and disease risk during the growing season. 
Weed control: Durum lacks many options for soil-applied herbicides for herbicide layering programs. Herbicide costs are based on the following herbicide timings. Please refer to general assumptions for details. Please insert herbicide application window.</t>
        </is>
      </c>
    </row>
    <row r="4" ht="16" customHeight="1" thickBot="1">
      <c r="A4" s="26" t="n"/>
      <c r="B4" s="677" t="inlineStr">
        <is>
          <t>My Farm</t>
        </is>
      </c>
      <c r="C4" s="807" t="inlineStr">
        <is>
          <t>80th percentile</t>
        </is>
      </c>
      <c r="D4" s="808" t="n"/>
      <c r="E4" s="31" t="n"/>
      <c r="H4" s="809" t="inlineStr">
        <is>
          <t xml:space="preserve">Average Yield </t>
        </is>
      </c>
      <c r="I4" s="810" t="n"/>
    </row>
    <row r="5" ht="16" customHeight="1" thickBot="1">
      <c r="A5" s="682" t="inlineStr">
        <is>
          <t>Soil Zone</t>
        </is>
      </c>
      <c r="B5" s="261" t="n"/>
      <c r="C5" s="683" t="inlineStr">
        <is>
          <t>Brown</t>
        </is>
      </c>
      <c r="D5" s="685" t="inlineStr">
        <is>
          <t>Dark Brown</t>
        </is>
      </c>
      <c r="E5" s="31" t="n"/>
      <c r="H5" s="811" t="inlineStr">
        <is>
          <t>Brown</t>
        </is>
      </c>
      <c r="I5" s="812" t="inlineStr">
        <is>
          <t>Dark Brown</t>
        </is>
      </c>
    </row>
    <row r="6" ht="16" customHeight="1">
      <c r="A6" s="32" t="inlineStr">
        <is>
          <t>REVENUE PER ACRE</t>
        </is>
      </c>
      <c r="B6" s="351" t="n"/>
      <c r="C6" s="317" t="n"/>
      <c r="D6" s="337" t="n"/>
      <c r="E6" s="31" t="n"/>
      <c r="H6" s="332" t="n"/>
      <c r="I6" s="332" t="n"/>
    </row>
    <row r="7" ht="16" customHeight="1">
      <c r="A7" s="689" t="inlineStr">
        <is>
          <t>Estimated Yield (bu./ac) (A)</t>
        </is>
      </c>
      <c r="B7" s="352" t="n"/>
      <c r="C7" s="755" t="n">
        <v>40.896072</v>
      </c>
      <c r="D7" s="813" t="n">
        <v>57.5894258264151</v>
      </c>
      <c r="E7" s="31" t="n"/>
      <c r="F7" s="37" t="n"/>
      <c r="H7" s="693" t="n">
        <v>26.09667819168661</v>
      </c>
      <c r="I7" s="693" t="n">
        <v>43.81267570284143</v>
      </c>
    </row>
    <row r="8" ht="16" customHeight="1" thickBot="1">
      <c r="A8" s="689" t="inlineStr">
        <is>
          <t>Est. On Farm Market Price $/bu. (B)</t>
        </is>
      </c>
      <c r="B8" s="353" t="n"/>
      <c r="C8" s="802" t="n">
        <v>7.835746425720299</v>
      </c>
      <c r="D8" s="792" t="n">
        <v>7.835746425720299</v>
      </c>
      <c r="E8" s="31" t="n"/>
      <c r="F8" s="37" t="n"/>
      <c r="H8" s="427">
        <f>C8</f>
        <v/>
      </c>
      <c r="I8" s="427">
        <f>D8</f>
        <v/>
      </c>
    </row>
    <row r="9" ht="16" customHeight="1" thickBot="1">
      <c r="A9" s="70" t="inlineStr">
        <is>
          <t>Estimated Gross Revenue/ac (AxB)=C</t>
        </is>
      </c>
      <c r="B9" s="488">
        <f>ROUND((B8*B7),2)</f>
        <v/>
      </c>
      <c r="C9" s="471">
        <f>ROUND((C8*C7),2)</f>
        <v/>
      </c>
      <c r="D9" s="473">
        <f>ROUND((D8*D7),2)</f>
        <v/>
      </c>
      <c r="E9" s="31" t="n"/>
      <c r="F9" s="37" t="n"/>
      <c r="H9" s="474">
        <f>ROUND((H8*H7),2)</f>
        <v/>
      </c>
      <c r="I9" s="474">
        <f>ROUND((I8*I7),2)</f>
        <v/>
      </c>
    </row>
    <row r="10">
      <c r="A10" s="67" t="n"/>
      <c r="B10" s="295" t="n"/>
      <c r="C10" s="697" t="n"/>
      <c r="D10" s="814" t="n"/>
      <c r="E10" s="31" t="n"/>
      <c r="F10" s="37" t="n"/>
      <c r="H10" s="464" t="n"/>
      <c r="I10" s="464" t="n"/>
    </row>
    <row r="11" ht="16" customHeight="1">
      <c r="A11" s="73" t="inlineStr">
        <is>
          <t>EXPENSES PER ACRE</t>
        </is>
      </c>
      <c r="B11" s="295" t="n"/>
      <c r="C11" s="296" t="n"/>
      <c r="D11" s="815" t="n"/>
      <c r="E11" s="31" t="n"/>
      <c r="F11" s="37" t="n"/>
      <c r="H11" s="464" t="n"/>
      <c r="I11" s="464" t="n"/>
    </row>
    <row r="12" ht="16" customHeight="1">
      <c r="A12" s="73" t="inlineStr">
        <is>
          <t>Variable Expenses/acre</t>
        </is>
      </c>
      <c r="B12" s="295" t="n"/>
      <c r="C12" s="296" t="n"/>
      <c r="D12" s="815" t="n"/>
      <c r="E12" s="31" t="n"/>
      <c r="F12" s="37" t="n"/>
      <c r="H12" s="464" t="n"/>
      <c r="I12" s="464" t="n"/>
    </row>
    <row r="13" ht="16" customHeight="1">
      <c r="A13" s="689" t="inlineStr">
        <is>
          <t>Seed</t>
        </is>
      </c>
      <c r="B13" s="300" t="n"/>
      <c r="C13" s="715" t="n">
        <v>22.42</v>
      </c>
      <c r="D13" s="717" t="n">
        <v>24.544</v>
      </c>
      <c r="E13" s="31" t="n"/>
      <c r="F13" s="37" t="n"/>
      <c r="H13" s="427">
        <f>C13</f>
        <v/>
      </c>
      <c r="I13" s="427">
        <f>D13</f>
        <v/>
      </c>
    </row>
    <row r="14" ht="16" customHeight="1">
      <c r="A14" s="689" t="inlineStr">
        <is>
          <t xml:space="preserve">                     -Seed Treatments/Inoculants</t>
        </is>
      </c>
      <c r="B14" s="300" t="n"/>
      <c r="C14" s="715" t="n">
        <v>7.068162540483168</v>
      </c>
      <c r="D14" s="717" t="n">
        <v>7.737777939055258</v>
      </c>
      <c r="E14" s="31" t="n"/>
      <c r="F14" s="37" t="n"/>
      <c r="H14" s="427">
        <f>C14</f>
        <v/>
      </c>
      <c r="I14" s="427">
        <f>D14</f>
        <v/>
      </c>
    </row>
    <row r="15" ht="16" customHeight="1">
      <c r="A15" s="689" t="inlineStr">
        <is>
          <t>Fertilizer -Nitrogen (N)</t>
        </is>
      </c>
      <c r="B15" s="300" t="n"/>
      <c r="C15" s="793" t="n">
        <v>54.85086404166338</v>
      </c>
      <c r="D15" s="795" t="n">
        <v>77.77361319340329</v>
      </c>
      <c r="E15" s="31" t="n"/>
      <c r="F15" s="37" t="n"/>
      <c r="H15" s="427">
        <f>C15</f>
        <v/>
      </c>
      <c r="I15" s="427">
        <f>D15</f>
        <v/>
      </c>
    </row>
    <row r="16" ht="16" customHeight="1">
      <c r="A16" s="689" t="inlineStr">
        <is>
          <t xml:space="preserve">               -Phosphorous (P2O5)</t>
        </is>
      </c>
      <c r="B16" s="300" t="n"/>
      <c r="C16" s="793" t="n">
        <v>25.95027132182896</v>
      </c>
      <c r="D16" s="795" t="n">
        <v>35.56148292250636</v>
      </c>
      <c r="E16" s="31" t="n"/>
      <c r="F16" s="37" t="n"/>
      <c r="H16" s="427">
        <f>C16</f>
        <v/>
      </c>
      <c r="I16" s="427">
        <f>D16</f>
        <v/>
      </c>
    </row>
    <row r="17" ht="16" customHeight="1">
      <c r="A17" s="689" t="inlineStr">
        <is>
          <t xml:space="preserve">               -Sulphur and Other</t>
        </is>
      </c>
      <c r="B17" s="301" t="n"/>
      <c r="C17" s="796" t="n">
        <v>0</v>
      </c>
      <c r="D17" s="798" t="n">
        <v>0</v>
      </c>
      <c r="E17" s="31" t="n"/>
      <c r="F17" s="37" t="n"/>
      <c r="H17" s="427">
        <f>C17</f>
        <v/>
      </c>
      <c r="I17" s="427">
        <f>D17</f>
        <v/>
      </c>
    </row>
    <row r="18" ht="16" customHeight="1">
      <c r="A18" s="689" t="inlineStr">
        <is>
          <t>Plant Protection -Herbicides</t>
        </is>
      </c>
      <c r="B18" s="300" t="n"/>
      <c r="C18" s="715" t="n">
        <v>21.72</v>
      </c>
      <c r="D18" s="717" t="n">
        <v>21.72</v>
      </c>
      <c r="E18" s="31" t="n"/>
      <c r="F18" s="37" t="n"/>
      <c r="H18" s="427">
        <f>C18</f>
        <v/>
      </c>
      <c r="I18" s="427">
        <f>D18</f>
        <v/>
      </c>
    </row>
    <row r="19" ht="16" customHeight="1">
      <c r="A19" s="689" t="inlineStr">
        <is>
          <t xml:space="preserve">                     -Insecticides</t>
        </is>
      </c>
      <c r="B19" s="300" t="n"/>
      <c r="C19" s="715" t="n">
        <v>6.476190476190477</v>
      </c>
      <c r="D19" s="717" t="n">
        <v>6.476190476190477</v>
      </c>
      <c r="E19" s="31" t="n"/>
      <c r="F19" s="37" t="n"/>
      <c r="H19" s="427">
        <f>C19</f>
        <v/>
      </c>
      <c r="I19" s="427">
        <f>D19</f>
        <v/>
      </c>
    </row>
    <row r="20" ht="16" customHeight="1">
      <c r="A20" s="689" t="inlineStr">
        <is>
          <t xml:space="preserve">                     -Fungicides</t>
        </is>
      </c>
      <c r="B20" s="300" t="n"/>
      <c r="C20" s="715" t="n">
        <v>15.99</v>
      </c>
      <c r="D20" s="717" t="n">
        <v>15.99</v>
      </c>
      <c r="E20" s="31" t="n"/>
      <c r="F20" s="37" t="n"/>
      <c r="H20" s="427">
        <f>C20</f>
        <v/>
      </c>
      <c r="I20" s="427">
        <f>D20</f>
        <v/>
      </c>
    </row>
    <row r="21" ht="16" customHeight="1">
      <c r="A21" s="689" t="inlineStr">
        <is>
          <t>Machinery Operating -Fuel</t>
        </is>
      </c>
      <c r="B21" s="301" t="n"/>
      <c r="C21" s="770" t="n">
        <v>16.06179708666667</v>
      </c>
      <c r="D21" s="717" t="n">
        <v>20.07724635833333</v>
      </c>
      <c r="E21" s="31" t="n"/>
      <c r="F21" s="37" t="n"/>
      <c r="H21" s="427">
        <f>C21</f>
        <v/>
      </c>
      <c r="I21" s="427">
        <f>D21</f>
        <v/>
      </c>
    </row>
    <row r="22" ht="16" customHeight="1">
      <c r="A22" s="689" t="inlineStr">
        <is>
          <t xml:space="preserve">                                  -Repair</t>
        </is>
      </c>
      <c r="B22" s="300" t="n"/>
      <c r="C22" s="715" t="n">
        <v>11.56328841689489</v>
      </c>
      <c r="D22" s="717" t="n">
        <v>13.03949744699887</v>
      </c>
      <c r="E22" s="31" t="n"/>
      <c r="F22" s="37" t="n"/>
      <c r="H22" s="427">
        <f>C22</f>
        <v/>
      </c>
      <c r="I22" s="427">
        <f>D22</f>
        <v/>
      </c>
    </row>
    <row r="23" ht="16" customHeight="1">
      <c r="A23" s="689" t="inlineStr">
        <is>
          <t>Custom Work and Hired Labour</t>
        </is>
      </c>
      <c r="B23" s="300" t="n"/>
      <c r="C23" s="715" t="n">
        <v>23.5</v>
      </c>
      <c r="D23" s="717" t="n">
        <v>23.25</v>
      </c>
      <c r="E23" s="31" t="n"/>
      <c r="F23" s="37" t="n"/>
      <c r="H23" s="427">
        <f>C23</f>
        <v/>
      </c>
      <c r="I23" s="427">
        <f>D23</f>
        <v/>
      </c>
    </row>
    <row r="24" ht="16" customHeight="1">
      <c r="A24" s="689" t="inlineStr">
        <is>
          <t>Crop Insurance Premium</t>
        </is>
      </c>
      <c r="B24" s="302" t="n"/>
      <c r="C24" s="715" t="n">
        <v>9.70464495454849</v>
      </c>
      <c r="D24" s="717" t="n">
        <v>10.58061822691055</v>
      </c>
      <c r="E24" s="31" t="n"/>
      <c r="F24" s="37" t="n"/>
      <c r="H24" s="427">
        <f>C24</f>
        <v/>
      </c>
      <c r="I24" s="427">
        <f>D24</f>
        <v/>
      </c>
    </row>
    <row r="25" ht="16" customHeight="1">
      <c r="A25" s="689" t="inlineStr">
        <is>
          <t>Hail Insurance Premium</t>
        </is>
      </c>
      <c r="B25" s="302" t="n"/>
      <c r="C25" s="715" t="n">
        <v>14</v>
      </c>
      <c r="D25" s="717" t="n">
        <v>14</v>
      </c>
      <c r="E25" s="31" t="n"/>
      <c r="F25" s="37" t="n"/>
      <c r="H25" s="427">
        <f>C25</f>
        <v/>
      </c>
      <c r="I25" s="427">
        <f>D25</f>
        <v/>
      </c>
    </row>
    <row r="26" ht="16" customHeight="1">
      <c r="A26" s="689" t="inlineStr">
        <is>
          <t>Utilities and Miscellaneous</t>
        </is>
      </c>
      <c r="B26" s="301" t="n"/>
      <c r="C26" s="715" t="n">
        <v>4.395974170413743</v>
      </c>
      <c r="D26" s="717" t="n">
        <v>5.768849384517721</v>
      </c>
      <c r="E26" s="31" t="n"/>
      <c r="F26" s="37" t="n"/>
      <c r="H26" s="427">
        <f>C26</f>
        <v/>
      </c>
      <c r="I26" s="427">
        <f>D26</f>
        <v/>
      </c>
    </row>
    <row r="27" ht="16" customHeight="1" thickBot="1">
      <c r="A27" s="689" t="inlineStr">
        <is>
          <t>Interest on Variable Expenses</t>
        </is>
      </c>
      <c r="B27" s="300" t="n"/>
      <c r="C27" s="718" t="n">
        <v>8.849485175262386</v>
      </c>
      <c r="D27" s="720" t="n">
        <v>10.47086324922775</v>
      </c>
      <c r="E27" s="31" t="n"/>
      <c r="F27" s="37" t="n"/>
      <c r="H27" s="427">
        <f>C27</f>
        <v/>
      </c>
      <c r="I27" s="427">
        <f>D27</f>
        <v/>
      </c>
    </row>
    <row r="28" ht="16" customHeight="1" thickBot="1">
      <c r="A28" s="70" t="inlineStr">
        <is>
          <t>Total Variable Expenses (D)</t>
        </is>
      </c>
      <c r="B28" s="424">
        <f>SUM(B13:B27)</f>
        <v/>
      </c>
      <c r="C28" s="423">
        <f>SUM(C13:C27)</f>
        <v/>
      </c>
      <c r="D28" s="431">
        <f>SUM(D13:D27)</f>
        <v/>
      </c>
      <c r="E28" s="31" t="n"/>
      <c r="F28" s="37" t="n"/>
      <c r="H28" s="428">
        <f>SUM(H13:H27)</f>
        <v/>
      </c>
      <c r="I28" s="428">
        <f>SUM(I13:I27)</f>
        <v/>
      </c>
    </row>
    <row r="29">
      <c r="A29" s="67" t="n"/>
      <c r="B29" s="295" t="n"/>
      <c r="C29" s="721" t="n"/>
      <c r="D29" s="815" t="n"/>
      <c r="E29" s="31" t="n"/>
      <c r="F29" s="37" t="n"/>
      <c r="H29" s="464" t="n"/>
      <c r="I29" s="464" t="n"/>
    </row>
    <row r="30" ht="16" customHeight="1">
      <c r="A30" s="73" t="inlineStr">
        <is>
          <t>Other Expenses/acre</t>
        </is>
      </c>
      <c r="B30" s="295" t="n"/>
      <c r="C30" s="721" t="n"/>
      <c r="D30" s="815" t="n"/>
      <c r="E30" s="31" t="n"/>
      <c r="F30" s="37" t="n"/>
      <c r="H30" s="464" t="n"/>
      <c r="I30" s="464" t="n"/>
    </row>
    <row r="31" ht="16" customHeight="1">
      <c r="A31" s="689" t="inlineStr">
        <is>
          <t>Building Repair</t>
        </is>
      </c>
      <c r="B31" s="762" t="n"/>
      <c r="C31" s="773" t="n">
        <v>0.7445684561908097</v>
      </c>
      <c r="D31" s="775" t="n">
        <v>0.9756414253534748</v>
      </c>
      <c r="E31" s="31" t="n"/>
      <c r="F31" s="37" t="n"/>
      <c r="H31" s="776">
        <f>C31</f>
        <v/>
      </c>
      <c r="I31" s="776">
        <f>D31</f>
        <v/>
      </c>
    </row>
    <row r="32" ht="16" customHeight="1">
      <c r="A32" s="689" t="inlineStr">
        <is>
          <t>Property Taxes</t>
        </is>
      </c>
      <c r="B32" s="763" t="n"/>
      <c r="C32" s="777" t="n">
        <v>5.076533574707355</v>
      </c>
      <c r="D32" s="779" t="n">
        <v>6.642698188180902</v>
      </c>
      <c r="E32" s="31" t="n"/>
      <c r="F32" s="37" t="n"/>
      <c r="H32" s="776">
        <f>C32</f>
        <v/>
      </c>
      <c r="I32" s="776">
        <f>D32</f>
        <v/>
      </c>
    </row>
    <row r="33" ht="16" customHeight="1">
      <c r="A33" s="689" t="inlineStr">
        <is>
          <t>Business Overhead</t>
        </is>
      </c>
      <c r="B33" s="762" t="n"/>
      <c r="C33" s="773" t="n">
        <v>2.607474711623781</v>
      </c>
      <c r="D33" s="775" t="n">
        <v>3.986427684117127</v>
      </c>
      <c r="E33" s="31" t="n"/>
      <c r="F33" s="37" t="n"/>
      <c r="H33" s="776">
        <f>C33</f>
        <v/>
      </c>
      <c r="I33" s="776">
        <f>D33</f>
        <v/>
      </c>
    </row>
    <row r="34" ht="16" customHeight="1">
      <c r="A34" s="689" t="inlineStr">
        <is>
          <t>Machinery Depreciation</t>
        </is>
      </c>
      <c r="B34" s="763" t="n"/>
      <c r="C34" s="777" t="n">
        <v>47.58737925414436</v>
      </c>
      <c r="D34" s="779" t="n">
        <v>53.66254718572614</v>
      </c>
      <c r="E34" s="31" t="n"/>
      <c r="F34" s="37" t="n"/>
      <c r="H34" s="776">
        <f>C34</f>
        <v/>
      </c>
      <c r="I34" s="776">
        <f>D34</f>
        <v/>
      </c>
    </row>
    <row r="35" ht="16" customHeight="1">
      <c r="A35" s="689" t="inlineStr">
        <is>
          <t>Building Depreciation</t>
        </is>
      </c>
      <c r="B35" s="762" t="n"/>
      <c r="C35" s="773" t="n">
        <v>1.45</v>
      </c>
      <c r="D35" s="775" t="n">
        <v>1.9</v>
      </c>
      <c r="E35" s="31" t="n"/>
      <c r="F35" s="37" t="n"/>
      <c r="H35" s="776">
        <f>C35</f>
        <v/>
      </c>
      <c r="I35" s="776">
        <f>D35</f>
        <v/>
      </c>
    </row>
    <row r="36" ht="16" customHeight="1">
      <c r="A36" s="689" t="inlineStr">
        <is>
          <t>Machinery Investment</t>
        </is>
      </c>
      <c r="B36" s="763" t="n"/>
      <c r="C36" s="777" t="n">
        <v>30.02007569770789</v>
      </c>
      <c r="D36" s="779" t="n">
        <v>33.85254144893939</v>
      </c>
      <c r="E36" s="31" t="n"/>
      <c r="F36" s="37" t="n"/>
      <c r="H36" s="776">
        <f>C36</f>
        <v/>
      </c>
      <c r="I36" s="776">
        <f>D36</f>
        <v/>
      </c>
    </row>
    <row r="37" ht="16" customHeight="1">
      <c r="A37" s="689" t="inlineStr">
        <is>
          <t>Building Investment</t>
        </is>
      </c>
      <c r="B37" s="762" t="n"/>
      <c r="C37" s="773" t="n">
        <v>1.326266666666666</v>
      </c>
      <c r="D37" s="775" t="n">
        <v>1.737866666666666</v>
      </c>
      <c r="E37" s="31" t="n"/>
      <c r="F37" s="37" t="n"/>
      <c r="H37" s="776">
        <f>C37</f>
        <v/>
      </c>
      <c r="I37" s="776">
        <f>D37</f>
        <v/>
      </c>
    </row>
    <row r="38" ht="16" customHeight="1" thickBot="1">
      <c r="A38" s="689" t="inlineStr">
        <is>
          <t>Land Investment</t>
        </is>
      </c>
      <c r="B38" s="763" t="n"/>
      <c r="C38" s="777" t="n">
        <v>70.10399999999998</v>
      </c>
      <c r="D38" s="779" t="n">
        <v>80.65649999999999</v>
      </c>
      <c r="E38" s="31" t="n"/>
      <c r="F38" s="37" t="n"/>
      <c r="H38" s="776">
        <f>C38</f>
        <v/>
      </c>
      <c r="I38" s="776">
        <f>D38</f>
        <v/>
      </c>
    </row>
    <row r="39" ht="16" customHeight="1" thickBot="1">
      <c r="A39" s="70" t="inlineStr">
        <is>
          <t>Total Other Expenses (E)</t>
        </is>
      </c>
      <c r="B39" s="424">
        <f>SUM(B31:B38)</f>
        <v/>
      </c>
      <c r="C39" s="424">
        <f>SUM(C31:C38)</f>
        <v/>
      </c>
      <c r="D39" s="426">
        <f>SUM(D31:D38)</f>
        <v/>
      </c>
      <c r="E39" s="31" t="n"/>
      <c r="F39" s="37" t="n"/>
      <c r="H39" s="428">
        <f>SUM(H31:H38)</f>
        <v/>
      </c>
      <c r="I39" s="428">
        <f>SUM(I31:I38)</f>
        <v/>
      </c>
    </row>
    <row r="40" ht="16" customHeight="1" thickBot="1">
      <c r="A40" s="764" t="inlineStr">
        <is>
          <t>Labour and Management (F)*</t>
        </is>
      </c>
      <c r="B40" s="492" t="n"/>
      <c r="C40" s="803" t="n"/>
      <c r="D40" s="816" t="n"/>
      <c r="E40" s="31" t="n"/>
      <c r="F40" s="37" t="n"/>
      <c r="H40" s="464" t="n"/>
      <c r="I40" s="464" t="n"/>
    </row>
    <row r="41" ht="16" customHeight="1" thickBot="1">
      <c r="A41" s="45" t="inlineStr">
        <is>
          <t xml:space="preserve">Total Expenses (D+E+F)=(G) </t>
        </is>
      </c>
      <c r="B41" s="442">
        <f>B28+B39+B40</f>
        <v/>
      </c>
      <c r="C41" s="442">
        <f>C28+C39+C40</f>
        <v/>
      </c>
      <c r="D41" s="444">
        <f>D28+D39+D40</f>
        <v/>
      </c>
      <c r="E41" s="31" t="n"/>
      <c r="F41" s="37" t="n"/>
      <c r="H41" s="428">
        <f>H28+H39+H40</f>
        <v/>
      </c>
      <c r="I41" s="428">
        <f>I28+I39+I40</f>
        <v/>
      </c>
    </row>
    <row r="42" ht="16" customHeight="1" thickBot="1">
      <c r="A42" s="46" t="n"/>
      <c r="B42" s="445" t="n"/>
      <c r="C42" s="445" t="n"/>
      <c r="D42" s="447" t="n"/>
      <c r="E42" s="31" t="n"/>
      <c r="F42" s="37" t="n"/>
      <c r="H42" s="464" t="n"/>
      <c r="I42" s="464" t="n"/>
    </row>
    <row r="43" ht="16" customHeight="1">
      <c r="A43" s="47" t="inlineStr">
        <is>
          <t>RETURNS PER ACRE</t>
        </is>
      </c>
      <c r="B43" s="493" t="n"/>
      <c r="C43" s="780" t="n"/>
      <c r="D43" s="817" t="n"/>
      <c r="E43" s="31" t="n"/>
      <c r="F43" s="37" t="n"/>
      <c r="H43" s="465" t="n"/>
      <c r="I43" s="466" t="n"/>
    </row>
    <row r="44" ht="16" customHeight="1">
      <c r="A44" s="49" t="inlineStr">
        <is>
          <t xml:space="preserve"> Return over Variable Expenses (C-D) </t>
        </is>
      </c>
      <c r="B44" s="451">
        <f>B9-B28</f>
        <v/>
      </c>
      <c r="C44" s="451">
        <f>C9-C28</f>
        <v/>
      </c>
      <c r="D44" s="453">
        <f>D9-D28</f>
        <v/>
      </c>
      <c r="E44" s="31" t="n"/>
      <c r="F44" s="37" t="n"/>
      <c r="H44" s="467">
        <f>H9-H28</f>
        <v/>
      </c>
      <c r="I44" s="453">
        <f>I9-I28</f>
        <v/>
      </c>
    </row>
    <row r="45" ht="16" customHeight="1" thickBot="1">
      <c r="A45" s="737" t="inlineStr">
        <is>
          <t xml:space="preserve"> Return over Total Expenses (C-G)</t>
        </is>
      </c>
      <c r="B45" s="454">
        <f>B9-B41</f>
        <v/>
      </c>
      <c r="C45" s="454">
        <f>C9-C41</f>
        <v/>
      </c>
      <c r="D45" s="456">
        <f>D9-D41</f>
        <v/>
      </c>
      <c r="E45" s="31" t="n"/>
      <c r="F45" s="37" t="n"/>
      <c r="H45" s="468">
        <f>H9-H41</f>
        <v/>
      </c>
      <c r="I45" s="456">
        <f>I9-I41</f>
        <v/>
      </c>
    </row>
    <row r="46" ht="16" customHeight="1" thickBot="1">
      <c r="A46" s="32" t="n"/>
      <c r="B46" s="445" t="n"/>
      <c r="C46" s="783" t="n"/>
      <c r="D46" s="818" t="n"/>
      <c r="E46" s="31" t="n"/>
      <c r="F46" s="37" t="n"/>
      <c r="H46" s="464" t="n"/>
      <c r="I46" s="464" t="n"/>
    </row>
    <row r="47" ht="16" customHeight="1">
      <c r="A47" s="51" t="inlineStr">
        <is>
          <t>BREAK-EVEN YIELD (bu./ac.)</t>
        </is>
      </c>
      <c r="B47" s="494" t="n"/>
      <c r="C47" s="786" t="n"/>
      <c r="D47" s="817" t="n"/>
      <c r="E47" s="31" t="n"/>
      <c r="F47" s="37" t="n"/>
      <c r="H47" s="465" t="n"/>
      <c r="I47" s="465" t="n"/>
    </row>
    <row r="48" ht="16" customHeight="1">
      <c r="A48" s="32" t="inlineStr">
        <is>
          <t>To Cover Variable Expenses</t>
        </is>
      </c>
      <c r="B48" s="451">
        <f>ROUND((B28)/B8,2)</f>
        <v/>
      </c>
      <c r="C48" s="451">
        <f>ROUND((C28)/C8,2)</f>
        <v/>
      </c>
      <c r="D48" s="453">
        <f>ROUND((D28)/D8,2)</f>
        <v/>
      </c>
      <c r="E48" s="31" t="n"/>
      <c r="F48" s="37" t="n"/>
      <c r="H48" s="496">
        <f>C48</f>
        <v/>
      </c>
      <c r="I48" s="496">
        <f>D48</f>
        <v/>
      </c>
    </row>
    <row r="49" ht="16" customHeight="1" thickBot="1">
      <c r="A49" s="53" t="inlineStr">
        <is>
          <t>To Cover Total Expenses</t>
        </is>
      </c>
      <c r="B49" s="454">
        <f>ROUND(B41/B8,2)</f>
        <v/>
      </c>
      <c r="C49" s="454">
        <f>ROUND(C41/C8,2)</f>
        <v/>
      </c>
      <c r="D49" s="456">
        <f>ROUND(D41/D8,2)</f>
        <v/>
      </c>
      <c r="E49" s="31" t="n"/>
      <c r="F49" s="37" t="n"/>
      <c r="H49" s="497">
        <f>C49</f>
        <v/>
      </c>
      <c r="I49" s="497">
        <f>D49</f>
        <v/>
      </c>
    </row>
    <row r="50" ht="16" customHeight="1" thickBot="1">
      <c r="A50" s="32" t="n"/>
      <c r="B50" s="819" t="n"/>
      <c r="C50" s="783" t="n"/>
      <c r="D50" s="818" t="n"/>
      <c r="E50" s="31" t="n"/>
      <c r="F50" s="37" t="n"/>
      <c r="H50" s="464" t="n"/>
      <c r="I50" s="464" t="n"/>
    </row>
    <row r="51" ht="16" customHeight="1">
      <c r="A51" s="51" t="inlineStr">
        <is>
          <t>BREAK-EVEN PRICE ($ per bu.)</t>
        </is>
      </c>
      <c r="B51" s="494" t="n"/>
      <c r="C51" s="786" t="n"/>
      <c r="D51" s="817" t="n"/>
      <c r="E51" s="31" t="n"/>
      <c r="F51" s="37" t="n"/>
      <c r="H51" s="465" t="n"/>
      <c r="I51" s="466" t="n"/>
    </row>
    <row r="52" ht="16" customHeight="1">
      <c r="A52" s="32" t="inlineStr">
        <is>
          <t>To Cover Variable Expenses</t>
        </is>
      </c>
      <c r="B52" s="451">
        <f>ROUND((B28)/B7,2)</f>
        <v/>
      </c>
      <c r="C52" s="451">
        <f>ROUND((C28)/C7,2)</f>
        <v/>
      </c>
      <c r="D52" s="453">
        <f>ROUND((D28)/D7,2)</f>
        <v/>
      </c>
      <c r="E52" s="31" t="n"/>
      <c r="F52" s="37" t="n"/>
      <c r="H52" s="467">
        <f>ROUND((H28)/H7,2)</f>
        <v/>
      </c>
      <c r="I52" s="453">
        <f>ROUND((I28)/I7,2)</f>
        <v/>
      </c>
    </row>
    <row r="53" ht="16" customHeight="1" thickBot="1">
      <c r="A53" s="53" t="inlineStr">
        <is>
          <t>To Cover Total Expenses</t>
        </is>
      </c>
      <c r="B53" s="454">
        <f>ROUND(B41/B7,2)</f>
        <v/>
      </c>
      <c r="C53" s="454">
        <f>ROUND(C41/C7,2)</f>
        <v/>
      </c>
      <c r="D53" s="456">
        <f>ROUND(D41/D7,2)</f>
        <v/>
      </c>
      <c r="E53" s="31" t="n"/>
      <c r="F53" s="37" t="n"/>
      <c r="H53" s="468">
        <f>ROUND(H41/H7,2)</f>
        <v/>
      </c>
      <c r="I53" s="456">
        <f>ROUND(I41/I7,2)</f>
        <v/>
      </c>
    </row>
    <row r="54" ht="16" customHeight="1" thickBot="1">
      <c r="A54" s="55" t="n"/>
      <c r="B54" s="315" t="n"/>
      <c r="C54" s="612" t="n"/>
      <c r="D54" s="612" t="n"/>
      <c r="E54" s="31" t="n"/>
    </row>
    <row r="55" ht="16" customHeight="1">
      <c r="A55" s="47" t="inlineStr">
        <is>
          <t>YIELD SENSITIVITY (same expenses but average yield)</t>
        </is>
      </c>
      <c r="B55" s="326" t="n"/>
      <c r="C55" s="462" t="n"/>
      <c r="D55" s="462" t="n"/>
      <c r="E55" s="31" t="n"/>
    </row>
    <row r="56" ht="16" customHeight="1">
      <c r="A56" s="49" t="inlineStr">
        <is>
          <t>Provincial Average Yield (bu./ac)</t>
        </is>
      </c>
      <c r="B56" s="327" t="n"/>
      <c r="C56" s="612">
        <f>H7</f>
        <v/>
      </c>
      <c r="D56" s="612">
        <f>I7</f>
        <v/>
      </c>
      <c r="E56" s="31" t="n"/>
    </row>
    <row r="57" ht="16" customHeight="1">
      <c r="A57" s="49" t="inlineStr">
        <is>
          <t xml:space="preserve"> Return over Variable Expenses </t>
        </is>
      </c>
      <c r="B57" s="327" t="n"/>
      <c r="C57" s="612">
        <f>H44</f>
        <v/>
      </c>
      <c r="D57" s="612">
        <f>I44</f>
        <v/>
      </c>
      <c r="E57" s="31" t="n"/>
    </row>
    <row r="58" ht="16" customHeight="1" thickBot="1">
      <c r="A58" s="737" t="inlineStr">
        <is>
          <t xml:space="preserve"> Return over Total Expenses </t>
        </is>
      </c>
      <c r="B58" s="328" t="n"/>
      <c r="C58" s="463">
        <f>H45</f>
        <v/>
      </c>
      <c r="D58" s="463">
        <f>I45</f>
        <v/>
      </c>
      <c r="E58" s="750" t="n"/>
    </row>
    <row r="59" ht="16" customHeight="1">
      <c r="A59" s="22" t="inlineStr">
        <is>
          <t>*Farm managers need to determine their own actual labour and management costs and add it to total expenses.</t>
        </is>
      </c>
      <c r="B59" s="24" t="n"/>
      <c r="C59" s="24" t="n"/>
      <c r="D59" s="24" t="n"/>
    </row>
    <row r="60">
      <c r="A60" s="24" t="n"/>
      <c r="B60" s="24" t="n"/>
      <c r="C60" s="24" t="n"/>
      <c r="D60" s="24" t="n"/>
    </row>
    <row r="61">
      <c r="A61" s="24" t="n"/>
      <c r="B61" s="24" t="n"/>
      <c r="C61" s="419" t="n"/>
      <c r="D61" s="419" t="n"/>
    </row>
    <row r="62" ht="16" customHeight="1">
      <c r="A62" s="57" t="n"/>
      <c r="B62" s="56" t="n"/>
      <c r="C62" s="429" t="n"/>
      <c r="D62" s="429" t="n"/>
    </row>
    <row r="63" ht="16" customHeight="1">
      <c r="A63" s="57" t="n"/>
      <c r="B63" s="56" t="n"/>
      <c r="C63" s="56" t="n"/>
      <c r="D63" s="56" t="n"/>
    </row>
  </sheetData>
  <mergeCells count="4">
    <mergeCell ref="C3:D3"/>
    <mergeCell ref="E3:E58"/>
    <mergeCell ref="H4:I4"/>
    <mergeCell ref="C4:D4"/>
  </mergeCells>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K63"/>
  <sheetViews>
    <sheetView showGridLines="0" topLeftCell="A23" workbookViewId="0">
      <selection activeCell="D32" sqref="D32"/>
    </sheetView>
  </sheetViews>
  <sheetFormatPr baseColWidth="8" defaultRowHeight="16" customHeight="1"/>
  <cols>
    <col width="55.7109375" customWidth="1" min="1" max="1"/>
    <col width="13.85546875" bestFit="1" customWidth="1" min="2" max="2"/>
    <col width="11.42578125" customWidth="1" min="3" max="3"/>
    <col width="13.85546875" bestFit="1" customWidth="1" min="4" max="5"/>
    <col width="50" customWidth="1" min="6" max="6"/>
    <col width="13.42578125" customWidth="1" min="9" max="11"/>
  </cols>
  <sheetData>
    <row r="1" ht="16" customHeight="1">
      <c r="A1" s="23" t="inlineStr">
        <is>
          <t>HARD RED SPRING WHEAT PRODUCTION COSTS ($/ACRE) FOR SASKATCHEWAN 2026</t>
        </is>
      </c>
      <c r="B1" s="23" t="n"/>
      <c r="C1" s="23" t="n"/>
      <c r="D1" s="23" t="n"/>
      <c r="E1" s="23" t="n"/>
      <c r="F1" s="24" t="n"/>
    </row>
    <row r="2" ht="16" customHeight="1" thickBot="1">
      <c r="A2" s="25" t="n"/>
      <c r="B2" s="25" t="n"/>
      <c r="C2" s="25" t="inlineStr">
        <is>
          <t>Economics</t>
        </is>
      </c>
      <c r="D2" s="25" t="n"/>
      <c r="E2" s="25" t="n"/>
      <c r="F2" s="25" t="inlineStr">
        <is>
          <t>Agronomics</t>
        </is>
      </c>
    </row>
    <row r="3" ht="16" customHeight="1" thickBot="1">
      <c r="A3" s="278" t="inlineStr">
        <is>
          <t>CROP</t>
        </is>
      </c>
      <c r="B3" s="279" t="n"/>
      <c r="C3" s="280" t="n"/>
      <c r="D3" s="675" t="inlineStr">
        <is>
          <t>HARD RED SPRING WHEAT</t>
        </is>
      </c>
      <c r="E3" s="282" t="n"/>
      <c r="F3" s="676" t="inlineStr">
        <is>
          <t xml:space="preserve">Seeding: Seeding rates are based on a target plant stand in plants per square foot. This guide assumes a producer will seed to achieve 25 plants per square foot in the black soil zone, 22 in the dark brown soil zone and 20 in the brown soil zone, with a thousand kernel weight of 34.5 grams and 85 per cent emergence.
Fertilization: Fertility costs are based on nutrient removal rates given the target yield. These are: 110 lb./ac. N and 43 lb./ac. P2O5 for the black soil zone, 91 lb./ac. N and 36 lb./ac. P2O5 for the dark brown soil zone and 73 lb./ac. N and 29 lb./ac. P2O5 for the brown soil zone. Producers are encouraged to use their own rates based on soil tests.
Crop Rotation: Rotation plays an important role in the suppression of weed growth. A break between cereal crops will help reduce disease pressure by allowing infested crop residue to decompose. 
Crop Protection                                                             Insect control: Wheat midge, cutworms, aphids, thrips, mites, grasshoppers, armyworms, slugs, wheat stem sawfly and wireworms might require control. An insecticide application to control wheat midge is assumed, but in practice should be made based on scouting to determine economic risk. No insecticide application for wheat midge would be required for midge tolerant varieties. Please refer to the Guide to Crop Protection available at saskatchewan.ca/crops for registered pest control products for specific pests.
Disease control: Cereal crops can be affected by both leaf diseases and fusarium head blight (FHB). When disease pressure is moderate, a single application at FHB timing can be effective in managing both types of diseases. This estimation includes the cost of a single fungicide application. When disease pressure is high, an additional fungicide application for leaf diseases may be required. Fungicide applications should be made based on field history and disease risk during the growing season. 
Weed control: Spring wheat has many herbicide options to choose from. Herbicide costs are based on the following herbicide timings. Please refer to general assumptions for details. Please insert herbicide application window.
</t>
        </is>
      </c>
    </row>
    <row r="4" ht="16" customHeight="1" thickBot="1">
      <c r="A4" s="26" t="n"/>
      <c r="B4" s="677" t="inlineStr">
        <is>
          <t>My Farm</t>
        </is>
      </c>
      <c r="C4" s="211" t="n"/>
      <c r="D4" s="678" t="inlineStr">
        <is>
          <t>80th percentile</t>
        </is>
      </c>
      <c r="E4" s="212" t="n"/>
      <c r="F4" s="31" t="n"/>
      <c r="I4" s="679" t="inlineStr">
        <is>
          <t xml:space="preserve">Average Yield </t>
        </is>
      </c>
      <c r="J4" s="680" t="n"/>
      <c r="K4" s="681" t="n"/>
    </row>
    <row r="5" ht="16" customHeight="1" thickBot="1">
      <c r="A5" s="682" t="inlineStr">
        <is>
          <t>Soil Zone</t>
        </is>
      </c>
      <c r="B5" s="261" t="n"/>
      <c r="C5" s="683" t="inlineStr">
        <is>
          <t>Brown</t>
        </is>
      </c>
      <c r="D5" s="684" t="inlineStr">
        <is>
          <t>Dark Brown</t>
        </is>
      </c>
      <c r="E5" s="685" t="inlineStr">
        <is>
          <t>Black</t>
        </is>
      </c>
      <c r="F5" s="31" t="n"/>
      <c r="I5" s="686" t="inlineStr">
        <is>
          <t>Brown</t>
        </is>
      </c>
      <c r="J5" s="687" t="inlineStr">
        <is>
          <t>Dark Brown</t>
        </is>
      </c>
      <c r="K5" s="688" t="inlineStr">
        <is>
          <t>Black</t>
        </is>
      </c>
    </row>
    <row r="6" ht="16" customHeight="1">
      <c r="A6" s="51" t="inlineStr">
        <is>
          <t>REVENUE PER ACRE</t>
        </is>
      </c>
      <c r="B6" s="48" t="n"/>
      <c r="C6" s="317" t="n"/>
      <c r="D6" s="336" t="n"/>
      <c r="E6" s="337" t="n"/>
      <c r="F6" s="31" t="n"/>
      <c r="I6" s="332" t="n"/>
      <c r="J6" s="332" t="n"/>
      <c r="K6" s="332" t="n"/>
    </row>
    <row r="7" ht="16" customHeight="1">
      <c r="A7" s="689" t="inlineStr">
        <is>
          <t>Estimated Yield (bu./ac) (A)</t>
        </is>
      </c>
      <c r="B7" s="68" t="n"/>
      <c r="C7" s="820" t="n">
        <v>43.98574035537074</v>
      </c>
      <c r="D7" s="691" t="n">
        <v>54.895536</v>
      </c>
      <c r="E7" s="692" t="n">
        <v>66.83733599999999</v>
      </c>
      <c r="F7" s="31" t="n"/>
      <c r="G7" s="37" t="n"/>
      <c r="I7" s="693" t="n">
        <v>30.14849382637861</v>
      </c>
      <c r="J7" s="693" t="n">
        <v>41.65314248331624</v>
      </c>
      <c r="K7" s="693" t="n">
        <v>53.84752908391572</v>
      </c>
    </row>
    <row r="8" ht="16" customHeight="1" thickBot="1">
      <c r="A8" s="689" t="inlineStr">
        <is>
          <t>Est. On Farm Market Price $/bu. (B)</t>
        </is>
      </c>
      <c r="B8" s="97" t="n"/>
      <c r="C8" s="802" t="n">
        <v>7</v>
      </c>
      <c r="D8" s="791" t="n">
        <v>7</v>
      </c>
      <c r="E8" s="792" t="n">
        <v>7</v>
      </c>
      <c r="F8" s="31" t="n"/>
      <c r="G8" s="37" t="n"/>
      <c r="I8" s="427">
        <f>C8</f>
        <v/>
      </c>
      <c r="J8" s="427">
        <f>D8</f>
        <v/>
      </c>
      <c r="K8" s="427">
        <f>E8</f>
        <v/>
      </c>
    </row>
    <row r="9" ht="16" customHeight="1" thickBot="1">
      <c r="A9" s="70" t="inlineStr">
        <is>
          <t>Estimated Gross Revenue/ac (AxB)=C</t>
        </is>
      </c>
      <c r="B9" s="71">
        <f>ROUND((B8*B7),2)</f>
        <v/>
      </c>
      <c r="C9" s="471">
        <f>ROUND((C8*C7),2)</f>
        <v/>
      </c>
      <c r="D9" s="498">
        <f>ROUND((D8*D7),2)</f>
        <v/>
      </c>
      <c r="E9" s="499">
        <f>ROUND((E8*E7),2)</f>
        <v/>
      </c>
      <c r="F9" s="31" t="n"/>
      <c r="G9" s="37" t="n"/>
      <c r="I9" s="474">
        <f>ROUND((I8*I7),2)</f>
        <v/>
      </c>
      <c r="J9" s="474">
        <f>ROUND((J8*J7),2)</f>
        <v/>
      </c>
      <c r="K9" s="474">
        <f>ROUND((K8*K7),2)</f>
        <v/>
      </c>
    </row>
    <row r="10">
      <c r="A10" s="67" t="n"/>
      <c r="B10" s="72" t="n"/>
      <c r="C10" s="697" t="n"/>
      <c r="D10" s="698" t="n"/>
      <c r="E10" s="699" t="n"/>
      <c r="F10" s="31" t="n"/>
      <c r="G10" s="37" t="n"/>
      <c r="I10" s="332" t="n"/>
      <c r="J10" s="332" t="n"/>
      <c r="K10" s="332" t="n"/>
    </row>
    <row r="11" ht="16" customHeight="1">
      <c r="A11" s="73" t="inlineStr">
        <is>
          <t>EXPENSES PER ACRE</t>
        </is>
      </c>
      <c r="B11" s="72" t="n"/>
      <c r="C11" s="296" t="n"/>
      <c r="D11" s="700" t="n"/>
      <c r="E11" s="701" t="n"/>
      <c r="F11" s="31" t="n"/>
      <c r="G11" s="37" t="n"/>
      <c r="I11" s="332" t="n"/>
      <c r="J11" s="332" t="n"/>
      <c r="K11" s="332" t="n"/>
    </row>
    <row r="12" ht="16" customHeight="1">
      <c r="A12" s="73" t="inlineStr">
        <is>
          <t>Variable Expenses/acre</t>
        </is>
      </c>
      <c r="B12" s="72" t="n"/>
      <c r="C12" s="296" t="n"/>
      <c r="D12" s="700" t="n"/>
      <c r="E12" s="702" t="n"/>
      <c r="F12" s="31" t="n"/>
      <c r="G12" s="37" t="n"/>
      <c r="I12" s="332" t="n"/>
      <c r="J12" s="332" t="n"/>
      <c r="K12" s="332" t="n"/>
    </row>
    <row r="13" ht="16" customHeight="1">
      <c r="A13" s="689" t="inlineStr">
        <is>
          <t>Seed</t>
        </is>
      </c>
      <c r="B13" s="74" t="n"/>
      <c r="C13" s="715" t="n">
        <v>17.316</v>
      </c>
      <c r="D13" s="716" t="n">
        <v>19.092</v>
      </c>
      <c r="E13" s="717" t="n">
        <v>21.534</v>
      </c>
      <c r="F13" s="31" t="n"/>
      <c r="G13" s="37" t="n"/>
      <c r="I13" s="427">
        <f>C13</f>
        <v/>
      </c>
      <c r="J13" s="427">
        <f>D13</f>
        <v/>
      </c>
      <c r="K13" s="427">
        <f>E13</f>
        <v/>
      </c>
    </row>
    <row r="14" ht="16" customHeight="1">
      <c r="A14" s="689" t="inlineStr">
        <is>
          <t xml:space="preserve">                     -Seed Treatments/Inoculants</t>
        </is>
      </c>
      <c r="B14" s="74" t="n"/>
      <c r="C14" s="715" t="n">
        <v>5.803333454291444</v>
      </c>
      <c r="D14" s="716" t="n">
        <v>6.398547141911079</v>
      </c>
      <c r="E14" s="717" t="n">
        <v>7.216965962388077</v>
      </c>
      <c r="F14" s="31" t="n"/>
      <c r="G14" s="37" t="n"/>
      <c r="I14" s="427">
        <f>C14</f>
        <v/>
      </c>
      <c r="J14" s="427">
        <f>D14</f>
        <v/>
      </c>
      <c r="K14" s="427">
        <f>E14</f>
        <v/>
      </c>
    </row>
    <row r="15" ht="16" customHeight="1">
      <c r="A15" s="689" t="inlineStr">
        <is>
          <t>Fertilizer -Nitrogen (N)</t>
        </is>
      </c>
      <c r="B15" s="74" t="n"/>
      <c r="C15" s="793" t="n">
        <v>59.76288171703622</v>
      </c>
      <c r="D15" s="794" t="n">
        <v>74.49893474315473</v>
      </c>
      <c r="E15" s="795" t="n">
        <v>90.05365738183539</v>
      </c>
      <c r="F15" s="31" t="n"/>
      <c r="G15" s="37" t="n"/>
      <c r="I15" s="427">
        <f>C15</f>
        <v/>
      </c>
      <c r="J15" s="427">
        <f>D15</f>
        <v/>
      </c>
      <c r="K15" s="427">
        <f>E15</f>
        <v/>
      </c>
    </row>
    <row r="16" ht="16" customHeight="1">
      <c r="A16" s="689" t="inlineStr">
        <is>
          <t xml:space="preserve">               -Phosphorous (P2O5)</t>
        </is>
      </c>
      <c r="B16" s="74" t="n"/>
      <c r="C16" s="793" t="n">
        <v>27.87251364196444</v>
      </c>
      <c r="D16" s="794" t="n">
        <v>34.60036176243862</v>
      </c>
      <c r="E16" s="795" t="n">
        <v>41.32820988291279</v>
      </c>
      <c r="F16" s="31" t="n"/>
      <c r="G16" s="37" t="n"/>
      <c r="I16" s="427">
        <f>C16</f>
        <v/>
      </c>
      <c r="J16" s="427">
        <f>D16</f>
        <v/>
      </c>
      <c r="K16" s="427">
        <f>E16</f>
        <v/>
      </c>
    </row>
    <row r="17" ht="16" customHeight="1">
      <c r="A17" s="689" t="inlineStr">
        <is>
          <t xml:space="preserve">               -Sulphur and Other</t>
        </is>
      </c>
      <c r="B17" s="75" t="n"/>
      <c r="C17" s="796" t="n">
        <v>0</v>
      </c>
      <c r="D17" s="797" t="n">
        <v>0</v>
      </c>
      <c r="E17" s="798" t="n">
        <v>0</v>
      </c>
      <c r="F17" s="31" t="n"/>
      <c r="G17" s="37" t="n"/>
      <c r="I17" s="427">
        <f>C17</f>
        <v/>
      </c>
      <c r="J17" s="427">
        <f>D17</f>
        <v/>
      </c>
      <c r="K17" s="427">
        <f>E17</f>
        <v/>
      </c>
    </row>
    <row r="18" ht="16" customHeight="1">
      <c r="A18" s="689" t="inlineStr">
        <is>
          <t>Plant Protection -Herbicides</t>
        </is>
      </c>
      <c r="B18" s="74" t="n"/>
      <c r="C18" s="715" t="n">
        <v>59.36</v>
      </c>
      <c r="D18" s="716" t="n">
        <v>63.34</v>
      </c>
      <c r="E18" s="717" t="n">
        <v>63.94</v>
      </c>
      <c r="F18" s="31" t="n"/>
      <c r="G18" s="37" t="n"/>
      <c r="I18" s="427">
        <f>C18</f>
        <v/>
      </c>
      <c r="J18" s="427">
        <f>D18</f>
        <v/>
      </c>
      <c r="K18" s="427">
        <f>E18</f>
        <v/>
      </c>
    </row>
    <row r="19" ht="16" customHeight="1">
      <c r="A19" s="689" t="inlineStr">
        <is>
          <t xml:space="preserve">                     -Insecticides</t>
        </is>
      </c>
      <c r="B19" s="74" t="n"/>
      <c r="C19" s="715" t="n">
        <v>6.476190476190477</v>
      </c>
      <c r="D19" s="716" t="n">
        <v>6.476190476190477</v>
      </c>
      <c r="E19" s="717" t="n">
        <v>6.476190476190477</v>
      </c>
      <c r="F19" s="31" t="n"/>
      <c r="G19" s="37" t="n"/>
      <c r="I19" s="427">
        <f>C19</f>
        <v/>
      </c>
      <c r="J19" s="427">
        <f>D19</f>
        <v/>
      </c>
      <c r="K19" s="427">
        <f>E19</f>
        <v/>
      </c>
    </row>
    <row r="20" ht="16" customHeight="1">
      <c r="A20" s="689" t="inlineStr">
        <is>
          <t xml:space="preserve">                     -Fungicides</t>
        </is>
      </c>
      <c r="B20" s="74" t="n"/>
      <c r="C20" s="715" t="n">
        <v>15.99</v>
      </c>
      <c r="D20" s="716" t="n">
        <v>15.99</v>
      </c>
      <c r="E20" s="717" t="n">
        <v>15.99</v>
      </c>
      <c r="F20" s="31" t="n"/>
      <c r="G20" s="37" t="n"/>
      <c r="I20" s="427">
        <f>C20</f>
        <v/>
      </c>
      <c r="J20" s="427">
        <f>D20</f>
        <v/>
      </c>
      <c r="K20" s="427">
        <f>E20</f>
        <v/>
      </c>
    </row>
    <row r="21" ht="16" customHeight="1">
      <c r="A21" s="689" t="inlineStr">
        <is>
          <t>Machinery Operating -Fuel</t>
        </is>
      </c>
      <c r="B21" s="75" t="n"/>
      <c r="C21" s="770" t="n">
        <v>16.06179708666667</v>
      </c>
      <c r="D21" s="771" t="n">
        <v>20.07724635833333</v>
      </c>
      <c r="E21" s="772" t="n">
        <v>25.09655794791667</v>
      </c>
      <c r="F21" s="31" t="n"/>
      <c r="G21" s="37" t="n"/>
      <c r="I21" s="427">
        <f>C21</f>
        <v/>
      </c>
      <c r="J21" s="427">
        <f>D21</f>
        <v/>
      </c>
      <c r="K21" s="427">
        <f>E21</f>
        <v/>
      </c>
    </row>
    <row r="22" ht="16" customHeight="1">
      <c r="A22" s="689" t="inlineStr">
        <is>
          <t xml:space="preserve">                                  -Repair</t>
        </is>
      </c>
      <c r="B22" s="74" t="n"/>
      <c r="C22" s="715" t="n">
        <v>11.56328841689489</v>
      </c>
      <c r="D22" s="716" t="n">
        <v>13.03949744699887</v>
      </c>
      <c r="E22" s="717" t="n">
        <v>14.75790247400408</v>
      </c>
      <c r="F22" s="31" t="n"/>
      <c r="G22" s="37" t="n"/>
      <c r="I22" s="427">
        <f>C22</f>
        <v/>
      </c>
      <c r="J22" s="427">
        <f>D22</f>
        <v/>
      </c>
      <c r="K22" s="427">
        <f>E22</f>
        <v/>
      </c>
    </row>
    <row r="23" ht="16" customHeight="1">
      <c r="A23" s="689" t="inlineStr">
        <is>
          <t>Custom Work and Hired Labour</t>
        </is>
      </c>
      <c r="B23" s="74" t="n"/>
      <c r="C23" s="715" t="n">
        <v>23.5</v>
      </c>
      <c r="D23" s="716" t="n">
        <v>23.25</v>
      </c>
      <c r="E23" s="717" t="n">
        <v>24.25</v>
      </c>
      <c r="F23" s="31" t="n"/>
      <c r="G23" s="37" t="n"/>
      <c r="I23" s="427">
        <f>C23</f>
        <v/>
      </c>
      <c r="J23" s="427">
        <f>D23</f>
        <v/>
      </c>
      <c r="K23" s="427">
        <f>E23</f>
        <v/>
      </c>
    </row>
    <row r="24" ht="16" customHeight="1">
      <c r="A24" s="689" t="inlineStr">
        <is>
          <t>Crop Insurance Premium</t>
        </is>
      </c>
      <c r="B24" s="77" t="n"/>
      <c r="C24" s="715" t="n">
        <v>6.26545230030638</v>
      </c>
      <c r="D24" s="716" t="n">
        <v>5.659665158383257</v>
      </c>
      <c r="E24" s="717" t="n">
        <v>4.998559238197561</v>
      </c>
      <c r="F24" s="31" t="n"/>
      <c r="G24" s="37" t="n"/>
      <c r="I24" s="427">
        <f>C24</f>
        <v/>
      </c>
      <c r="J24" s="427">
        <f>D24</f>
        <v/>
      </c>
      <c r="K24" s="427">
        <f>E24</f>
        <v/>
      </c>
    </row>
    <row r="25" ht="16" customHeight="1">
      <c r="A25" s="689" t="inlineStr">
        <is>
          <t>Hail Insurance Premium</t>
        </is>
      </c>
      <c r="B25" s="77" t="n"/>
      <c r="C25" s="715" t="n">
        <v>14</v>
      </c>
      <c r="D25" s="716" t="n">
        <v>14</v>
      </c>
      <c r="E25" s="717" t="n">
        <v>14</v>
      </c>
      <c r="F25" s="31" t="n"/>
      <c r="G25" s="37" t="n"/>
      <c r="I25" s="427">
        <f>C25</f>
        <v/>
      </c>
      <c r="J25" s="427">
        <f>D25</f>
        <v/>
      </c>
      <c r="K25" s="427">
        <f>E25</f>
        <v/>
      </c>
    </row>
    <row r="26" ht="16" customHeight="1">
      <c r="A26" s="689" t="inlineStr">
        <is>
          <t>Utilities and Miscellaneous</t>
        </is>
      </c>
      <c r="B26" s="75" t="n"/>
      <c r="C26" s="715" t="n">
        <v>4.395974170413743</v>
      </c>
      <c r="D26" s="716" t="n">
        <v>5.768849384517721</v>
      </c>
      <c r="E26" s="717" t="n">
        <v>6.656364674443524</v>
      </c>
      <c r="F26" s="31" t="n"/>
      <c r="G26" s="37" t="n"/>
      <c r="I26" s="427">
        <f>C26</f>
        <v/>
      </c>
      <c r="J26" s="427">
        <f>D26</f>
        <v/>
      </c>
      <c r="K26" s="427">
        <f>E26</f>
        <v/>
      </c>
    </row>
    <row r="27" ht="16" customHeight="1" thickBot="1">
      <c r="A27" s="689" t="inlineStr">
        <is>
          <t>Interest on Variable Expenses</t>
        </is>
      </c>
      <c r="B27" s="74" t="n"/>
      <c r="C27" s="718" t="n">
        <v>10.16218006385454</v>
      </c>
      <c r="D27" s="719" t="n">
        <v>11.44297694160367</v>
      </c>
      <c r="E27" s="720" t="n">
        <v>12.73449971770138</v>
      </c>
      <c r="F27" s="31" t="n"/>
      <c r="G27" s="37" t="n"/>
      <c r="I27" s="427">
        <f>C27</f>
        <v/>
      </c>
      <c r="J27" s="427">
        <f>D27</f>
        <v/>
      </c>
      <c r="K27" s="427">
        <f>E27</f>
        <v/>
      </c>
    </row>
    <row r="28" ht="16" customHeight="1" thickBot="1">
      <c r="A28" s="70" t="inlineStr">
        <is>
          <t>Total Variable Expenses (D)</t>
        </is>
      </c>
      <c r="B28" s="78">
        <f>SUM(B13:B27)</f>
        <v/>
      </c>
      <c r="C28" s="423">
        <f>SUM(C13:C27)</f>
        <v/>
      </c>
      <c r="D28" s="430">
        <f>SUM(D13:D27)</f>
        <v/>
      </c>
      <c r="E28" s="500">
        <f>SUM(E13:E27)</f>
        <v/>
      </c>
      <c r="F28" s="31" t="n"/>
      <c r="G28" s="37" t="n"/>
      <c r="I28" s="428">
        <f>SUM(I13:I27)</f>
        <v/>
      </c>
      <c r="J28" s="428">
        <f>SUM(J13:J27)</f>
        <v/>
      </c>
      <c r="K28" s="428">
        <f>SUM(K13:K27)</f>
        <v/>
      </c>
    </row>
    <row r="29">
      <c r="A29" s="67" t="n"/>
      <c r="B29" s="72" t="n"/>
      <c r="C29" s="721" t="n"/>
      <c r="D29" s="700" t="n"/>
      <c r="E29" s="701" t="n"/>
      <c r="F29" s="31" t="n"/>
      <c r="G29" s="37" t="n"/>
      <c r="I29" s="464" t="n"/>
      <c r="J29" s="464" t="n"/>
      <c r="K29" s="464" t="n"/>
    </row>
    <row r="30" ht="16" customHeight="1">
      <c r="A30" s="73" t="inlineStr">
        <is>
          <t>Other Expenses/acre</t>
        </is>
      </c>
      <c r="B30" s="72" t="n"/>
      <c r="C30" s="721" t="n"/>
      <c r="D30" s="700" t="n"/>
      <c r="E30" s="701" t="n"/>
      <c r="F30" s="31" t="n"/>
      <c r="G30" s="37" t="n"/>
      <c r="I30" s="464" t="n"/>
      <c r="J30" s="464" t="n"/>
      <c r="K30" s="464" t="n"/>
    </row>
    <row r="31" ht="16" customHeight="1">
      <c r="A31" s="689" t="inlineStr">
        <is>
          <t>Building Repair</t>
        </is>
      </c>
      <c r="B31" s="722" t="n"/>
      <c r="C31" s="773" t="n">
        <v>0.7445684561908097</v>
      </c>
      <c r="D31" s="774" t="n">
        <v>0.9756414253534748</v>
      </c>
      <c r="E31" s="775" t="n">
        <v>1.335088266273176</v>
      </c>
      <c r="F31" s="31" t="n"/>
      <c r="G31" s="37" t="n"/>
      <c r="I31" s="776">
        <f>C31</f>
        <v/>
      </c>
      <c r="J31" s="776">
        <f>D31</f>
        <v/>
      </c>
      <c r="K31" s="776">
        <f>E31</f>
        <v/>
      </c>
    </row>
    <row r="32" ht="16" customHeight="1">
      <c r="A32" s="689" t="inlineStr">
        <is>
          <t>Property Taxes</t>
        </is>
      </c>
      <c r="B32" s="727" t="n"/>
      <c r="C32" s="777" t="n">
        <v>5.076533574707355</v>
      </c>
      <c r="D32" s="778" t="n">
        <v>6.642698188180902</v>
      </c>
      <c r="E32" s="779" t="n">
        <v>10.0720586349247</v>
      </c>
      <c r="F32" s="31" t="n"/>
      <c r="G32" s="37" t="n"/>
      <c r="I32" s="776">
        <f>C32</f>
        <v/>
      </c>
      <c r="J32" s="776">
        <f>D32</f>
        <v/>
      </c>
      <c r="K32" s="776">
        <f>E32</f>
        <v/>
      </c>
    </row>
    <row r="33" ht="16" customHeight="1">
      <c r="A33" s="689" t="inlineStr">
        <is>
          <t>Business Overhead</t>
        </is>
      </c>
      <c r="B33" s="731" t="n"/>
      <c r="C33" s="773" t="n">
        <v>2.607474711623781</v>
      </c>
      <c r="D33" s="774" t="n">
        <v>3.986427684117127</v>
      </c>
      <c r="E33" s="775" t="n">
        <v>4.675904170363799</v>
      </c>
      <c r="F33" s="31" t="n"/>
      <c r="G33" s="37" t="n"/>
      <c r="I33" s="776">
        <f>C33</f>
        <v/>
      </c>
      <c r="J33" s="776">
        <f>D33</f>
        <v/>
      </c>
      <c r="K33" s="776">
        <f>E33</f>
        <v/>
      </c>
    </row>
    <row r="34" ht="16" customHeight="1">
      <c r="A34" s="689" t="inlineStr">
        <is>
          <t>Machinery Depreciation</t>
        </is>
      </c>
      <c r="B34" s="732" t="n"/>
      <c r="C34" s="777" t="n">
        <v>47.58737925414436</v>
      </c>
      <c r="D34" s="778" t="n">
        <v>53.66254718572614</v>
      </c>
      <c r="E34" s="779" t="n">
        <v>60.73444479686295</v>
      </c>
      <c r="F34" s="31" t="n"/>
      <c r="G34" s="37" t="n"/>
      <c r="I34" s="776">
        <f>C34</f>
        <v/>
      </c>
      <c r="J34" s="776">
        <f>D34</f>
        <v/>
      </c>
      <c r="K34" s="776">
        <f>E34</f>
        <v/>
      </c>
    </row>
    <row r="35" ht="16" customHeight="1">
      <c r="A35" s="689" t="inlineStr">
        <is>
          <t>Building Depreciation</t>
        </is>
      </c>
      <c r="B35" s="722" t="n"/>
      <c r="C35" s="773" t="n">
        <v>1.45</v>
      </c>
      <c r="D35" s="774" t="n">
        <v>1.9</v>
      </c>
      <c r="E35" s="775" t="n">
        <v>2.6</v>
      </c>
      <c r="F35" s="31" t="n"/>
      <c r="G35" s="37" t="n"/>
      <c r="I35" s="776">
        <f>C35</f>
        <v/>
      </c>
      <c r="J35" s="776">
        <f>D35</f>
        <v/>
      </c>
      <c r="K35" s="776">
        <f>E35</f>
        <v/>
      </c>
    </row>
    <row r="36" ht="16" customHeight="1">
      <c r="A36" s="689" t="inlineStr">
        <is>
          <t>Machinery Investment</t>
        </is>
      </c>
      <c r="B36" s="732" t="n"/>
      <c r="C36" s="777" t="n">
        <v>30.02007569770789</v>
      </c>
      <c r="D36" s="778" t="n">
        <v>33.85254144893939</v>
      </c>
      <c r="E36" s="779" t="n">
        <v>38.31378526904906</v>
      </c>
      <c r="F36" s="31" t="n"/>
      <c r="G36" s="37" t="n"/>
      <c r="I36" s="776">
        <f>C36</f>
        <v/>
      </c>
      <c r="J36" s="776">
        <f>D36</f>
        <v/>
      </c>
      <c r="K36" s="776">
        <f>E36</f>
        <v/>
      </c>
    </row>
    <row r="37" ht="16" customHeight="1">
      <c r="A37" s="689" t="inlineStr">
        <is>
          <t>Building Investment</t>
        </is>
      </c>
      <c r="B37" s="722" t="n"/>
      <c r="C37" s="773" t="n">
        <v>1.326266666666666</v>
      </c>
      <c r="D37" s="774" t="n">
        <v>1.737866666666666</v>
      </c>
      <c r="E37" s="775" t="n">
        <v>2.378133333333333</v>
      </c>
      <c r="F37" s="31" t="n"/>
      <c r="G37" s="37" t="n"/>
      <c r="I37" s="776">
        <f>C37</f>
        <v/>
      </c>
      <c r="J37" s="776">
        <f>D37</f>
        <v/>
      </c>
      <c r="K37" s="776">
        <f>E37</f>
        <v/>
      </c>
    </row>
    <row r="38" ht="16" customHeight="1" thickBot="1">
      <c r="A38" s="689" t="inlineStr">
        <is>
          <t>Land Investment</t>
        </is>
      </c>
      <c r="B38" s="727" t="n"/>
      <c r="C38" s="777" t="n">
        <v>70.10399999999998</v>
      </c>
      <c r="D38" s="778" t="n">
        <v>80.65649999999999</v>
      </c>
      <c r="E38" s="779" t="n">
        <v>75.38025</v>
      </c>
      <c r="F38" s="31" t="n"/>
      <c r="G38" s="37" t="n"/>
      <c r="I38" s="776">
        <f>C38</f>
        <v/>
      </c>
      <c r="J38" s="776">
        <f>D38</f>
        <v/>
      </c>
      <c r="K38" s="776">
        <f>E38</f>
        <v/>
      </c>
    </row>
    <row r="39" ht="16" customHeight="1" thickBot="1">
      <c r="A39" s="70" t="inlineStr">
        <is>
          <t>Total Other Expenses (E)</t>
        </is>
      </c>
      <c r="B39" s="78">
        <f>SUM(B31:B38)</f>
        <v/>
      </c>
      <c r="C39" s="424">
        <f>SUM(C31:C38)</f>
        <v/>
      </c>
      <c r="D39" s="425">
        <f>SUM(D31:D38)</f>
        <v/>
      </c>
      <c r="E39" s="501">
        <f>SUM(E31:E38)</f>
        <v/>
      </c>
      <c r="F39" s="31" t="n"/>
      <c r="G39" s="37" t="n"/>
      <c r="I39" s="428">
        <f>SUM(I31:I38)</f>
        <v/>
      </c>
      <c r="J39" s="428">
        <f>SUM(J31:J38)</f>
        <v/>
      </c>
      <c r="K39" s="428">
        <f>SUM(K31:K38)</f>
        <v/>
      </c>
    </row>
    <row r="40" ht="16" customHeight="1" thickBot="1">
      <c r="A40" s="689" t="inlineStr">
        <is>
          <t>Labour and Management (F)*</t>
        </is>
      </c>
      <c r="B40" s="75" t="n"/>
      <c r="C40" s="799" t="n"/>
      <c r="D40" s="800" t="n"/>
      <c r="E40" s="801" t="n"/>
      <c r="F40" s="31" t="n"/>
      <c r="G40" s="37" t="n"/>
      <c r="I40" s="464" t="n"/>
      <c r="J40" s="464" t="n"/>
      <c r="K40" s="464" t="n"/>
    </row>
    <row r="41" ht="16" customHeight="1" thickBot="1">
      <c r="A41" s="89" t="inlineStr">
        <is>
          <t xml:space="preserve">Total Expenses (D+E+F)=(G) </t>
        </is>
      </c>
      <c r="B41" s="78">
        <f>B28+B39+B40</f>
        <v/>
      </c>
      <c r="C41" s="424">
        <f>C28+C39+C40</f>
        <v/>
      </c>
      <c r="D41" s="425">
        <f>D28+D39+D40</f>
        <v/>
      </c>
      <c r="E41" s="501">
        <f>E28+E39+E40</f>
        <v/>
      </c>
      <c r="F41" s="31" t="n"/>
      <c r="G41" s="37" t="n"/>
      <c r="I41" s="428">
        <f>I28+I39+I40</f>
        <v/>
      </c>
      <c r="J41" s="428">
        <f>J28+J39+J40</f>
        <v/>
      </c>
      <c r="K41" s="428">
        <f>K28+K39+K40</f>
        <v/>
      </c>
    </row>
    <row r="42" ht="16" customHeight="1" thickBot="1">
      <c r="A42" s="46" t="n"/>
      <c r="B42" s="19" t="n"/>
      <c r="C42" s="445" t="n"/>
      <c r="D42" s="612" t="n"/>
      <c r="E42" s="447" t="n"/>
      <c r="F42" s="31" t="n"/>
      <c r="G42" s="37" t="n"/>
      <c r="I42" s="464" t="n"/>
      <c r="J42" s="464" t="n"/>
      <c r="K42" s="464" t="n"/>
    </row>
    <row r="43" ht="16" customHeight="1">
      <c r="A43" s="47" t="inlineStr">
        <is>
          <t>RETURNS PER ACRE</t>
        </is>
      </c>
      <c r="B43" s="48" t="n"/>
      <c r="C43" s="780" t="n"/>
      <c r="D43" s="781" t="n"/>
      <c r="E43" s="782" t="n"/>
      <c r="F43" s="31" t="n"/>
      <c r="G43" s="37" t="n"/>
      <c r="I43" s="465" t="n"/>
      <c r="J43" s="465" t="n"/>
      <c r="K43" s="465" t="n"/>
    </row>
    <row r="44" ht="16" customHeight="1">
      <c r="A44" s="49" t="inlineStr">
        <is>
          <t xml:space="preserve"> Return over Variable Expenses (C-D) </t>
        </is>
      </c>
      <c r="B44" s="20">
        <f>B9-B28</f>
        <v/>
      </c>
      <c r="C44" s="451">
        <f>C9-C28</f>
        <v/>
      </c>
      <c r="D44" s="452">
        <f>D9-D28</f>
        <v/>
      </c>
      <c r="E44" s="453">
        <f>E9-E28</f>
        <v/>
      </c>
      <c r="F44" s="31" t="n"/>
      <c r="G44" s="37" t="n"/>
      <c r="I44" s="496">
        <f>I9-I28</f>
        <v/>
      </c>
      <c r="J44" s="496">
        <f>J9-J28</f>
        <v/>
      </c>
      <c r="K44" s="496">
        <f>K9-K28</f>
        <v/>
      </c>
    </row>
    <row r="45" ht="16" customHeight="1" thickBot="1">
      <c r="A45" s="737" t="inlineStr">
        <is>
          <t xml:space="preserve"> Return over Total Expenses (C-G)</t>
        </is>
      </c>
      <c r="B45" s="21">
        <f>B9-B41</f>
        <v/>
      </c>
      <c r="C45" s="454">
        <f>C9-C41</f>
        <v/>
      </c>
      <c r="D45" s="455">
        <f>D9-D41</f>
        <v/>
      </c>
      <c r="E45" s="456">
        <f>E9-E41</f>
        <v/>
      </c>
      <c r="F45" s="31" t="n"/>
      <c r="G45" s="37" t="n"/>
      <c r="I45" s="454">
        <f>I9-I41</f>
        <v/>
      </c>
      <c r="J45" s="454">
        <f>J9-J41</f>
        <v/>
      </c>
      <c r="K45" s="468">
        <f>K9-K41</f>
        <v/>
      </c>
    </row>
    <row r="46" ht="16" customHeight="1" thickBot="1">
      <c r="A46" s="32" t="n"/>
      <c r="B46" s="19" t="n"/>
      <c r="C46" s="783" t="n"/>
      <c r="D46" s="784" t="n"/>
      <c r="E46" s="785" t="n"/>
      <c r="F46" s="31" t="n"/>
      <c r="G46" s="37" t="n"/>
      <c r="I46" s="464" t="n"/>
      <c r="J46" s="464" t="n"/>
      <c r="K46" s="464" t="n"/>
    </row>
    <row r="47" ht="16" customHeight="1">
      <c r="A47" s="51" t="inlineStr">
        <is>
          <t>BREAK-EVEN YIELD (bu./ac.)</t>
        </is>
      </c>
      <c r="B47" s="52" t="n"/>
      <c r="C47" s="786" t="n"/>
      <c r="D47" s="781" t="n"/>
      <c r="E47" s="787" t="n"/>
      <c r="F47" s="31" t="n"/>
      <c r="G47" s="37" t="n"/>
      <c r="I47" s="465" t="n"/>
      <c r="J47" s="465" t="n"/>
      <c r="K47" s="465" t="n"/>
    </row>
    <row r="48" ht="16" customHeight="1">
      <c r="A48" s="32" t="inlineStr">
        <is>
          <t>To Cover Variable Expenses</t>
        </is>
      </c>
      <c r="B48" s="821">
        <f>ROUND((B28)/B8,2)</f>
        <v/>
      </c>
      <c r="C48" s="451">
        <f>ROUND((C28)/C8,2)</f>
        <v/>
      </c>
      <c r="D48" s="452">
        <f>ROUND((D28)/D8,2)</f>
        <v/>
      </c>
      <c r="E48" s="453">
        <f>ROUND((E28)/E8,2)</f>
        <v/>
      </c>
      <c r="F48" s="31" t="n"/>
      <c r="G48" s="37" t="n"/>
      <c r="I48" s="451">
        <f>ROUND((I28)/I8,2)</f>
        <v/>
      </c>
      <c r="J48" s="451">
        <f>ROUND((J28)/J8,2)</f>
        <v/>
      </c>
      <c r="K48" s="467">
        <f>ROUND((K28)/K8,2)</f>
        <v/>
      </c>
    </row>
    <row r="49" ht="16" customHeight="1" thickBot="1">
      <c r="A49" s="53" t="inlineStr">
        <is>
          <t>To Cover Total Expenses</t>
        </is>
      </c>
      <c r="B49" s="822">
        <f>ROUND(B41/B8,2)</f>
        <v/>
      </c>
      <c r="C49" s="454">
        <f>ROUND(C41/C8,2)</f>
        <v/>
      </c>
      <c r="D49" s="455">
        <f>ROUND(D41/D8,2)</f>
        <v/>
      </c>
      <c r="E49" s="456">
        <f>ROUND(E41/E8,2)</f>
        <v/>
      </c>
      <c r="F49" s="31" t="n"/>
      <c r="G49" s="37" t="n"/>
      <c r="I49" s="454">
        <f>ROUND(I41/I8,2)</f>
        <v/>
      </c>
      <c r="J49" s="454">
        <f>ROUND(J41/J8,2)</f>
        <v/>
      </c>
      <c r="K49" s="468">
        <f>ROUND(K41/K8,2)</f>
        <v/>
      </c>
    </row>
    <row r="50" ht="16" customHeight="1" thickBot="1">
      <c r="A50" s="32" t="n"/>
      <c r="B50" s="744" t="n"/>
      <c r="C50" s="783" t="n"/>
      <c r="D50" s="784" t="n"/>
      <c r="E50" s="785" t="n"/>
      <c r="F50" s="31" t="n"/>
      <c r="G50" s="37" t="n"/>
      <c r="I50" s="464" t="n"/>
      <c r="J50" s="464" t="n"/>
      <c r="K50" s="464" t="n"/>
    </row>
    <row r="51" ht="16" customHeight="1">
      <c r="A51" s="51" t="inlineStr">
        <is>
          <t>BREAK-EVEN PRICE ($ per bu.)</t>
        </is>
      </c>
      <c r="B51" s="52" t="n"/>
      <c r="C51" s="786" t="n"/>
      <c r="D51" s="781" t="n"/>
      <c r="E51" s="787" t="n"/>
      <c r="F51" s="31" t="n"/>
      <c r="G51" s="37" t="n"/>
      <c r="I51" s="465" t="n"/>
      <c r="J51" s="465" t="n"/>
      <c r="K51" s="465" t="n"/>
    </row>
    <row r="52" ht="16" customHeight="1">
      <c r="A52" s="32" t="inlineStr">
        <is>
          <t>To Cover Variable Expenses</t>
        </is>
      </c>
      <c r="B52" s="20">
        <f>ROUND((B28)/B7,2)</f>
        <v/>
      </c>
      <c r="C52" s="451">
        <f>ROUND((C28)/C7,2)</f>
        <v/>
      </c>
      <c r="D52" s="452">
        <f>ROUND((D28)/D7,2)</f>
        <v/>
      </c>
      <c r="E52" s="453">
        <f>ROUND((E28)/E7,2)</f>
        <v/>
      </c>
      <c r="F52" s="31" t="n"/>
      <c r="G52" s="37" t="n"/>
      <c r="I52" s="451">
        <f>ROUND((I28)/I7,2)</f>
        <v/>
      </c>
      <c r="J52" s="451">
        <f>ROUND((J28)/J7,2)</f>
        <v/>
      </c>
      <c r="K52" s="467">
        <f>ROUND((K28)/K7,2)</f>
        <v/>
      </c>
    </row>
    <row r="53" ht="16" customHeight="1" thickBot="1">
      <c r="A53" s="53" t="inlineStr">
        <is>
          <t>To Cover Total Expenses</t>
        </is>
      </c>
      <c r="B53" s="21">
        <f>ROUND(B41/B7,2)</f>
        <v/>
      </c>
      <c r="C53" s="454">
        <f>ROUND(C41/C7,2)</f>
        <v/>
      </c>
      <c r="D53" s="455">
        <f>ROUND(D41/D7,2)</f>
        <v/>
      </c>
      <c r="E53" s="456">
        <f>ROUND(E41/E7,2)</f>
        <v/>
      </c>
      <c r="F53" s="31" t="n"/>
      <c r="G53" s="37" t="n"/>
      <c r="I53" s="454">
        <f>ROUND(I41/I7,2)</f>
        <v/>
      </c>
      <c r="J53" s="454">
        <f>ROUND(J41/J7,2)</f>
        <v/>
      </c>
      <c r="K53" s="468">
        <f>ROUND(K41/K7,2)</f>
        <v/>
      </c>
    </row>
    <row r="54" ht="16" customHeight="1" thickBot="1">
      <c r="A54" s="55" t="n"/>
      <c r="B54" s="17" t="n"/>
      <c r="C54" s="612" t="n"/>
      <c r="D54" s="612" t="n"/>
      <c r="E54" s="612" t="n"/>
      <c r="F54" s="31" t="n"/>
    </row>
    <row r="55" ht="16" customHeight="1">
      <c r="A55" s="47" t="inlineStr">
        <is>
          <t>YIELD SENSITIVITY (same expenses but average yield)</t>
        </is>
      </c>
      <c r="B55" s="64" t="n"/>
      <c r="C55" s="462" t="n"/>
      <c r="D55" s="462" t="n"/>
      <c r="E55" s="462" t="n"/>
      <c r="F55" s="31" t="n"/>
    </row>
    <row r="56" ht="16" customHeight="1">
      <c r="A56" s="49" t="inlineStr">
        <is>
          <t>Provincial Average Yield (bu./ac)</t>
        </is>
      </c>
      <c r="B56" s="65" t="n"/>
      <c r="C56" s="612">
        <f>I7</f>
        <v/>
      </c>
      <c r="D56" s="612">
        <f>J7</f>
        <v/>
      </c>
      <c r="E56" s="612">
        <f>K7</f>
        <v/>
      </c>
      <c r="F56" s="31" t="n"/>
    </row>
    <row r="57" ht="16" customHeight="1">
      <c r="A57" s="49" t="inlineStr">
        <is>
          <t xml:space="preserve"> Return over Variable Expenses </t>
        </is>
      </c>
      <c r="B57" s="65" t="n"/>
      <c r="C57" s="612">
        <f>I44</f>
        <v/>
      </c>
      <c r="D57" s="612">
        <f>J44</f>
        <v/>
      </c>
      <c r="E57" s="612">
        <f>K44</f>
        <v/>
      </c>
      <c r="F57" s="31" t="n"/>
    </row>
    <row r="58" ht="16" customHeight="1" thickBot="1">
      <c r="A58" s="737" t="inlineStr">
        <is>
          <t xml:space="preserve"> Return over Total Expenses </t>
        </is>
      </c>
      <c r="B58" s="66" t="n"/>
      <c r="C58" s="463">
        <f>I45</f>
        <v/>
      </c>
      <c r="D58" s="463">
        <f>J45</f>
        <v/>
      </c>
      <c r="E58" s="463">
        <f>K45</f>
        <v/>
      </c>
      <c r="F58" s="750" t="n"/>
    </row>
    <row r="59" ht="16" customHeight="1">
      <c r="A59" s="22" t="inlineStr">
        <is>
          <t>*Farm managers need to determine their own actual labour and management costs and add it to total expenses.</t>
        </is>
      </c>
      <c r="B59" s="24" t="n"/>
      <c r="C59" s="24" t="n"/>
      <c r="D59" s="24" t="n"/>
      <c r="E59" s="24" t="n"/>
    </row>
    <row r="60">
      <c r="B60" s="24" t="n"/>
      <c r="C60" s="24" t="n"/>
      <c r="D60" s="24" t="n"/>
      <c r="E60" s="24" t="n"/>
    </row>
    <row r="61">
      <c r="A61" s="24" t="n"/>
      <c r="B61" s="24" t="n"/>
      <c r="C61" s="419" t="n"/>
      <c r="D61" s="419" t="n"/>
      <c r="E61" s="419" t="n"/>
    </row>
    <row r="62" ht="16" customHeight="1">
      <c r="A62" s="57" t="n"/>
      <c r="B62" s="56" t="n"/>
      <c r="C62" s="56" t="n"/>
      <c r="D62" s="56" t="n"/>
      <c r="E62" s="56" t="n"/>
    </row>
    <row r="63" ht="16" customHeight="1">
      <c r="A63" s="57" t="n"/>
      <c r="B63" s="56" t="n"/>
      <c r="C63" s="56" t="n"/>
      <c r="D63" s="56" t="n"/>
      <c r="E63" s="56" t="n"/>
    </row>
  </sheetData>
  <mergeCells count="2">
    <mergeCell ref="F3:F58"/>
    <mergeCell ref="I4:K4"/>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K63"/>
  <sheetViews>
    <sheetView showGridLines="0" topLeftCell="A23" workbookViewId="0">
      <selection activeCell="E28" sqref="E28"/>
    </sheetView>
  </sheetViews>
  <sheetFormatPr baseColWidth="8" defaultRowHeight="16" customHeight="1"/>
  <cols>
    <col width="55.7109375" customWidth="1" min="1" max="1"/>
    <col width="13.85546875" bestFit="1" customWidth="1" min="2" max="2"/>
    <col width="11.42578125" customWidth="1" min="3" max="3"/>
    <col width="13.85546875" bestFit="1" customWidth="1" min="4" max="5"/>
    <col width="49.85546875" customWidth="1" min="6" max="6"/>
    <col width="13.42578125" customWidth="1" min="9" max="11"/>
  </cols>
  <sheetData>
    <row r="1" ht="16" customHeight="1">
      <c r="A1" s="23" t="inlineStr">
        <is>
          <t>WINTER WHEAT PRODUCTION COSTS ($/ACRE) FOR SASKATCHEWAN 2026</t>
        </is>
      </c>
      <c r="B1" s="23" t="n"/>
      <c r="C1" s="23" t="n"/>
      <c r="D1" s="23" t="n"/>
      <c r="E1" s="23" t="n"/>
      <c r="F1" s="24" t="n"/>
    </row>
    <row r="2" ht="16" customHeight="1" thickBot="1">
      <c r="A2" s="25" t="n"/>
      <c r="B2" s="25" t="n"/>
      <c r="C2" s="25" t="inlineStr">
        <is>
          <t>Economics</t>
        </is>
      </c>
      <c r="D2" s="25" t="n"/>
      <c r="E2" s="25" t="n"/>
      <c r="F2" s="25" t="inlineStr">
        <is>
          <t>Agronomics</t>
        </is>
      </c>
    </row>
    <row r="3" ht="16" customHeight="1" thickBot="1">
      <c r="A3" s="278" t="inlineStr">
        <is>
          <t>CROP</t>
        </is>
      </c>
      <c r="B3" s="279" t="n"/>
      <c r="C3" s="280" t="n"/>
      <c r="D3" s="675" t="inlineStr">
        <is>
          <t>WINTER WHEAT</t>
        </is>
      </c>
      <c r="E3" s="282" t="n"/>
      <c r="F3" s="676" t="inlineStr">
        <is>
          <t>Seeding: Seeding rates are based on a target plant stand in plants per square foot. This guide assumes a producer will seed to achieve 30 plants per square foot in the black soil zone, 28 in the dark brown soil zone and 25 in the brown soil zone, with a thousand kernel weight of 36 grams and 85 per cent emergence.
Fertilization: Fertility costs are based on nutrient removal rates given the targeted crop yield. These are: 75 lb./ac. N and 37lb./ac. P2O5 for the black soil zone, 68 lb./ac. N and 34 lb./ac. P2O5 for the dark brown soil zone and 55 lb./ac. N and 27 lb./ac. P2O5 for the brown soil zone. Producers are encouraged to use their own rates based on soil tests.
Crop Rotation: Diverse crop rotations are recommended to help reduce disease pressure and suppress weeds to manage herbicide resistance. Winter wheat is a very competitive crop that will suppress growth of spring germinating weeds.
Crop Protection                                                           Insect control: Wheat midge, cutworms, aphids, thrips, mites, grasshoppers, armyworms, slugs and wireworms might require control. Seed treatments are available for wireworm control. 
Disease control: Fungicide applications in winter wheat typically target leaf diseases. This estimation includes the cost of a single fungicide application for leaf diseases in the black and dark brown soil zones. Fungicide applications should be made based on field history and disease risk during the growing season.  Winter wheat can be affected by both leaf diseases and fusarium head blight (FHB). However, winter wheat crops typically pass the susceptible growth stage when conditions favor FHB development. 
Weed control: Winter wheat is prone to infestation with winter annual weeds, particularly downy and Japanese brome. Herbicide choices were made with this weed in mind, but should be adjusted on individual farms based on the weeds present. Herbicide costs are based on the following herbicide timings. Please refer to general assumptions for details. Please insert herbicide application window.</t>
        </is>
      </c>
    </row>
    <row r="4" ht="16" customHeight="1" thickBot="1">
      <c r="A4" s="26" t="n"/>
      <c r="B4" s="677" t="inlineStr">
        <is>
          <t>My Farm</t>
        </is>
      </c>
      <c r="C4" s="211" t="n"/>
      <c r="D4" s="678" t="inlineStr">
        <is>
          <t>80th percentile</t>
        </is>
      </c>
      <c r="E4" s="212" t="n"/>
      <c r="F4" s="31" t="n"/>
      <c r="I4" s="679" t="inlineStr">
        <is>
          <t xml:space="preserve">Average Yield </t>
        </is>
      </c>
      <c r="J4" s="680" t="n"/>
      <c r="K4" s="681" t="n"/>
    </row>
    <row r="5" ht="16" customHeight="1" thickBot="1">
      <c r="A5" s="682" t="inlineStr">
        <is>
          <t>Soil Zone</t>
        </is>
      </c>
      <c r="B5" s="261" t="n"/>
      <c r="C5" s="683" t="inlineStr">
        <is>
          <t>Brown</t>
        </is>
      </c>
      <c r="D5" s="684" t="inlineStr">
        <is>
          <t>Dark Brown</t>
        </is>
      </c>
      <c r="E5" s="685" t="inlineStr">
        <is>
          <t>Black</t>
        </is>
      </c>
      <c r="F5" s="31" t="n"/>
      <c r="I5" s="686" t="inlineStr">
        <is>
          <t>Brown</t>
        </is>
      </c>
      <c r="J5" s="687" t="inlineStr">
        <is>
          <t>Dark Brown</t>
        </is>
      </c>
      <c r="K5" s="688" t="inlineStr">
        <is>
          <t>Black</t>
        </is>
      </c>
    </row>
    <row r="6" ht="16" customHeight="1">
      <c r="A6" s="32" t="inlineStr">
        <is>
          <t>REVENUE PER ACRE</t>
        </is>
      </c>
      <c r="B6" s="33" t="n"/>
      <c r="C6" s="48" t="n"/>
      <c r="D6" s="58" t="n"/>
      <c r="E6" s="59" t="n"/>
      <c r="F6" s="31" t="n"/>
      <c r="I6" s="31" t="n"/>
      <c r="J6" s="31" t="n"/>
      <c r="K6" s="31" t="n"/>
    </row>
    <row r="7" ht="16" customHeight="1">
      <c r="A7" s="689" t="inlineStr">
        <is>
          <t>Estimated Yield (bu./ac) (A)</t>
        </is>
      </c>
      <c r="B7" s="68" t="n"/>
      <c r="C7" s="823" t="n">
        <v>48.53310362727274</v>
      </c>
      <c r="D7" s="789" t="n">
        <v>60.00074736</v>
      </c>
      <c r="E7" s="790" t="n">
        <v>65.881992</v>
      </c>
      <c r="F7" s="31" t="n"/>
      <c r="G7" s="37" t="n"/>
      <c r="I7" s="769" t="n">
        <v>30.28063790769462</v>
      </c>
      <c r="J7" s="769" t="n">
        <v>45.06773927573882</v>
      </c>
      <c r="K7" s="769" t="n">
        <v>52.41492332460174</v>
      </c>
    </row>
    <row r="8" ht="16" customHeight="1" thickBot="1">
      <c r="A8" s="689" t="inlineStr">
        <is>
          <t>Est. On Farm Market Price $/bu. (B)</t>
        </is>
      </c>
      <c r="B8" s="69" t="n"/>
      <c r="C8" s="802" t="n">
        <v>6.25</v>
      </c>
      <c r="D8" s="791" t="n">
        <v>6.25</v>
      </c>
      <c r="E8" s="792" t="n">
        <v>6.25</v>
      </c>
      <c r="F8" s="31" t="n"/>
      <c r="G8" s="37" t="n"/>
      <c r="I8" s="427">
        <f>C8</f>
        <v/>
      </c>
      <c r="J8" s="427">
        <f>D8</f>
        <v/>
      </c>
      <c r="K8" s="427">
        <f>E8</f>
        <v/>
      </c>
    </row>
    <row r="9" ht="16" customHeight="1" thickBot="1">
      <c r="A9" s="70" t="inlineStr">
        <is>
          <t>Estimated Gross Revenue/ac (AxB)=C</t>
        </is>
      </c>
      <c r="B9" s="71">
        <f>ROUND((B8*B7),2)</f>
        <v/>
      </c>
      <c r="C9" s="471">
        <f>ROUND((C8*C7),2)</f>
        <v/>
      </c>
      <c r="D9" s="472">
        <f>ROUND((D8*D7),2)</f>
        <v/>
      </c>
      <c r="E9" s="473">
        <f>ROUND((E8*E7),2)</f>
        <v/>
      </c>
      <c r="F9" s="31" t="n"/>
      <c r="G9" s="37" t="n"/>
      <c r="I9" s="474">
        <f>ROUND((I8*I7),2)</f>
        <v/>
      </c>
      <c r="J9" s="474">
        <f>ROUND((J8*J7),2)</f>
        <v/>
      </c>
      <c r="K9" s="474">
        <f>ROUND((K8*K7),2)</f>
        <v/>
      </c>
    </row>
    <row r="10">
      <c r="A10" s="67" t="n"/>
      <c r="B10" s="72" t="n"/>
      <c r="C10" s="697" t="n"/>
      <c r="D10" s="698" t="n"/>
      <c r="E10" s="699" t="n"/>
      <c r="F10" s="31" t="n"/>
      <c r="G10" s="37" t="n"/>
      <c r="I10" s="332" t="n"/>
      <c r="J10" s="332" t="n"/>
      <c r="K10" s="332" t="n"/>
    </row>
    <row r="11" ht="16" customHeight="1">
      <c r="A11" s="73" t="inlineStr">
        <is>
          <t>EXPENSES PER ACRE</t>
        </is>
      </c>
      <c r="B11" s="72" t="n"/>
      <c r="C11" s="358" t="n"/>
      <c r="D11" s="700" t="n"/>
      <c r="E11" s="701" t="n"/>
      <c r="F11" s="31" t="n"/>
      <c r="G11" s="37" t="n"/>
      <c r="I11" s="464" t="n"/>
      <c r="J11" s="464" t="n"/>
      <c r="K11" s="464" t="n"/>
    </row>
    <row r="12" ht="16" customHeight="1">
      <c r="A12" s="73" t="inlineStr">
        <is>
          <t>Variable Expenses/acre</t>
        </is>
      </c>
      <c r="B12" s="72" t="n"/>
      <c r="C12" s="358" t="n"/>
      <c r="D12" s="700" t="n"/>
      <c r="E12" s="702" t="n"/>
      <c r="F12" s="31" t="n"/>
      <c r="G12" s="37" t="n"/>
      <c r="I12" s="464" t="n"/>
      <c r="J12" s="464" t="n"/>
      <c r="K12" s="464" t="n"/>
    </row>
    <row r="13" ht="16" customHeight="1">
      <c r="A13" s="689" t="inlineStr">
        <is>
          <t>Seed</t>
        </is>
      </c>
      <c r="B13" s="74" t="n"/>
      <c r="C13" s="715" t="n">
        <v>21.311</v>
      </c>
      <c r="D13" s="716" t="n">
        <v>24.054</v>
      </c>
      <c r="E13" s="717" t="n">
        <v>25.742</v>
      </c>
      <c r="F13" s="31" t="n"/>
      <c r="G13" s="37" t="n"/>
      <c r="I13" s="427">
        <f>C13</f>
        <v/>
      </c>
      <c r="J13" s="427">
        <f>D13</f>
        <v/>
      </c>
      <c r="K13" s="427">
        <f>E13</f>
        <v/>
      </c>
    </row>
    <row r="14" ht="16" customHeight="1">
      <c r="A14" s="689" t="inlineStr">
        <is>
          <t xml:space="preserve">                     -Seed Treatments/Inoculants</t>
        </is>
      </c>
      <c r="B14" s="74" t="n"/>
      <c r="C14" s="715" t="n">
        <v>6.502100404849338</v>
      </c>
      <c r="D14" s="716" t="n">
        <v>7.339004417354698</v>
      </c>
      <c r="E14" s="717" t="n">
        <v>7.854022271204151</v>
      </c>
      <c r="F14" s="31" t="n"/>
      <c r="G14" s="37" t="n"/>
      <c r="I14" s="427">
        <f>C14</f>
        <v/>
      </c>
      <c r="J14" s="427">
        <f>D14</f>
        <v/>
      </c>
      <c r="K14" s="427">
        <f>E14</f>
        <v/>
      </c>
    </row>
    <row r="15" ht="16" customHeight="1">
      <c r="A15" s="689" t="inlineStr">
        <is>
          <t>Fertilizer -Nitrogen (N)</t>
        </is>
      </c>
      <c r="B15" s="74" t="n"/>
      <c r="C15" s="793" t="n">
        <v>45.0268286909177</v>
      </c>
      <c r="D15" s="794" t="n">
        <v>55.66953365422552</v>
      </c>
      <c r="E15" s="795" t="n">
        <v>61.4002209421605</v>
      </c>
      <c r="F15" s="31" t="n"/>
      <c r="G15" s="37" t="n"/>
      <c r="I15" s="427">
        <f>C15</f>
        <v/>
      </c>
      <c r="J15" s="427">
        <f>D15</f>
        <v/>
      </c>
      <c r="K15" s="427">
        <f>E15</f>
        <v/>
      </c>
    </row>
    <row r="16" ht="16" customHeight="1">
      <c r="A16" s="689" t="inlineStr">
        <is>
          <t xml:space="preserve">               -Phosphorous (P2O5)</t>
        </is>
      </c>
      <c r="B16" s="74" t="n"/>
      <c r="C16" s="793" t="n">
        <v>25.950271321829</v>
      </c>
      <c r="D16" s="794" t="n">
        <v>32.67811944230314</v>
      </c>
      <c r="E16" s="795" t="n">
        <v>35.56148292250636</v>
      </c>
      <c r="F16" s="31" t="n"/>
      <c r="G16" s="37" t="n"/>
      <c r="I16" s="427">
        <f>C16</f>
        <v/>
      </c>
      <c r="J16" s="427">
        <f>D16</f>
        <v/>
      </c>
      <c r="K16" s="427">
        <f>E16</f>
        <v/>
      </c>
    </row>
    <row r="17" ht="16" customHeight="1">
      <c r="A17" s="689" t="inlineStr">
        <is>
          <t xml:space="preserve">               -Sulphur and Other</t>
        </is>
      </c>
      <c r="B17" s="75" t="n"/>
      <c r="C17" s="796" t="n">
        <v>0</v>
      </c>
      <c r="D17" s="797" t="n">
        <v>0</v>
      </c>
      <c r="E17" s="798" t="n">
        <v>0</v>
      </c>
      <c r="F17" s="31" t="n"/>
      <c r="G17" s="37" t="n"/>
      <c r="I17" s="427">
        <f>C17</f>
        <v/>
      </c>
      <c r="J17" s="427">
        <f>D17</f>
        <v/>
      </c>
      <c r="K17" s="427">
        <f>E17</f>
        <v/>
      </c>
    </row>
    <row r="18" ht="16" customHeight="1">
      <c r="A18" s="689" t="inlineStr">
        <is>
          <t>Plant Protection -Herbicides</t>
        </is>
      </c>
      <c r="B18" s="74" t="n"/>
      <c r="C18" s="715" t="n">
        <v>55.80151666666667</v>
      </c>
      <c r="D18" s="716" t="n">
        <v>59.78418333333333</v>
      </c>
      <c r="E18" s="717" t="n">
        <v>60.38158333333334</v>
      </c>
      <c r="F18" s="31" t="n"/>
      <c r="G18" s="37" t="n"/>
      <c r="I18" s="427">
        <f>C18</f>
        <v/>
      </c>
      <c r="J18" s="427">
        <f>D18</f>
        <v/>
      </c>
      <c r="K18" s="427">
        <f>E18</f>
        <v/>
      </c>
    </row>
    <row r="19" ht="16" customHeight="1">
      <c r="A19" s="689" t="inlineStr">
        <is>
          <t xml:space="preserve">                     -Insecticides</t>
        </is>
      </c>
      <c r="B19" s="74" t="n"/>
      <c r="C19" s="770" t="n">
        <v>22.626525</v>
      </c>
      <c r="D19" s="716" t="n">
        <v>22.626525</v>
      </c>
      <c r="E19" s="717" t="n">
        <v>22.626525</v>
      </c>
      <c r="F19" s="31" t="n"/>
      <c r="G19" s="37" t="n"/>
      <c r="I19" s="427">
        <f>C19</f>
        <v/>
      </c>
      <c r="J19" s="427">
        <f>D19</f>
        <v/>
      </c>
      <c r="K19" s="427">
        <f>E19</f>
        <v/>
      </c>
    </row>
    <row r="20" ht="16" customHeight="1">
      <c r="A20" s="689" t="inlineStr">
        <is>
          <t xml:space="preserve">                     -Fungicides</t>
        </is>
      </c>
      <c r="B20" s="74" t="n"/>
      <c r="C20" s="715" t="n">
        <v>0</v>
      </c>
      <c r="D20" s="716" t="n">
        <v>15.99</v>
      </c>
      <c r="E20" s="717" t="n">
        <v>15.99</v>
      </c>
      <c r="F20" s="31" t="n"/>
      <c r="G20" s="37" t="n"/>
      <c r="I20" s="427">
        <f>C20</f>
        <v/>
      </c>
      <c r="J20" s="427">
        <f>D20</f>
        <v/>
      </c>
      <c r="K20" s="427">
        <f>E20</f>
        <v/>
      </c>
    </row>
    <row r="21" ht="16" customHeight="1">
      <c r="A21" s="689" t="inlineStr">
        <is>
          <t>Machinery Operating -Fuel</t>
        </is>
      </c>
      <c r="B21" s="75" t="n"/>
      <c r="C21" s="770" t="n">
        <v>16.06179708666667</v>
      </c>
      <c r="D21" s="771" t="n">
        <v>20.07724635833333</v>
      </c>
      <c r="E21" s="772" t="n">
        <v>25.09655794791667</v>
      </c>
      <c r="F21" s="31" t="n"/>
      <c r="G21" s="37" t="n"/>
      <c r="I21" s="427">
        <f>C21</f>
        <v/>
      </c>
      <c r="J21" s="427">
        <f>D21</f>
        <v/>
      </c>
      <c r="K21" s="427">
        <f>E21</f>
        <v/>
      </c>
    </row>
    <row r="22" ht="16" customHeight="1">
      <c r="A22" s="689" t="inlineStr">
        <is>
          <t xml:space="preserve">                                  -Repair</t>
        </is>
      </c>
      <c r="B22" s="74" t="n"/>
      <c r="C22" s="715" t="n">
        <v>11.56328841689489</v>
      </c>
      <c r="D22" s="716" t="n">
        <v>13.03949744699887</v>
      </c>
      <c r="E22" s="717" t="n">
        <v>14.75790247400408</v>
      </c>
      <c r="F22" s="31" t="n"/>
      <c r="G22" s="37" t="n"/>
      <c r="I22" s="427">
        <f>C22</f>
        <v/>
      </c>
      <c r="J22" s="427">
        <f>D22</f>
        <v/>
      </c>
      <c r="K22" s="427">
        <f>E22</f>
        <v/>
      </c>
    </row>
    <row r="23" ht="16" customHeight="1">
      <c r="A23" s="689" t="inlineStr">
        <is>
          <t>Custom Work and Hired Labour</t>
        </is>
      </c>
      <c r="B23" s="74" t="n"/>
      <c r="C23" s="715" t="n">
        <v>23.5</v>
      </c>
      <c r="D23" s="716" t="n">
        <v>23.25</v>
      </c>
      <c r="E23" s="717" t="n">
        <v>24.25</v>
      </c>
      <c r="F23" s="31" t="n"/>
      <c r="G23" s="37" t="n"/>
      <c r="I23" s="427">
        <f>C23</f>
        <v/>
      </c>
      <c r="J23" s="427">
        <f>D23</f>
        <v/>
      </c>
      <c r="K23" s="427">
        <f>E23</f>
        <v/>
      </c>
    </row>
    <row r="24" ht="16" customHeight="1">
      <c r="A24" s="689" t="inlineStr">
        <is>
          <t>Crop Insurance Premium</t>
        </is>
      </c>
      <c r="B24" s="77" t="n"/>
      <c r="C24" s="715" t="n">
        <v>11.17141270908535</v>
      </c>
      <c r="D24" s="716" t="n">
        <v>8.9985559308644</v>
      </c>
      <c r="E24" s="717" t="n">
        <v>10.82739740278755</v>
      </c>
      <c r="F24" s="31" t="n"/>
      <c r="G24" s="37" t="n"/>
      <c r="I24" s="427">
        <f>C24</f>
        <v/>
      </c>
      <c r="J24" s="427">
        <f>D24</f>
        <v/>
      </c>
      <c r="K24" s="427">
        <f>E24</f>
        <v/>
      </c>
    </row>
    <row r="25" ht="16" customHeight="1">
      <c r="A25" s="689" t="inlineStr">
        <is>
          <t>Hail Insurance Premium</t>
        </is>
      </c>
      <c r="B25" s="77" t="n"/>
      <c r="C25" s="715" t="n">
        <v>14</v>
      </c>
      <c r="D25" s="716" t="n">
        <v>14</v>
      </c>
      <c r="E25" s="717" t="n">
        <v>14</v>
      </c>
      <c r="F25" s="31" t="n"/>
      <c r="G25" s="37" t="n"/>
      <c r="I25" s="427">
        <f>C25</f>
        <v/>
      </c>
      <c r="J25" s="427">
        <f>D25</f>
        <v/>
      </c>
      <c r="K25" s="427">
        <f>E25</f>
        <v/>
      </c>
    </row>
    <row r="26" ht="16" customHeight="1">
      <c r="A26" s="689" t="inlineStr">
        <is>
          <t>Utilities and Miscellaneous</t>
        </is>
      </c>
      <c r="B26" s="75" t="n"/>
      <c r="C26" s="715" t="n">
        <v>4.395974170413743</v>
      </c>
      <c r="D26" s="716" t="n">
        <v>5.768849384517721</v>
      </c>
      <c r="E26" s="717" t="n">
        <v>6.656364674443524</v>
      </c>
      <c r="F26" s="31" t="n"/>
      <c r="G26" s="37" t="n"/>
      <c r="I26" s="427">
        <f>C26</f>
        <v/>
      </c>
      <c r="J26" s="427">
        <f>D26</f>
        <v/>
      </c>
      <c r="K26" s="427">
        <f>E26</f>
        <v/>
      </c>
    </row>
    <row r="27" ht="16" customHeight="1" thickBot="1">
      <c r="A27" s="689" t="inlineStr">
        <is>
          <t>Interest on Variable Expenses</t>
        </is>
      </c>
      <c r="B27" s="74" t="n"/>
      <c r="C27" s="718" t="n">
        <v>21.97399287261595</v>
      </c>
      <c r="D27" s="719" t="n">
        <v>25.83907387526772</v>
      </c>
      <c r="E27" s="720" t="n">
        <v>27.70227365370394</v>
      </c>
      <c r="F27" s="31" t="n"/>
      <c r="G27" s="37" t="n"/>
      <c r="I27" s="427">
        <f>C27</f>
        <v/>
      </c>
      <c r="J27" s="427">
        <f>D27</f>
        <v/>
      </c>
      <c r="K27" s="427">
        <f>E27</f>
        <v/>
      </c>
    </row>
    <row r="28" ht="16" customHeight="1" thickBot="1">
      <c r="A28" s="70" t="inlineStr">
        <is>
          <t>Total Variable Expenses (D)</t>
        </is>
      </c>
      <c r="B28" s="78">
        <f>SUM(B13:B27)</f>
        <v/>
      </c>
      <c r="C28" s="423">
        <f>SUM(C13:C27)</f>
        <v/>
      </c>
      <c r="D28" s="430">
        <f>SUM(D13:D27)</f>
        <v/>
      </c>
      <c r="E28" s="431">
        <f>SUM(E13:E27)</f>
        <v/>
      </c>
      <c r="F28" s="31" t="n"/>
      <c r="G28" s="37" t="n"/>
      <c r="I28" s="428">
        <f>SUM(I13:I27)</f>
        <v/>
      </c>
      <c r="J28" s="428">
        <f>SUM(J13:J27)</f>
        <v/>
      </c>
      <c r="K28" s="428">
        <f>SUM(K13:K27)</f>
        <v/>
      </c>
    </row>
    <row r="29">
      <c r="A29" s="67" t="n"/>
      <c r="B29" s="72" t="n"/>
      <c r="C29" s="721" t="n"/>
      <c r="D29" s="700" t="n"/>
      <c r="E29" s="701" t="n"/>
      <c r="F29" s="31" t="n"/>
      <c r="G29" s="37" t="n"/>
      <c r="I29" s="464" t="n"/>
      <c r="J29" s="464" t="n"/>
      <c r="K29" s="464" t="n"/>
    </row>
    <row r="30" ht="16" customHeight="1">
      <c r="A30" s="73" t="inlineStr">
        <is>
          <t>Other Expenses/acre</t>
        </is>
      </c>
      <c r="B30" s="72" t="n"/>
      <c r="C30" s="721" t="n"/>
      <c r="D30" s="700" t="n"/>
      <c r="E30" s="701" t="n"/>
      <c r="F30" s="31" t="n"/>
      <c r="G30" s="37" t="n"/>
      <c r="I30" s="464" t="n"/>
      <c r="J30" s="464" t="n"/>
      <c r="K30" s="464" t="n"/>
    </row>
    <row r="31" ht="16" customHeight="1">
      <c r="A31" s="689" t="inlineStr">
        <is>
          <t>Building Repair</t>
        </is>
      </c>
      <c r="B31" s="722" t="n"/>
      <c r="C31" s="773" t="n">
        <v>0.7445684561908097</v>
      </c>
      <c r="D31" s="774" t="n">
        <v>0.9756414253534748</v>
      </c>
      <c r="E31" s="775" t="n">
        <v>1.335088266273176</v>
      </c>
      <c r="F31" s="31" t="n"/>
      <c r="G31" s="37" t="n"/>
      <c r="I31" s="776">
        <f>C31</f>
        <v/>
      </c>
      <c r="J31" s="776">
        <f>D31</f>
        <v/>
      </c>
      <c r="K31" s="776">
        <f>E31</f>
        <v/>
      </c>
    </row>
    <row r="32" ht="16" customHeight="1">
      <c r="A32" s="689" t="inlineStr">
        <is>
          <t>Property Taxes</t>
        </is>
      </c>
      <c r="B32" s="727" t="n"/>
      <c r="C32" s="777" t="n">
        <v>5.076533574707355</v>
      </c>
      <c r="D32" s="778" t="n">
        <v>6.642698188180902</v>
      </c>
      <c r="E32" s="779" t="n">
        <v>10.0720586349247</v>
      </c>
      <c r="F32" s="31" t="n"/>
      <c r="G32" s="37" t="n"/>
      <c r="I32" s="776">
        <f>C32</f>
        <v/>
      </c>
      <c r="J32" s="776">
        <f>D32</f>
        <v/>
      </c>
      <c r="K32" s="776">
        <f>E32</f>
        <v/>
      </c>
    </row>
    <row r="33" ht="16" customHeight="1">
      <c r="A33" s="689" t="inlineStr">
        <is>
          <t>Business Overhead</t>
        </is>
      </c>
      <c r="B33" s="731" t="n"/>
      <c r="C33" s="773" t="n">
        <v>2.607474711623781</v>
      </c>
      <c r="D33" s="774" t="n">
        <v>3.986427684117127</v>
      </c>
      <c r="E33" s="775" t="n">
        <v>4.675904170363799</v>
      </c>
      <c r="F33" s="31" t="n"/>
      <c r="G33" s="37" t="n"/>
      <c r="I33" s="776">
        <f>C33</f>
        <v/>
      </c>
      <c r="J33" s="776">
        <f>D33</f>
        <v/>
      </c>
      <c r="K33" s="776">
        <f>E33</f>
        <v/>
      </c>
    </row>
    <row r="34" ht="16" customHeight="1">
      <c r="A34" s="689" t="inlineStr">
        <is>
          <t>Machinery Depreciation</t>
        </is>
      </c>
      <c r="B34" s="732" t="n"/>
      <c r="C34" s="777" t="n">
        <v>47.58737925414436</v>
      </c>
      <c r="D34" s="778" t="n">
        <v>53.66254718572614</v>
      </c>
      <c r="E34" s="779" t="n">
        <v>60.73444479686295</v>
      </c>
      <c r="F34" s="31" t="n"/>
      <c r="G34" s="37" t="n"/>
      <c r="I34" s="776">
        <f>C34</f>
        <v/>
      </c>
      <c r="J34" s="776">
        <f>D34</f>
        <v/>
      </c>
      <c r="K34" s="776">
        <f>E34</f>
        <v/>
      </c>
    </row>
    <row r="35" ht="16" customHeight="1">
      <c r="A35" s="689" t="inlineStr">
        <is>
          <t>Building Depreciation</t>
        </is>
      </c>
      <c r="B35" s="722" t="n"/>
      <c r="C35" s="773" t="n">
        <v>1.45</v>
      </c>
      <c r="D35" s="774" t="n">
        <v>1.9</v>
      </c>
      <c r="E35" s="775" t="n">
        <v>2.6</v>
      </c>
      <c r="F35" s="31" t="n"/>
      <c r="G35" s="37" t="n"/>
      <c r="I35" s="776">
        <f>C35</f>
        <v/>
      </c>
      <c r="J35" s="776">
        <f>D35</f>
        <v/>
      </c>
      <c r="K35" s="776">
        <f>E35</f>
        <v/>
      </c>
    </row>
    <row r="36" ht="16" customHeight="1">
      <c r="A36" s="689" t="inlineStr">
        <is>
          <t>Machinery Investment</t>
        </is>
      </c>
      <c r="B36" s="732" t="n"/>
      <c r="C36" s="777" t="n">
        <v>30.02007569770789</v>
      </c>
      <c r="D36" s="778" t="n">
        <v>33.85254144893939</v>
      </c>
      <c r="E36" s="779" t="n">
        <v>38.31378526904906</v>
      </c>
      <c r="F36" s="31" t="n"/>
      <c r="G36" s="37" t="n"/>
      <c r="I36" s="776">
        <f>C36</f>
        <v/>
      </c>
      <c r="J36" s="776">
        <f>D36</f>
        <v/>
      </c>
      <c r="K36" s="776">
        <f>E36</f>
        <v/>
      </c>
    </row>
    <row r="37" ht="16" customHeight="1">
      <c r="A37" s="689" t="inlineStr">
        <is>
          <t>Building Investment</t>
        </is>
      </c>
      <c r="B37" s="722" t="n"/>
      <c r="C37" s="773" t="n">
        <v>1.326266666666666</v>
      </c>
      <c r="D37" s="774" t="n">
        <v>1.737866666666666</v>
      </c>
      <c r="E37" s="775" t="n">
        <v>2.378133333333333</v>
      </c>
      <c r="F37" s="31" t="n"/>
      <c r="G37" s="37" t="n"/>
      <c r="I37" s="776">
        <f>C37</f>
        <v/>
      </c>
      <c r="J37" s="776">
        <f>D37</f>
        <v/>
      </c>
      <c r="K37" s="776">
        <f>E37</f>
        <v/>
      </c>
    </row>
    <row r="38" ht="16" customHeight="1" thickBot="1">
      <c r="A38" s="689" t="inlineStr">
        <is>
          <t>Land Investment</t>
        </is>
      </c>
      <c r="B38" s="727" t="n"/>
      <c r="C38" s="777" t="n">
        <v>70.10399999999998</v>
      </c>
      <c r="D38" s="778" t="n">
        <v>80.65649999999999</v>
      </c>
      <c r="E38" s="779" t="n">
        <v>75.38025</v>
      </c>
      <c r="F38" s="31" t="n"/>
      <c r="G38" s="37" t="n"/>
      <c r="I38" s="776">
        <f>C38</f>
        <v/>
      </c>
      <c r="J38" s="776">
        <f>D38</f>
        <v/>
      </c>
      <c r="K38" s="776">
        <f>E38</f>
        <v/>
      </c>
    </row>
    <row r="39" ht="16" customHeight="1" thickBot="1">
      <c r="A39" s="70" t="inlineStr">
        <is>
          <t>Total Other Expenses (E)</t>
        </is>
      </c>
      <c r="B39" s="78">
        <f>SUM(B31:B38)</f>
        <v/>
      </c>
      <c r="C39" s="424">
        <f>SUM(C31:C38)</f>
        <v/>
      </c>
      <c r="D39" s="425">
        <f>SUM(D31:D38)</f>
        <v/>
      </c>
      <c r="E39" s="426">
        <f>SUM(E31:E38)</f>
        <v/>
      </c>
      <c r="F39" s="31" t="n"/>
      <c r="G39" s="37" t="n"/>
      <c r="I39" s="428">
        <f>SUM(I31:I38)</f>
        <v/>
      </c>
      <c r="J39" s="428">
        <f>SUM(J31:J38)</f>
        <v/>
      </c>
      <c r="K39" s="428">
        <f>SUM(K31:K38)</f>
        <v/>
      </c>
    </row>
    <row r="40" ht="16" customHeight="1" thickBot="1">
      <c r="A40" s="689" t="inlineStr">
        <is>
          <t>Labour and Management (F)*</t>
        </is>
      </c>
      <c r="B40" s="75" t="n"/>
      <c r="C40" s="799" t="n"/>
      <c r="D40" s="800" t="n"/>
      <c r="E40" s="801" t="n"/>
      <c r="F40" s="31" t="n"/>
      <c r="G40" s="37" t="n"/>
      <c r="I40" s="464" t="n"/>
      <c r="J40" s="464" t="n"/>
      <c r="K40" s="464" t="n"/>
    </row>
    <row r="41" ht="16" customHeight="1" thickBot="1">
      <c r="A41" s="89" t="inlineStr">
        <is>
          <t xml:space="preserve">Total Expenses (D+E+F)=(G) </t>
        </is>
      </c>
      <c r="B41" s="78">
        <f>B28+B39+B40</f>
        <v/>
      </c>
      <c r="C41" s="424">
        <f>C28+C39+C40</f>
        <v/>
      </c>
      <c r="D41" s="425">
        <f>D28+D39+D40</f>
        <v/>
      </c>
      <c r="E41" s="426">
        <f>E28+E39+E40</f>
        <v/>
      </c>
      <c r="F41" s="31" t="n"/>
      <c r="G41" s="37" t="n"/>
      <c r="I41" s="428">
        <f>I28+I39+I40</f>
        <v/>
      </c>
      <c r="J41" s="428">
        <f>J28+J39+J40</f>
        <v/>
      </c>
      <c r="K41" s="428">
        <f>K28+K39+K40</f>
        <v/>
      </c>
    </row>
    <row r="42" ht="16" customHeight="1" thickBot="1">
      <c r="A42" s="90" t="n"/>
      <c r="B42" s="91" t="n"/>
      <c r="C42" s="502" t="n"/>
      <c r="D42" s="472" t="n"/>
      <c r="E42" s="473" t="n"/>
      <c r="F42" s="31" t="n"/>
      <c r="G42" s="37" t="n"/>
      <c r="I42" s="464" t="n"/>
      <c r="J42" s="464" t="n"/>
      <c r="K42" s="464" t="n"/>
    </row>
    <row r="43" ht="16" customHeight="1">
      <c r="A43" s="93" t="inlineStr">
        <is>
          <t>RETURNS PER ACRE</t>
        </is>
      </c>
      <c r="B43" s="86" t="n"/>
      <c r="C43" s="824" t="n"/>
      <c r="D43" s="825" t="n"/>
      <c r="E43" s="826" t="n"/>
      <c r="F43" s="31" t="n"/>
      <c r="G43" s="37" t="n"/>
      <c r="I43" s="465" t="n"/>
      <c r="J43" s="465" t="n"/>
      <c r="K43" s="466" t="n"/>
    </row>
    <row r="44" ht="16" customHeight="1">
      <c r="A44" s="49" t="inlineStr">
        <is>
          <t xml:space="preserve"> Return over Variable Expenses (C-D) </t>
        </is>
      </c>
      <c r="B44" s="95">
        <f>B9-B28</f>
        <v/>
      </c>
      <c r="C44" s="471">
        <f>C9-C28</f>
        <v/>
      </c>
      <c r="D44" s="498">
        <f>D9-D28</f>
        <v/>
      </c>
      <c r="E44" s="499">
        <f>E9-E28</f>
        <v/>
      </c>
      <c r="F44" s="31" t="n"/>
      <c r="G44" s="37" t="n"/>
      <c r="I44" s="506">
        <f>I9-I28</f>
        <v/>
      </c>
      <c r="J44" s="506">
        <f>J9-J28</f>
        <v/>
      </c>
      <c r="K44" s="499">
        <f>K9-K28</f>
        <v/>
      </c>
    </row>
    <row r="45" ht="16" customHeight="1" thickBot="1">
      <c r="A45" s="737" t="inlineStr">
        <is>
          <t xml:space="preserve"> Return over Total Expenses (C-G)</t>
        </is>
      </c>
      <c r="B45" s="21">
        <f>B9-B41</f>
        <v/>
      </c>
      <c r="C45" s="454">
        <f>C9-C41</f>
        <v/>
      </c>
      <c r="D45" s="455">
        <f>D9-D41</f>
        <v/>
      </c>
      <c r="E45" s="456">
        <f>E9-E41</f>
        <v/>
      </c>
      <c r="F45" s="31" t="n"/>
      <c r="G45" s="37" t="n"/>
      <c r="I45" s="468">
        <f>I9-I41</f>
        <v/>
      </c>
      <c r="J45" s="468">
        <f>J9-J41</f>
        <v/>
      </c>
      <c r="K45" s="456">
        <f>K9-K41</f>
        <v/>
      </c>
    </row>
    <row r="46" ht="16" customHeight="1" thickBot="1">
      <c r="A46" s="32" t="n"/>
      <c r="B46" s="19" t="n"/>
      <c r="C46" s="783" t="n"/>
      <c r="D46" s="784" t="n"/>
      <c r="E46" s="785" t="n"/>
      <c r="F46" s="31" t="n"/>
      <c r="G46" s="37" t="n"/>
      <c r="I46" s="464" t="n"/>
      <c r="J46" s="464" t="n"/>
      <c r="K46" s="464" t="n"/>
    </row>
    <row r="47" ht="16" customHeight="1">
      <c r="A47" s="51" t="inlineStr">
        <is>
          <t>BREAK-EVEN YIELD (bu./ac.)</t>
        </is>
      </c>
      <c r="B47" s="52" t="n"/>
      <c r="C47" s="786" t="n"/>
      <c r="D47" s="781" t="n"/>
      <c r="E47" s="787" t="n"/>
      <c r="F47" s="31" t="n"/>
      <c r="G47" s="37" t="n"/>
      <c r="I47" s="507" t="n"/>
      <c r="J47" s="507" t="n"/>
      <c r="K47" s="508" t="n"/>
    </row>
    <row r="48" ht="16" customHeight="1">
      <c r="A48" s="32" t="inlineStr">
        <is>
          <t>To Cover Variable Expenses</t>
        </is>
      </c>
      <c r="B48" s="20">
        <f>ROUND((B28)/B8,2)</f>
        <v/>
      </c>
      <c r="C48" s="451">
        <f>ROUND((C28)/C8,2)</f>
        <v/>
      </c>
      <c r="D48" s="452">
        <f>ROUND((D28)/D8,2)</f>
        <v/>
      </c>
      <c r="E48" s="453">
        <f>ROUND((E28)/E8,2)</f>
        <v/>
      </c>
      <c r="F48" s="31" t="n"/>
      <c r="G48" s="37" t="n"/>
      <c r="I48" s="467">
        <f>ROUND((I28)/I8,2)</f>
        <v/>
      </c>
      <c r="J48" s="467">
        <f>ROUND((J28)/J8,2)</f>
        <v/>
      </c>
      <c r="K48" s="453">
        <f>ROUND((K28)/K8,2)</f>
        <v/>
      </c>
    </row>
    <row r="49" ht="16" customHeight="1" thickBot="1">
      <c r="A49" s="53" t="inlineStr">
        <is>
          <t>To Cover Total Expenses</t>
        </is>
      </c>
      <c r="B49" s="21">
        <f>ROUND(B41/B8,2)</f>
        <v/>
      </c>
      <c r="C49" s="454">
        <f>ROUND(C41/C8,2)</f>
        <v/>
      </c>
      <c r="D49" s="455">
        <f>ROUND(D41/D8,2)</f>
        <v/>
      </c>
      <c r="E49" s="456">
        <f>ROUND(E41/E8,2)</f>
        <v/>
      </c>
      <c r="F49" s="31" t="n"/>
      <c r="G49" s="37" t="n"/>
      <c r="I49" s="468">
        <f>ROUND(I41/I8,2)</f>
        <v/>
      </c>
      <c r="J49" s="468">
        <f>ROUND(J41/J8,2)</f>
        <v/>
      </c>
      <c r="K49" s="456">
        <f>ROUND(K41/K8,2)</f>
        <v/>
      </c>
    </row>
    <row r="50" ht="16" customHeight="1" thickBot="1">
      <c r="A50" s="32" t="n"/>
      <c r="B50" s="744" t="n"/>
      <c r="C50" s="783" t="n"/>
      <c r="D50" s="784" t="n"/>
      <c r="E50" s="785" t="n"/>
      <c r="F50" s="31" t="n"/>
      <c r="G50" s="37" t="n"/>
      <c r="I50" s="464" t="n"/>
      <c r="J50" s="464" t="n"/>
      <c r="K50" s="464" t="n"/>
    </row>
    <row r="51" ht="16" customHeight="1">
      <c r="A51" s="51" t="inlineStr">
        <is>
          <t>BREAK-EVEN PRICE ($ per bu.)</t>
        </is>
      </c>
      <c r="B51" s="52" t="n"/>
      <c r="C51" s="786" t="n"/>
      <c r="D51" s="781" t="n"/>
      <c r="E51" s="787" t="n"/>
      <c r="F51" s="31" t="n"/>
      <c r="G51" s="37" t="n"/>
      <c r="I51" s="465" t="n"/>
      <c r="J51" s="465" t="n"/>
      <c r="K51" s="466" t="n"/>
    </row>
    <row r="52" ht="16" customHeight="1">
      <c r="A52" s="32" t="inlineStr">
        <is>
          <t>To Cover Variable Expenses</t>
        </is>
      </c>
      <c r="B52" s="20">
        <f>ROUND((B28)/B7,2)</f>
        <v/>
      </c>
      <c r="C52" s="451">
        <f>ROUND((C28)/C7,2)</f>
        <v/>
      </c>
      <c r="D52" s="452">
        <f>ROUND((D28)/D7,2)</f>
        <v/>
      </c>
      <c r="E52" s="453">
        <f>ROUND((E28)/E7,2)</f>
        <v/>
      </c>
      <c r="F52" s="31" t="n"/>
      <c r="G52" s="37" t="n"/>
      <c r="I52" s="467">
        <f>ROUND((I28)/I7,2)</f>
        <v/>
      </c>
      <c r="J52" s="467">
        <f>ROUND((J28)/J7,2)</f>
        <v/>
      </c>
      <c r="K52" s="453">
        <f>ROUND((K28)/K7,2)</f>
        <v/>
      </c>
    </row>
    <row r="53" ht="16" customHeight="1" thickBot="1">
      <c r="A53" s="53" t="inlineStr">
        <is>
          <t>To Cover Total Expenses</t>
        </is>
      </c>
      <c r="B53" s="21">
        <f>ROUND(B41/B7,2)</f>
        <v/>
      </c>
      <c r="C53" s="454">
        <f>ROUND(C41/C7,2)</f>
        <v/>
      </c>
      <c r="D53" s="455">
        <f>ROUND(D41/D7,2)</f>
        <v/>
      </c>
      <c r="E53" s="456">
        <f>ROUND(E41/E7,2)</f>
        <v/>
      </c>
      <c r="F53" s="31" t="n"/>
      <c r="G53" s="37" t="n"/>
      <c r="I53" s="468">
        <f>ROUND(I41/I7,2)</f>
        <v/>
      </c>
      <c r="J53" s="468">
        <f>ROUND(J41/J7,2)</f>
        <v/>
      </c>
      <c r="K53" s="456">
        <f>ROUND(K41/K7,2)</f>
        <v/>
      </c>
    </row>
    <row r="54" ht="16" customHeight="1" thickBot="1">
      <c r="A54" s="55" t="n"/>
      <c r="B54" s="17" t="n"/>
      <c r="C54" s="612" t="n"/>
      <c r="D54" s="612" t="n"/>
      <c r="E54" s="612" t="n"/>
      <c r="F54" s="31" t="n"/>
    </row>
    <row r="55" ht="16" customHeight="1">
      <c r="A55" s="47" t="inlineStr">
        <is>
          <t>YIELD SENSITIVITY (same expenses but average yield)</t>
        </is>
      </c>
      <c r="B55" s="64" t="n"/>
      <c r="C55" s="462" t="n"/>
      <c r="D55" s="462" t="n"/>
      <c r="E55" s="462" t="n"/>
      <c r="F55" s="31" t="n"/>
    </row>
    <row r="56" ht="16" customHeight="1">
      <c r="A56" s="49" t="inlineStr">
        <is>
          <t>Provincial Average Yield (bu./ac)</t>
        </is>
      </c>
      <c r="B56" s="65" t="n"/>
      <c r="C56" s="612">
        <f>I7</f>
        <v/>
      </c>
      <c r="D56" s="612">
        <f>J7</f>
        <v/>
      </c>
      <c r="E56" s="612">
        <f>K7</f>
        <v/>
      </c>
      <c r="F56" s="31" t="n"/>
    </row>
    <row r="57" ht="16" customHeight="1">
      <c r="A57" s="49" t="inlineStr">
        <is>
          <t xml:space="preserve"> Return over Variable Expenses </t>
        </is>
      </c>
      <c r="B57" s="65" t="n"/>
      <c r="C57" s="612">
        <f>I44</f>
        <v/>
      </c>
      <c r="D57" s="612">
        <f>J44</f>
        <v/>
      </c>
      <c r="E57" s="612">
        <f>K44</f>
        <v/>
      </c>
      <c r="F57" s="31" t="n"/>
    </row>
    <row r="58" ht="16" customHeight="1" thickBot="1">
      <c r="A58" s="737" t="inlineStr">
        <is>
          <t xml:space="preserve"> Return over Total Expenses </t>
        </is>
      </c>
      <c r="B58" s="66" t="n"/>
      <c r="C58" s="463">
        <f>I45</f>
        <v/>
      </c>
      <c r="D58" s="463">
        <f>J45</f>
        <v/>
      </c>
      <c r="E58" s="463">
        <f>K45</f>
        <v/>
      </c>
      <c r="F58" s="750" t="n"/>
    </row>
    <row r="59" ht="16" customHeight="1">
      <c r="A59" s="22" t="inlineStr">
        <is>
          <t>*Farm managers need to determine their own actual labour and management costs and add it to total expenses.</t>
        </is>
      </c>
      <c r="B59" s="24" t="n"/>
      <c r="C59" s="24" t="n"/>
      <c r="D59" s="24" t="n"/>
      <c r="E59" s="24" t="n"/>
    </row>
    <row r="60">
      <c r="A60" s="24" t="n"/>
      <c r="B60" s="24" t="n"/>
      <c r="C60" s="24" t="n"/>
      <c r="D60" s="24" t="n"/>
      <c r="E60" s="24" t="n"/>
    </row>
    <row r="61">
      <c r="A61" s="24" t="n"/>
      <c r="B61" s="24" t="n"/>
      <c r="C61" s="419" t="n"/>
      <c r="D61" s="419" t="n"/>
      <c r="E61" s="419" t="n"/>
    </row>
    <row r="62" ht="16" customHeight="1">
      <c r="A62" s="57" t="n"/>
      <c r="B62" s="56" t="n"/>
      <c r="C62" s="429" t="n"/>
      <c r="D62" s="429" t="n"/>
      <c r="E62" s="429" t="n"/>
    </row>
    <row r="63" ht="16" customHeight="1">
      <c r="A63" s="57" t="n"/>
      <c r="B63" s="56" t="n"/>
      <c r="C63" s="56" t="n"/>
      <c r="D63" s="56" t="n"/>
      <c r="E63" s="56" t="n"/>
    </row>
  </sheetData>
  <mergeCells count="2">
    <mergeCell ref="F3:F58"/>
    <mergeCell ref="I4:K4"/>
  </mergeCells>
  <pageMargins left="0.7" right="0.7" top="0.75" bottom="0.75" header="0.3" footer="0.3"/>
  <pageSetup orientation="portrait"/>
</worksheet>
</file>

<file path=xl/worksheets/sheet13.xml><?xml version="1.0" encoding="utf-8"?>
<worksheet xmlns="http://schemas.openxmlformats.org/spreadsheetml/2006/main">
  <sheetPr>
    <outlinePr summaryBelow="1" summaryRight="1"/>
    <pageSetUpPr/>
  </sheetPr>
  <dimension ref="A1:K63"/>
  <sheetViews>
    <sheetView showGridLines="0" topLeftCell="A20" zoomScale="96" zoomScaleNormal="96" workbookViewId="0">
      <selection activeCell="E28" sqref="E28"/>
    </sheetView>
  </sheetViews>
  <sheetFormatPr baseColWidth="8" defaultRowHeight="16" customHeight="1"/>
  <cols>
    <col width="55.7109375" customWidth="1" min="1" max="1"/>
    <col width="13.85546875" bestFit="1" customWidth="1" min="2" max="2"/>
    <col width="11.42578125" customWidth="1" min="3" max="3"/>
    <col width="13.85546875" bestFit="1" customWidth="1" min="4" max="5"/>
    <col width="57.140625" customWidth="1" min="6" max="6"/>
    <col width="13.42578125" customWidth="1" min="9" max="11"/>
  </cols>
  <sheetData>
    <row r="1" ht="16" customHeight="1">
      <c r="A1" s="23" t="inlineStr">
        <is>
          <t>CANOLA PRODUCTION COSTS ($/ACRE) FOR SASKATCHEWAN 2026</t>
        </is>
      </c>
      <c r="B1" s="23" t="n"/>
      <c r="C1" s="23" t="n"/>
      <c r="D1" s="23" t="n"/>
      <c r="E1" s="23" t="n"/>
      <c r="F1" s="24" t="n"/>
    </row>
    <row r="2" ht="16" customHeight="1" thickBot="1">
      <c r="A2" s="25" t="n"/>
      <c r="B2" s="25" t="n"/>
      <c r="C2" s="25" t="inlineStr">
        <is>
          <t>Economics</t>
        </is>
      </c>
      <c r="D2" s="25" t="n"/>
      <c r="E2" s="25" t="n"/>
      <c r="F2" s="25" t="inlineStr">
        <is>
          <t>Agronomics</t>
        </is>
      </c>
    </row>
    <row r="3" ht="16" customHeight="1" thickBot="1">
      <c r="A3" s="278" t="inlineStr">
        <is>
          <t>CROP</t>
        </is>
      </c>
      <c r="B3" s="279" t="n"/>
      <c r="C3" s="280" t="n"/>
      <c r="D3" s="675" t="inlineStr">
        <is>
          <t>Canola</t>
        </is>
      </c>
      <c r="E3" s="282" t="n"/>
      <c r="F3" s="676" t="inlineStr">
        <is>
          <t>Seeding: A seeding rate of 5 lb./ac. is used for each soil zone. 
Fertilization: Fertility costs are based on nutrient removal rates given the targeted crop yield. These are: 94 lb./ac. N and 39 lb./ac. P2O5 and 11 lb./ac. S for the black soil zone, 81 lb./ ac. N and 34 lb./ac. P2O5 and 9 lb./ac. S for the dark brown soil zone and 66 lb./ac. N and 28 lb./ac. P2O5 and 8 lb./ac. S for the brown soil zone. Producers are encouraged to use their own rates based on soil tests. 
Crop Rotation: Crop rotation will help to reduce root maggot and pressure from diseases, such as clubroot, by reducing or maintaining low pathogen levels in the field. 
Crop Protection                                                                      Insect control: Flea beetles, cutworms, lygus bugs, cabbage seedpod weevil, diamondback moth, bertha armyworm, alfalfa looper, cabbage looper, and occasionally imported cabbageworm, grasshoppers and slugs might require control. Seed treatments are available for flea beetle and cutworm control.
Disease control: Sclerotinia stem rot is the main disease managed with the application of foliar fungicides. This estimation includes the cost of a single fungicide application in the dark brown and black soil zones. Disease pressure will vary from year to year and field to field and is influenced by environmental conditions. Fungicide application decisions should be made based on disease risk when the crop is susceptible to infection. 
Weed control: A soil-active herbicide to reduce competition from cleavers was included in brown and dark brown soils. This was exchanged for a foliar tank mix option in the black soils. Herbicide costs are based on the following herbicide timings. Please refer to general assumptions for details. Please insert herbicide application window.</t>
        </is>
      </c>
    </row>
    <row r="4" ht="16" customHeight="1" thickBot="1">
      <c r="A4" s="26" t="n"/>
      <c r="B4" s="677" t="inlineStr">
        <is>
          <t>My Farm</t>
        </is>
      </c>
      <c r="C4" s="211" t="n"/>
      <c r="D4" s="678" t="inlineStr">
        <is>
          <t>80th percentile</t>
        </is>
      </c>
      <c r="E4" s="212" t="n"/>
      <c r="F4" s="31" t="n"/>
      <c r="I4" s="679" t="inlineStr">
        <is>
          <t xml:space="preserve">Average Yield </t>
        </is>
      </c>
      <c r="J4" s="680" t="n"/>
      <c r="K4" s="681" t="n"/>
    </row>
    <row r="5" ht="16" customHeight="1" thickBot="1">
      <c r="A5" s="682" t="inlineStr">
        <is>
          <t>Soil Zone</t>
        </is>
      </c>
      <c r="B5" s="261" t="n"/>
      <c r="C5" s="683" t="inlineStr">
        <is>
          <t>Brown</t>
        </is>
      </c>
      <c r="D5" s="684" t="inlineStr">
        <is>
          <t>Dark Brown</t>
        </is>
      </c>
      <c r="E5" s="685" t="inlineStr">
        <is>
          <t>Black</t>
        </is>
      </c>
      <c r="F5" s="31" t="n"/>
      <c r="I5" s="686" t="inlineStr">
        <is>
          <t>Brown</t>
        </is>
      </c>
      <c r="J5" s="687" t="inlineStr">
        <is>
          <t>Dark Brown</t>
        </is>
      </c>
      <c r="K5" s="688" t="inlineStr">
        <is>
          <t>Black</t>
        </is>
      </c>
    </row>
    <row r="6" ht="16" customHeight="1" thickBot="1">
      <c r="A6" s="73" t="inlineStr">
        <is>
          <t>REVENUE PER ACRE</t>
        </is>
      </c>
      <c r="B6" s="72" t="n"/>
      <c r="C6" s="86" t="n"/>
      <c r="D6" s="87" t="n"/>
      <c r="E6" s="88" t="n"/>
      <c r="F6" s="31" t="n"/>
      <c r="I6" s="31" t="n"/>
      <c r="J6" s="31" t="n"/>
      <c r="K6" s="31" t="n"/>
    </row>
    <row r="7" ht="16" customHeight="1">
      <c r="A7" s="689" t="inlineStr">
        <is>
          <t>Estimated Yield (bu./ac) (A)</t>
        </is>
      </c>
      <c r="B7" s="68" t="n"/>
      <c r="C7" s="827" t="n">
        <v>35.26029135862931</v>
      </c>
      <c r="D7" s="828" t="n">
        <v>42.9897</v>
      </c>
      <c r="E7" s="829" t="n">
        <v>50.000328</v>
      </c>
      <c r="F7" s="31" t="n"/>
      <c r="G7" s="37" t="n"/>
      <c r="I7" s="769" t="n">
        <v>23.62219305927374</v>
      </c>
      <c r="J7" s="769" t="n">
        <v>31.37022057305163</v>
      </c>
      <c r="K7" s="769" t="n">
        <v>39.92053455283958</v>
      </c>
    </row>
    <row r="8" ht="16" customHeight="1" thickBot="1">
      <c r="A8" s="689" t="inlineStr">
        <is>
          <t>Est. On Farm Market Price $/bu. (B)</t>
        </is>
      </c>
      <c r="B8" s="69" t="n"/>
      <c r="C8" s="802" t="n">
        <v>13.2</v>
      </c>
      <c r="D8" s="791" t="n">
        <v>13.2</v>
      </c>
      <c r="E8" s="792" t="n">
        <v>13.2</v>
      </c>
      <c r="F8" s="31" t="n"/>
      <c r="G8" s="37" t="n"/>
      <c r="I8" s="427">
        <f>C8</f>
        <v/>
      </c>
      <c r="J8" s="427">
        <f>D8</f>
        <v/>
      </c>
      <c r="K8" s="427">
        <f>E8</f>
        <v/>
      </c>
    </row>
    <row r="9" ht="16" customHeight="1" thickBot="1">
      <c r="A9" s="70" t="inlineStr">
        <is>
          <t>Estimated Gross Revenue/ac (AxB)=C</t>
        </is>
      </c>
      <c r="B9" s="71">
        <f>ROUND((B8*B7),2)</f>
        <v/>
      </c>
      <c r="C9" s="471">
        <f>ROUND((C8*C7),2)</f>
        <v/>
      </c>
      <c r="D9" s="498">
        <f>ROUND((D8*D7),2)</f>
        <v/>
      </c>
      <c r="E9" s="499">
        <f>ROUND((E8*E7),2)</f>
        <v/>
      </c>
      <c r="F9" s="31" t="n"/>
      <c r="G9" s="37" t="n"/>
      <c r="I9" s="474">
        <f>ROUND((I8*I7),2)</f>
        <v/>
      </c>
      <c r="J9" s="474">
        <f>ROUND((J8*J7),2)</f>
        <v/>
      </c>
      <c r="K9" s="474">
        <f>ROUND((K8*K7),2)</f>
        <v/>
      </c>
    </row>
    <row r="10">
      <c r="A10" s="67" t="n"/>
      <c r="B10" s="72" t="n"/>
      <c r="C10" s="350" t="n"/>
      <c r="D10" s="345" t="n"/>
      <c r="E10" s="346" t="n"/>
      <c r="F10" s="31" t="n"/>
      <c r="G10" s="37" t="n"/>
      <c r="I10" s="464" t="n"/>
      <c r="J10" s="464" t="n"/>
      <c r="K10" s="464" t="n"/>
    </row>
    <row r="11" ht="16" customHeight="1">
      <c r="A11" s="73" t="inlineStr">
        <is>
          <t>EXPENSES PER ACRE</t>
        </is>
      </c>
      <c r="B11" s="72" t="n"/>
      <c r="C11" s="295" t="n"/>
      <c r="D11" s="359" t="n"/>
      <c r="E11" s="360" t="n"/>
      <c r="F11" s="31" t="n"/>
      <c r="G11" s="37" t="n"/>
      <c r="I11" s="464" t="n"/>
      <c r="J11" s="464" t="n"/>
      <c r="K11" s="464" t="n"/>
    </row>
    <row r="12" ht="16" customHeight="1">
      <c r="A12" s="73" t="inlineStr">
        <is>
          <t>Variable Expenses/acre</t>
        </is>
      </c>
      <c r="B12" s="72" t="n"/>
      <c r="C12" s="295" t="n"/>
      <c r="D12" s="359" t="n"/>
      <c r="E12" s="360" t="n"/>
      <c r="F12" s="31" t="n"/>
      <c r="G12" s="37" t="n"/>
      <c r="I12" s="464" t="n"/>
      <c r="J12" s="464" t="n"/>
      <c r="K12" s="464" t="n"/>
    </row>
    <row r="13" ht="16" customHeight="1">
      <c r="A13" s="689" t="inlineStr">
        <is>
          <t>Seed</t>
        </is>
      </c>
      <c r="B13" s="74" t="n"/>
      <c r="C13" s="715" t="n">
        <v>84.35000000000001</v>
      </c>
      <c r="D13" s="716" t="n">
        <v>84.35000000000001</v>
      </c>
      <c r="E13" s="717" t="n">
        <v>84.35000000000001</v>
      </c>
      <c r="F13" s="31" t="n"/>
      <c r="G13" s="37" t="n"/>
      <c r="I13" s="427">
        <f>C13</f>
        <v/>
      </c>
      <c r="J13" s="427">
        <f>D13</f>
        <v/>
      </c>
      <c r="K13" s="427">
        <f>E13</f>
        <v/>
      </c>
    </row>
    <row r="14" ht="16" customHeight="1">
      <c r="A14" s="689" t="inlineStr">
        <is>
          <t xml:space="preserve">                     -Seed Treatments/Inoculants</t>
        </is>
      </c>
      <c r="B14" s="74" t="n"/>
      <c r="C14" s="715" t="n">
        <v>9</v>
      </c>
      <c r="D14" s="716" t="n">
        <v>9</v>
      </c>
      <c r="E14" s="717" t="n">
        <v>9</v>
      </c>
      <c r="F14" s="31" t="n"/>
      <c r="G14" s="37" t="n"/>
      <c r="I14" s="427">
        <f>C14</f>
        <v/>
      </c>
      <c r="J14" s="427">
        <f>D14</f>
        <v/>
      </c>
      <c r="K14" s="427">
        <f>E14</f>
        <v/>
      </c>
    </row>
    <row r="15" ht="16" customHeight="1">
      <c r="A15" s="689" t="inlineStr">
        <is>
          <t>Fertilizer -Nitrogen (N)</t>
        </is>
      </c>
      <c r="B15" s="74" t="n"/>
      <c r="C15" s="793" t="n">
        <v>54.03219442910124</v>
      </c>
      <c r="D15" s="794" t="n">
        <v>66.31223861753334</v>
      </c>
      <c r="E15" s="795" t="n">
        <v>76.95494358084116</v>
      </c>
      <c r="F15" s="31" t="n"/>
      <c r="G15" s="37" t="n"/>
      <c r="I15" s="427">
        <f>C15</f>
        <v/>
      </c>
      <c r="J15" s="427">
        <f>D15</f>
        <v/>
      </c>
      <c r="K15" s="427">
        <f>E15</f>
        <v/>
      </c>
    </row>
    <row r="16" ht="16" customHeight="1">
      <c r="A16" s="689" t="inlineStr">
        <is>
          <t xml:space="preserve">               -Phosphorous (P2O5)</t>
        </is>
      </c>
      <c r="B16" s="74" t="n"/>
      <c r="C16" s="793" t="n">
        <v>26.9113924818967</v>
      </c>
      <c r="D16" s="794" t="n">
        <v>32.67811944230314</v>
      </c>
      <c r="E16" s="795" t="n">
        <v>37.48372524264184</v>
      </c>
      <c r="F16" s="31" t="n"/>
      <c r="G16" s="37" t="n"/>
      <c r="I16" s="427">
        <f>C16</f>
        <v/>
      </c>
      <c r="J16" s="427">
        <f>D16</f>
        <v/>
      </c>
      <c r="K16" s="427">
        <f>E16</f>
        <v/>
      </c>
    </row>
    <row r="17" ht="16" customHeight="1">
      <c r="A17" s="689" t="inlineStr">
        <is>
          <t xml:space="preserve">               -Sulphur and Other</t>
        </is>
      </c>
      <c r="B17" s="75" t="n"/>
      <c r="C17" s="796" t="n">
        <v>4.387608827165365</v>
      </c>
      <c r="D17" s="797" t="n">
        <v>4.936059930561036</v>
      </c>
      <c r="E17" s="798" t="n">
        <v>6.032962137352377</v>
      </c>
      <c r="F17" s="31" t="n"/>
      <c r="G17" s="37" t="n"/>
      <c r="I17" s="427">
        <f>C17</f>
        <v/>
      </c>
      <c r="J17" s="427">
        <f>D17</f>
        <v/>
      </c>
      <c r="K17" s="427">
        <f>E17</f>
        <v/>
      </c>
    </row>
    <row r="18" ht="16" customHeight="1">
      <c r="A18" s="689" t="inlineStr">
        <is>
          <t>Plant Protection -Herbicides</t>
        </is>
      </c>
      <c r="B18" s="74" t="n"/>
      <c r="C18" s="715" t="n">
        <v>61.26496913580247</v>
      </c>
      <c r="D18" s="716" t="n">
        <v>61.26496913580247</v>
      </c>
      <c r="E18" s="717" t="n">
        <v>73.93023650754762</v>
      </c>
      <c r="F18" s="31" t="n"/>
      <c r="G18" s="37" t="n"/>
      <c r="I18" s="427">
        <f>C18</f>
        <v/>
      </c>
      <c r="J18" s="427">
        <f>D18</f>
        <v/>
      </c>
      <c r="K18" s="427">
        <f>E18</f>
        <v/>
      </c>
    </row>
    <row r="19" ht="16" customHeight="1">
      <c r="A19" s="689" t="inlineStr">
        <is>
          <t xml:space="preserve">                     -Insecticides</t>
        </is>
      </c>
      <c r="B19" s="74" t="n"/>
      <c r="C19" s="715" t="n">
        <v>5.774999999999999</v>
      </c>
      <c r="D19" s="716" t="n">
        <v>5.774999999999999</v>
      </c>
      <c r="E19" s="717" t="n">
        <v>5.774999999999999</v>
      </c>
      <c r="F19" s="31" t="n"/>
      <c r="G19" s="37" t="n"/>
      <c r="I19" s="427">
        <f>C19</f>
        <v/>
      </c>
      <c r="J19" s="427">
        <f>D19</f>
        <v/>
      </c>
      <c r="K19" s="427">
        <f>E19</f>
        <v/>
      </c>
    </row>
    <row r="20" ht="16" customHeight="1">
      <c r="A20" s="689" t="inlineStr">
        <is>
          <t xml:space="preserve">                     -Fungicides</t>
        </is>
      </c>
      <c r="B20" s="74" t="n"/>
      <c r="C20" s="715" t="n">
        <v>0</v>
      </c>
      <c r="D20" s="716" t="n">
        <v>23.88333333333334</v>
      </c>
      <c r="E20" s="717" t="n">
        <v>23.88333333333334</v>
      </c>
      <c r="F20" s="31" t="n"/>
      <c r="G20" s="37" t="n"/>
      <c r="I20" s="427">
        <f>C20</f>
        <v/>
      </c>
      <c r="J20" s="427">
        <f>D20</f>
        <v/>
      </c>
      <c r="K20" s="427">
        <f>E20</f>
        <v/>
      </c>
    </row>
    <row r="21" ht="16" customHeight="1">
      <c r="A21" s="689" t="inlineStr">
        <is>
          <t>Machinery Operating -Fuel</t>
        </is>
      </c>
      <c r="B21" s="75" t="n"/>
      <c r="C21" s="770" t="n">
        <v>17.00660868</v>
      </c>
      <c r="D21" s="771" t="n">
        <v>21.25826085</v>
      </c>
      <c r="E21" s="772" t="n">
        <v>26.5728260625</v>
      </c>
      <c r="F21" s="31" t="n"/>
      <c r="G21" s="37" t="n"/>
      <c r="I21" s="427">
        <f>C21</f>
        <v/>
      </c>
      <c r="J21" s="427">
        <f>D21</f>
        <v/>
      </c>
      <c r="K21" s="427">
        <f>E21</f>
        <v/>
      </c>
    </row>
    <row r="22" ht="16" customHeight="1">
      <c r="A22" s="689" t="inlineStr">
        <is>
          <t xml:space="preserve">                                  -Repair</t>
        </is>
      </c>
      <c r="B22" s="74" t="n"/>
      <c r="C22" s="715" t="n">
        <v>11.56328841689489</v>
      </c>
      <c r="D22" s="716" t="n">
        <v>13.03949744699887</v>
      </c>
      <c r="E22" s="717" t="n">
        <v>14.75790247400408</v>
      </c>
      <c r="F22" s="31" t="n"/>
      <c r="G22" s="37" t="n"/>
      <c r="I22" s="427">
        <f>C22</f>
        <v/>
      </c>
      <c r="J22" s="427">
        <f>D22</f>
        <v/>
      </c>
      <c r="K22" s="427">
        <f>E22</f>
        <v/>
      </c>
    </row>
    <row r="23" ht="16" customHeight="1">
      <c r="A23" s="689" t="inlineStr">
        <is>
          <t>Custom Work and Hired Labour</t>
        </is>
      </c>
      <c r="B23" s="74" t="n"/>
      <c r="C23" s="715" t="n">
        <v>22.25</v>
      </c>
      <c r="D23" s="716" t="n">
        <v>22.25</v>
      </c>
      <c r="E23" s="717" t="n">
        <v>22.25</v>
      </c>
      <c r="F23" s="31" t="n"/>
      <c r="G23" s="37" t="n"/>
      <c r="I23" s="427">
        <f>C23</f>
        <v/>
      </c>
      <c r="J23" s="427">
        <f>D23</f>
        <v/>
      </c>
      <c r="K23" s="427">
        <f>E23</f>
        <v/>
      </c>
    </row>
    <row r="24" ht="16" customHeight="1">
      <c r="A24" s="689" t="inlineStr">
        <is>
          <t>Crop Insurance Premium</t>
        </is>
      </c>
      <c r="B24" s="77" t="n"/>
      <c r="C24" s="830" t="n">
        <v>14.25244975867482</v>
      </c>
      <c r="D24" s="831" t="n">
        <v>11.34152428740985</v>
      </c>
      <c r="E24" s="832" t="n">
        <v>11.24581072154448</v>
      </c>
      <c r="F24" s="31" t="n"/>
      <c r="G24" s="37" t="n"/>
      <c r="I24" s="427">
        <f>C24</f>
        <v/>
      </c>
      <c r="J24" s="427">
        <f>D24</f>
        <v/>
      </c>
      <c r="K24" s="427">
        <f>E24</f>
        <v/>
      </c>
    </row>
    <row r="25" ht="16" customHeight="1">
      <c r="A25" s="689" t="inlineStr">
        <is>
          <t>Hail Insurance Premium</t>
        </is>
      </c>
      <c r="B25" s="77" t="n"/>
      <c r="C25" s="830" t="n">
        <v>14</v>
      </c>
      <c r="D25" s="831" t="n">
        <v>14</v>
      </c>
      <c r="E25" s="832" t="n">
        <v>14</v>
      </c>
      <c r="F25" s="31" t="n"/>
      <c r="G25" s="37" t="n"/>
      <c r="I25" s="427">
        <f>C25</f>
        <v/>
      </c>
      <c r="J25" s="427">
        <f>D25</f>
        <v/>
      </c>
      <c r="K25" s="427">
        <f>E25</f>
        <v/>
      </c>
    </row>
    <row r="26" ht="16" customHeight="1">
      <c r="A26" s="689" t="inlineStr">
        <is>
          <t>Utilities and Miscellaneous</t>
        </is>
      </c>
      <c r="B26" s="75" t="n"/>
      <c r="C26" s="715" t="n">
        <v>4.395974170413743</v>
      </c>
      <c r="D26" s="716" t="n">
        <v>5.768849384517721</v>
      </c>
      <c r="E26" s="717" t="n">
        <v>6.656364674443524</v>
      </c>
      <c r="F26" s="31" t="n"/>
      <c r="G26" s="37" t="n"/>
      <c r="I26" s="427">
        <f>C26</f>
        <v/>
      </c>
      <c r="J26" s="427">
        <f>D26</f>
        <v/>
      </c>
      <c r="K26" s="427">
        <f>E26</f>
        <v/>
      </c>
    </row>
    <row r="27" ht="16" customHeight="1" thickBot="1">
      <c r="A27" s="689" t="inlineStr">
        <is>
          <t>Interest on Variable Expenses</t>
        </is>
      </c>
      <c r="B27" s="74" t="n"/>
      <c r="C27" s="718" t="n">
        <v>12.46530853274474</v>
      </c>
      <c r="D27" s="719" t="n">
        <v>14.23248401195768</v>
      </c>
      <c r="E27" s="720" t="n">
        <v>15.63488556593536</v>
      </c>
      <c r="F27" s="31" t="n"/>
      <c r="G27" s="37" t="n"/>
      <c r="I27" s="427">
        <f>C27</f>
        <v/>
      </c>
      <c r="J27" s="427">
        <f>D27</f>
        <v/>
      </c>
      <c r="K27" s="427">
        <f>E27</f>
        <v/>
      </c>
    </row>
    <row r="28" ht="16" customHeight="1" thickBot="1">
      <c r="A28" s="70" t="inlineStr">
        <is>
          <t>Total Variable Expenses (D)</t>
        </is>
      </c>
      <c r="B28" s="78">
        <f>SUM(B13:B27)</f>
        <v/>
      </c>
      <c r="C28" s="423">
        <f>SUM(C13:C27)</f>
        <v/>
      </c>
      <c r="D28" s="430">
        <f>SUM(D13:D27)</f>
        <v/>
      </c>
      <c r="E28" s="431">
        <f>SUM(E13:E27)</f>
        <v/>
      </c>
      <c r="F28" s="31" t="n"/>
      <c r="G28" s="37" t="n"/>
      <c r="I28" s="428">
        <f>SUM(I13:I27)</f>
        <v/>
      </c>
      <c r="J28" s="428">
        <f>SUM(J13:J27)</f>
        <v/>
      </c>
      <c r="K28" s="428">
        <f>SUM(K13:K27)</f>
        <v/>
      </c>
    </row>
    <row r="29">
      <c r="A29" s="67" t="n"/>
      <c r="B29" s="72" t="n"/>
      <c r="C29" s="295" t="n"/>
      <c r="D29" s="359" t="n"/>
      <c r="E29" s="360" t="n"/>
      <c r="F29" s="31" t="n"/>
      <c r="G29" s="37" t="n"/>
      <c r="I29" s="464" t="n"/>
      <c r="J29" s="464" t="n"/>
      <c r="K29" s="464" t="n"/>
    </row>
    <row r="30" ht="16" customHeight="1">
      <c r="A30" s="73" t="inlineStr">
        <is>
          <t>Other Expenses/acre</t>
        </is>
      </c>
      <c r="B30" s="72" t="n"/>
      <c r="C30" s="295" t="n"/>
      <c r="D30" s="359" t="n"/>
      <c r="E30" s="360" t="n"/>
      <c r="F30" s="31" t="n"/>
      <c r="G30" s="37" t="n"/>
      <c r="I30" s="464" t="n"/>
      <c r="J30" s="464" t="n"/>
      <c r="K30" s="464" t="n"/>
    </row>
    <row r="31" ht="16" customHeight="1">
      <c r="A31" s="689" t="inlineStr">
        <is>
          <t>Building Repair</t>
        </is>
      </c>
      <c r="B31" s="722" t="n"/>
      <c r="C31" s="773" t="n">
        <v>0.7445684561908097</v>
      </c>
      <c r="D31" s="774" t="n">
        <v>0.9756414253534748</v>
      </c>
      <c r="E31" s="775" t="n">
        <v>1.335088266273176</v>
      </c>
      <c r="F31" s="31" t="n"/>
      <c r="G31" s="37" t="n"/>
      <c r="I31" s="776">
        <f>C31</f>
        <v/>
      </c>
      <c r="J31" s="776">
        <f>D31</f>
        <v/>
      </c>
      <c r="K31" s="776">
        <f>E31</f>
        <v/>
      </c>
    </row>
    <row r="32" ht="16" customHeight="1">
      <c r="A32" s="689" t="inlineStr">
        <is>
          <t>Property Taxes</t>
        </is>
      </c>
      <c r="B32" s="727" t="n"/>
      <c r="C32" s="777" t="n">
        <v>5.076533574707355</v>
      </c>
      <c r="D32" s="778" t="n">
        <v>6.642698188180902</v>
      </c>
      <c r="E32" s="779" t="n">
        <v>10.0720586349247</v>
      </c>
      <c r="F32" s="31" t="n"/>
      <c r="G32" s="37" t="n"/>
      <c r="I32" s="776">
        <f>C32</f>
        <v/>
      </c>
      <c r="J32" s="776">
        <f>D32</f>
        <v/>
      </c>
      <c r="K32" s="776">
        <f>E32</f>
        <v/>
      </c>
    </row>
    <row r="33" ht="16" customHeight="1">
      <c r="A33" s="689" t="inlineStr">
        <is>
          <t>Business Overhead</t>
        </is>
      </c>
      <c r="B33" s="731" t="n"/>
      <c r="C33" s="773" t="n">
        <v>2.607474711623781</v>
      </c>
      <c r="D33" s="774" t="n">
        <v>3.986427684117127</v>
      </c>
      <c r="E33" s="775" t="n">
        <v>4.675904170363799</v>
      </c>
      <c r="F33" s="31" t="n"/>
      <c r="G33" s="37" t="n"/>
      <c r="I33" s="776">
        <f>C33</f>
        <v/>
      </c>
      <c r="J33" s="776">
        <f>D33</f>
        <v/>
      </c>
      <c r="K33" s="776">
        <f>E33</f>
        <v/>
      </c>
    </row>
    <row r="34" ht="16" customHeight="1">
      <c r="A34" s="689" t="inlineStr">
        <is>
          <t>Machinery Depreciation</t>
        </is>
      </c>
      <c r="B34" s="732" t="n"/>
      <c r="C34" s="777" t="n">
        <v>47.58737925414436</v>
      </c>
      <c r="D34" s="778" t="n">
        <v>53.66254718572614</v>
      </c>
      <c r="E34" s="779" t="n">
        <v>60.73444479686295</v>
      </c>
      <c r="F34" s="31" t="n"/>
      <c r="G34" s="37" t="n"/>
      <c r="I34" s="776">
        <f>C34</f>
        <v/>
      </c>
      <c r="J34" s="776">
        <f>D34</f>
        <v/>
      </c>
      <c r="K34" s="776">
        <f>E34</f>
        <v/>
      </c>
    </row>
    <row r="35" ht="16" customHeight="1">
      <c r="A35" s="689" t="inlineStr">
        <is>
          <t>Building Depreciation</t>
        </is>
      </c>
      <c r="B35" s="722" t="n"/>
      <c r="C35" s="773" t="n">
        <v>1.45</v>
      </c>
      <c r="D35" s="774" t="n">
        <v>1.9</v>
      </c>
      <c r="E35" s="775" t="n">
        <v>2.6</v>
      </c>
      <c r="F35" s="31" t="n"/>
      <c r="G35" s="37" t="n"/>
      <c r="I35" s="776">
        <f>C35</f>
        <v/>
      </c>
      <c r="J35" s="776">
        <f>D35</f>
        <v/>
      </c>
      <c r="K35" s="776">
        <f>E35</f>
        <v/>
      </c>
    </row>
    <row r="36" ht="16" customHeight="1">
      <c r="A36" s="689" t="inlineStr">
        <is>
          <t>Machinery Investment</t>
        </is>
      </c>
      <c r="B36" s="732" t="n"/>
      <c r="C36" s="777" t="n">
        <v>30.02007569770789</v>
      </c>
      <c r="D36" s="778" t="n">
        <v>33.85254144893939</v>
      </c>
      <c r="E36" s="779" t="n">
        <v>38.31378526904906</v>
      </c>
      <c r="F36" s="31" t="n"/>
      <c r="G36" s="37" t="n"/>
      <c r="I36" s="776">
        <f>C36</f>
        <v/>
      </c>
      <c r="J36" s="776">
        <f>D36</f>
        <v/>
      </c>
      <c r="K36" s="776">
        <f>E36</f>
        <v/>
      </c>
    </row>
    <row r="37" ht="16" customHeight="1">
      <c r="A37" s="689" t="inlineStr">
        <is>
          <t>Building Investment</t>
        </is>
      </c>
      <c r="B37" s="722" t="n"/>
      <c r="C37" s="773" t="n">
        <v>1.326266666666666</v>
      </c>
      <c r="D37" s="774" t="n">
        <v>1.737866666666666</v>
      </c>
      <c r="E37" s="775" t="n">
        <v>2.378133333333333</v>
      </c>
      <c r="F37" s="31" t="n"/>
      <c r="G37" s="37" t="n"/>
      <c r="I37" s="776">
        <f>C37</f>
        <v/>
      </c>
      <c r="J37" s="776">
        <f>D37</f>
        <v/>
      </c>
      <c r="K37" s="776">
        <f>E37</f>
        <v/>
      </c>
    </row>
    <row r="38" ht="16" customHeight="1" thickBot="1">
      <c r="A38" s="689" t="inlineStr">
        <is>
          <t>Land Investment</t>
        </is>
      </c>
      <c r="B38" s="727" t="n"/>
      <c r="C38" s="777" t="n">
        <v>70.10399999999998</v>
      </c>
      <c r="D38" s="778" t="n">
        <v>80.65649999999999</v>
      </c>
      <c r="E38" s="779" t="n">
        <v>75.38025</v>
      </c>
      <c r="F38" s="31" t="n"/>
      <c r="G38" s="37" t="n"/>
      <c r="I38" s="776">
        <f>C38</f>
        <v/>
      </c>
      <c r="J38" s="776">
        <f>D38</f>
        <v/>
      </c>
      <c r="K38" s="776">
        <f>E38</f>
        <v/>
      </c>
    </row>
    <row r="39" ht="16" customHeight="1" thickBot="1">
      <c r="A39" s="39" t="inlineStr">
        <is>
          <t>Total Other Expenses (E)</t>
        </is>
      </c>
      <c r="B39" s="42">
        <f>SUM(B31:B38)</f>
        <v/>
      </c>
      <c r="C39" s="442">
        <f>SUM(C31:C38)</f>
        <v/>
      </c>
      <c r="D39" s="443">
        <f>SUM(D31:D38)</f>
        <v/>
      </c>
      <c r="E39" s="444">
        <f>SUM(E31:E38)</f>
        <v/>
      </c>
      <c r="F39" s="31" t="n"/>
      <c r="G39" s="37" t="n"/>
      <c r="I39" s="428">
        <f>SUM(I31:I38)</f>
        <v/>
      </c>
      <c r="J39" s="428">
        <f>SUM(J31:J38)</f>
        <v/>
      </c>
      <c r="K39" s="428">
        <f>SUM(K31:K38)</f>
        <v/>
      </c>
    </row>
    <row r="40" ht="16" customHeight="1" thickBot="1">
      <c r="A40" s="764" t="inlineStr">
        <is>
          <t>Labour and Management (F)*</t>
        </is>
      </c>
      <c r="B40" s="41" t="n"/>
      <c r="C40" s="492" t="n"/>
      <c r="D40" s="512" t="n"/>
      <c r="E40" s="513" t="n"/>
      <c r="F40" s="31" t="n"/>
      <c r="G40" s="37" t="n"/>
      <c r="I40" s="464" t="n"/>
      <c r="J40" s="464" t="n"/>
      <c r="K40" s="464" t="n"/>
    </row>
    <row r="41" ht="16" customHeight="1" thickBot="1">
      <c r="A41" s="45" t="inlineStr">
        <is>
          <t xml:space="preserve">Total Expenses (D+E+F)=(G) </t>
        </is>
      </c>
      <c r="B41" s="42">
        <f>B28+B39+B40</f>
        <v/>
      </c>
      <c r="C41" s="442">
        <f>C28+C39+C40</f>
        <v/>
      </c>
      <c r="D41" s="443">
        <f>D28+D39+D40</f>
        <v/>
      </c>
      <c r="E41" s="444">
        <f>E28+E39+E40</f>
        <v/>
      </c>
      <c r="F41" s="31" t="n"/>
      <c r="G41" s="37" t="n"/>
      <c r="I41" s="428">
        <f>I28+I39+I40</f>
        <v/>
      </c>
      <c r="J41" s="428">
        <f>J28+J39+J40</f>
        <v/>
      </c>
      <c r="K41" s="428">
        <f>K28+K39+K40</f>
        <v/>
      </c>
    </row>
    <row r="42" ht="16" customHeight="1" thickBot="1">
      <c r="A42" s="46" t="n"/>
      <c r="B42" s="19" t="n"/>
      <c r="C42" s="445" t="n"/>
      <c r="D42" s="612" t="n"/>
      <c r="E42" s="447" t="n"/>
      <c r="F42" s="31" t="n"/>
      <c r="G42" s="37" t="n"/>
      <c r="I42" s="464" t="n"/>
      <c r="J42" s="464" t="n"/>
      <c r="K42" s="464" t="n"/>
    </row>
    <row r="43" ht="16" customHeight="1">
      <c r="A43" s="47" t="inlineStr">
        <is>
          <t>RETURNS PER ACRE</t>
        </is>
      </c>
      <c r="B43" s="48" t="n"/>
      <c r="C43" s="493" t="n"/>
      <c r="D43" s="514" t="n"/>
      <c r="E43" s="515" t="n"/>
      <c r="F43" s="31" t="n"/>
      <c r="G43" s="37" t="n"/>
      <c r="I43" s="520" t="n"/>
      <c r="J43" s="465" t="n"/>
      <c r="K43" s="466" t="n"/>
    </row>
    <row r="44" ht="16" customHeight="1">
      <c r="A44" s="49" t="inlineStr">
        <is>
          <t xml:space="preserve"> Return over Variable Expenses (C-D) </t>
        </is>
      </c>
      <c r="B44" s="20">
        <f>B9-B28</f>
        <v/>
      </c>
      <c r="C44" s="451">
        <f>C9-C28</f>
        <v/>
      </c>
      <c r="D44" s="452">
        <f>D9-D28</f>
        <v/>
      </c>
      <c r="E44" s="453">
        <f>E9-E28</f>
        <v/>
      </c>
      <c r="F44" s="31" t="n"/>
      <c r="G44" s="37" t="n"/>
      <c r="I44" s="451">
        <f>I9-I28</f>
        <v/>
      </c>
      <c r="J44" s="467">
        <f>J9-J28</f>
        <v/>
      </c>
      <c r="K44" s="453">
        <f>K9-K28</f>
        <v/>
      </c>
    </row>
    <row r="45" ht="16" customHeight="1" thickBot="1">
      <c r="A45" s="737" t="inlineStr">
        <is>
          <t xml:space="preserve"> Return over Total Expenses (C-G)</t>
        </is>
      </c>
      <c r="B45" s="21">
        <f>B9-B41</f>
        <v/>
      </c>
      <c r="C45" s="454">
        <f>C9-C41</f>
        <v/>
      </c>
      <c r="D45" s="455">
        <f>D9-D41</f>
        <v/>
      </c>
      <c r="E45" s="456">
        <f>E9-E41</f>
        <v/>
      </c>
      <c r="F45" s="31" t="n"/>
      <c r="G45" s="37" t="n"/>
      <c r="I45" s="454">
        <f>I9-I41</f>
        <v/>
      </c>
      <c r="J45" s="468">
        <f>J9-J41</f>
        <v/>
      </c>
      <c r="K45" s="456">
        <f>K9-K41</f>
        <v/>
      </c>
    </row>
    <row r="46" ht="16" customHeight="1" thickBot="1">
      <c r="A46" s="32" t="n"/>
      <c r="B46" s="19" t="n"/>
      <c r="C46" s="445" t="n"/>
      <c r="D46" s="612" t="n"/>
      <c r="E46" s="447" t="n"/>
      <c r="F46" s="31" t="n"/>
      <c r="G46" s="37" t="n"/>
      <c r="I46" s="464" t="n"/>
      <c r="J46" s="464" t="n"/>
      <c r="K46" s="464" t="n"/>
    </row>
    <row r="47" ht="16" customHeight="1">
      <c r="A47" s="51" t="inlineStr">
        <is>
          <t>BREAK-EVEN YIELD (bu./ac.)</t>
        </is>
      </c>
      <c r="B47" s="52" t="n"/>
      <c r="C47" s="494" t="n"/>
      <c r="D47" s="516" t="n"/>
      <c r="E47" s="517" t="n"/>
      <c r="F47" s="31" t="n"/>
      <c r="G47" s="37" t="n"/>
      <c r="I47" s="520" t="n"/>
      <c r="J47" s="465" t="n"/>
      <c r="K47" s="466" t="n"/>
    </row>
    <row r="48" ht="16" customHeight="1">
      <c r="A48" s="32" t="inlineStr">
        <is>
          <t>To Cover Variable Expenses</t>
        </is>
      </c>
      <c r="B48" s="20">
        <f>ROUND((B28)/B8,2)</f>
        <v/>
      </c>
      <c r="C48" s="451">
        <f>ROUND((C28)/C8,2)</f>
        <v/>
      </c>
      <c r="D48" s="452">
        <f>ROUND((D28)/D8,2)</f>
        <v/>
      </c>
      <c r="E48" s="453">
        <f>ROUND((E28)/E8,2)</f>
        <v/>
      </c>
      <c r="F48" s="31" t="n"/>
      <c r="G48" s="37" t="n"/>
      <c r="I48" s="451">
        <f>ROUND((I28)/I8,2)</f>
        <v/>
      </c>
      <c r="J48" s="467">
        <f>ROUND((J28)/J8,2)</f>
        <v/>
      </c>
      <c r="K48" s="453">
        <f>ROUND((K28)/K8,2)</f>
        <v/>
      </c>
    </row>
    <row r="49" ht="16" customHeight="1" thickBot="1">
      <c r="A49" s="53" t="inlineStr">
        <is>
          <t>To Cover Total Expenses</t>
        </is>
      </c>
      <c r="B49" s="21">
        <f>ROUND(B41/B8,2)</f>
        <v/>
      </c>
      <c r="C49" s="454">
        <f>ROUND(C41/C8,2)</f>
        <v/>
      </c>
      <c r="D49" s="455">
        <f>ROUND(D41/D8,2)</f>
        <v/>
      </c>
      <c r="E49" s="456">
        <f>ROUND(E41/E8,2)</f>
        <v/>
      </c>
      <c r="F49" s="31" t="n"/>
      <c r="G49" s="37" t="n"/>
      <c r="I49" s="454">
        <f>ROUND(I41/I8,2)</f>
        <v/>
      </c>
      <c r="J49" s="468">
        <f>ROUND(J41/J8,2)</f>
        <v/>
      </c>
      <c r="K49" s="456">
        <f>ROUND(K41/K8,2)</f>
        <v/>
      </c>
    </row>
    <row r="50" ht="16" customHeight="1" thickBot="1">
      <c r="A50" s="32" t="n"/>
      <c r="B50" s="744" t="n"/>
      <c r="C50" s="819" t="n"/>
      <c r="D50" s="833" t="n"/>
      <c r="E50" s="834" t="n"/>
      <c r="F50" s="31" t="n"/>
      <c r="G50" s="37" t="n"/>
      <c r="I50" s="464" t="n"/>
      <c r="J50" s="464" t="n"/>
      <c r="K50" s="464" t="n"/>
    </row>
    <row r="51" ht="16" customHeight="1">
      <c r="A51" s="51" t="inlineStr">
        <is>
          <t>BREAK-EVEN PRICE ($ per bu.)</t>
        </is>
      </c>
      <c r="B51" s="52" t="n"/>
      <c r="C51" s="494" t="n"/>
      <c r="D51" s="516" t="n"/>
      <c r="E51" s="517" t="n"/>
      <c r="F51" s="31" t="n"/>
      <c r="G51" s="37" t="n"/>
      <c r="I51" s="520" t="n"/>
      <c r="J51" s="465" t="n"/>
      <c r="K51" s="466" t="n"/>
    </row>
    <row r="52" ht="16" customHeight="1">
      <c r="A52" s="32" t="inlineStr">
        <is>
          <t>To Cover Variable Expenses</t>
        </is>
      </c>
      <c r="B52" s="20">
        <f>ROUND((B28)/B7,2)</f>
        <v/>
      </c>
      <c r="C52" s="451">
        <f>ROUND((C28)/C7,2)</f>
        <v/>
      </c>
      <c r="D52" s="452">
        <f>ROUND((D28)/D7,2)</f>
        <v/>
      </c>
      <c r="E52" s="453">
        <f>ROUND((E28)/E7,2)</f>
        <v/>
      </c>
      <c r="F52" s="31" t="n"/>
      <c r="G52" s="37" t="n"/>
      <c r="I52" s="451">
        <f>ROUND((I28)/I7,2)</f>
        <v/>
      </c>
      <c r="J52" s="467">
        <f>ROUND((J28)/J7,2)</f>
        <v/>
      </c>
      <c r="K52" s="453">
        <f>ROUND((K28)/K7,2)</f>
        <v/>
      </c>
    </row>
    <row r="53" ht="16" customHeight="1" thickBot="1">
      <c r="A53" s="53" t="inlineStr">
        <is>
          <t>To Cover Total Expenses</t>
        </is>
      </c>
      <c r="B53" s="21">
        <f>ROUND(B41/B7,2)</f>
        <v/>
      </c>
      <c r="C53" s="454">
        <f>ROUND(C41/C7,2)</f>
        <v/>
      </c>
      <c r="D53" s="455">
        <f>ROUND(D41/D7,2)</f>
        <v/>
      </c>
      <c r="E53" s="456">
        <f>ROUND(E41/E7,2)</f>
        <v/>
      </c>
      <c r="F53" s="31" t="n"/>
      <c r="G53" s="37" t="n"/>
      <c r="I53" s="454">
        <f>ROUND(I41/I7,2)</f>
        <v/>
      </c>
      <c r="J53" s="468">
        <f>ROUND(J41/J7,2)</f>
        <v/>
      </c>
      <c r="K53" s="456">
        <f>ROUND(K41/K7,2)</f>
        <v/>
      </c>
    </row>
    <row r="54" ht="16" customHeight="1" thickBot="1">
      <c r="A54" s="55" t="n"/>
      <c r="B54" s="17" t="n"/>
      <c r="C54" s="612" t="n"/>
      <c r="D54" s="612" t="n"/>
      <c r="E54" s="612" t="n"/>
      <c r="F54" s="31" t="n"/>
    </row>
    <row r="55" ht="16" customHeight="1">
      <c r="A55" s="47" t="inlineStr">
        <is>
          <t>YIELD SENSITIVITY (same expenses but average yield)</t>
        </is>
      </c>
      <c r="B55" s="64" t="n"/>
      <c r="C55" s="462" t="n"/>
      <c r="D55" s="462" t="n"/>
      <c r="E55" s="462" t="n"/>
      <c r="F55" s="31" t="n"/>
    </row>
    <row r="56" ht="16" customHeight="1">
      <c r="A56" s="49" t="inlineStr">
        <is>
          <t>Provincial Average Yield (bu./ac)</t>
        </is>
      </c>
      <c r="B56" s="65" t="n"/>
      <c r="C56" s="612">
        <f>I7</f>
        <v/>
      </c>
      <c r="D56" s="612">
        <f>J7</f>
        <v/>
      </c>
      <c r="E56" s="612">
        <f>K7</f>
        <v/>
      </c>
      <c r="F56" s="31" t="n"/>
    </row>
    <row r="57" ht="16" customHeight="1">
      <c r="A57" s="49" t="inlineStr">
        <is>
          <t xml:space="preserve"> Return over Variable Expenses </t>
        </is>
      </c>
      <c r="B57" s="65" t="n"/>
      <c r="C57" s="612">
        <f>I44</f>
        <v/>
      </c>
      <c r="D57" s="612">
        <f>J44</f>
        <v/>
      </c>
      <c r="E57" s="612">
        <f>K44</f>
        <v/>
      </c>
      <c r="F57" s="31" t="n"/>
    </row>
    <row r="58" ht="16" customHeight="1" thickBot="1">
      <c r="A58" s="737" t="inlineStr">
        <is>
          <t xml:space="preserve"> Return over Total Expenses </t>
        </is>
      </c>
      <c r="B58" s="66" t="n"/>
      <c r="C58" s="463">
        <f>I45</f>
        <v/>
      </c>
      <c r="D58" s="463">
        <f>J45</f>
        <v/>
      </c>
      <c r="E58" s="463">
        <f>K45</f>
        <v/>
      </c>
      <c r="F58" s="750" t="n"/>
    </row>
    <row r="59" ht="16" customHeight="1">
      <c r="A59" s="22" t="inlineStr">
        <is>
          <t>*Farm managers need to determine their own actual labour and management costs and add it to total expenses.</t>
        </is>
      </c>
      <c r="B59" s="24" t="n"/>
      <c r="C59" s="24" t="n"/>
      <c r="D59" s="24" t="n"/>
      <c r="E59" s="24" t="n"/>
    </row>
    <row r="60">
      <c r="A60" s="24" t="n"/>
      <c r="B60" s="24" t="n"/>
      <c r="C60" s="24" t="n"/>
      <c r="D60" s="24" t="n"/>
      <c r="E60" s="24" t="n"/>
    </row>
    <row r="61">
      <c r="A61" s="24" t="n"/>
      <c r="B61" s="24" t="n"/>
      <c r="C61" s="419" t="n"/>
      <c r="D61" s="419" t="n"/>
      <c r="E61" s="419" t="n"/>
    </row>
    <row r="62" ht="16" customHeight="1">
      <c r="A62" s="57" t="n"/>
      <c r="B62" s="56" t="n"/>
      <c r="C62" s="56" t="n"/>
      <c r="D62" s="56" t="n"/>
      <c r="E62" s="56" t="n"/>
    </row>
    <row r="63" ht="16" customHeight="1">
      <c r="A63" s="57" t="n"/>
      <c r="B63" s="56" t="n"/>
      <c r="C63" s="56" t="n"/>
      <c r="D63" s="56" t="n"/>
      <c r="E63" s="56" t="n"/>
    </row>
  </sheetData>
  <mergeCells count="2">
    <mergeCell ref="F3:F58"/>
    <mergeCell ref="I4:K4"/>
  </mergeCells>
  <pageMargins left="0.7" right="0.7" top="0.75" bottom="0.75" header="0.3" footer="0.3"/>
  <pageSetup orientation="portrait" horizontalDpi="90" verticalDpi="90"/>
</worksheet>
</file>

<file path=xl/worksheets/sheet14.xml><?xml version="1.0" encoding="utf-8"?>
<worksheet xmlns="http://schemas.openxmlformats.org/spreadsheetml/2006/main">
  <sheetPr>
    <outlinePr summaryBelow="1" summaryRight="1"/>
    <pageSetUpPr/>
  </sheetPr>
  <dimension ref="A1:K63"/>
  <sheetViews>
    <sheetView showGridLines="0" topLeftCell="A28" workbookViewId="0">
      <selection activeCell="E28" sqref="E28"/>
    </sheetView>
  </sheetViews>
  <sheetFormatPr baseColWidth="8" defaultRowHeight="16" customHeight="1"/>
  <cols>
    <col width="55.7109375" customWidth="1" min="1" max="1"/>
    <col width="13.85546875" bestFit="1" customWidth="1" min="2" max="2"/>
    <col width="11.42578125" customWidth="1" min="3" max="3"/>
    <col width="13.85546875" bestFit="1" customWidth="1" min="4" max="5"/>
    <col width="50" customWidth="1" min="6" max="6"/>
    <col width="13.42578125" customWidth="1" min="9" max="11"/>
  </cols>
  <sheetData>
    <row r="1" ht="16" customHeight="1">
      <c r="A1" s="23" t="inlineStr">
        <is>
          <t>FLAX PRODUCTION COSTS ($/ACRE) FOR SASKATCHEWAN 2026</t>
        </is>
      </c>
      <c r="B1" s="23" t="n"/>
      <c r="C1" s="23" t="n"/>
      <c r="D1" s="23" t="n"/>
      <c r="E1" s="23" t="n"/>
      <c r="F1" s="24" t="n"/>
    </row>
    <row r="2" ht="16" customHeight="1" thickBot="1">
      <c r="A2" s="25" t="n"/>
      <c r="B2" s="25" t="n"/>
      <c r="C2" s="25" t="inlineStr">
        <is>
          <t>Economics</t>
        </is>
      </c>
      <c r="D2" s="25" t="n"/>
      <c r="E2" s="25" t="n"/>
      <c r="F2" s="25" t="inlineStr">
        <is>
          <t>Agronomics</t>
        </is>
      </c>
    </row>
    <row r="3" ht="16" customHeight="1" thickBot="1">
      <c r="A3" s="278" t="inlineStr">
        <is>
          <t>CROP</t>
        </is>
      </c>
      <c r="B3" s="279" t="n"/>
      <c r="C3" s="280" t="n"/>
      <c r="D3" s="675" t="inlineStr">
        <is>
          <t>FLAX</t>
        </is>
      </c>
      <c r="E3" s="282" t="n"/>
      <c r="F3" s="676" t="inlineStr">
        <is>
          <t>Seeding: Seeding rates used are 50 lb./ac. in the black soil zone, 45 lb./ac. in the dark brown soil zone and 40 lb./ac. in the brown soil zone.
Fertilization: Fertility costs are based on nutrient removal rates given the targeted crop yield. These are: 71 lb./ac. N and 23 lb./ac. P2O5 for the black soil zone, 60 lb./ac. N and 20 lb./ac. P2O5 for the dark brown soil zone and 48 lb./ac. N and 16 lb./ac. P2O5 for the brown soil zone. Producers are encouraged to use their own rates based on soil tests. 
Crop Rotation: Crop rotation can be used to reduce disease pressure by allowing infected crop residue to decompose between susceptible crops. Flax is not competitive against weeds and very sensitive to herbicide residues in the soil. 
Crop Protection                                                          Insect control: Wireworms, cutworms, lygus bugs, potato aphid, grasshoppers, bertha armyworm, armyworm and beet webworm might require control. 
Disease control: A single fungicide application for pasmo management has been included in this estimate. Early pasmo infection can result in losses of yield and quality. Fungicide application should be based on disease risk when the crop is susceptible to disease infection. 
Weed control: Flax has limited herbicide options. Herbicide costs are based on the following herbicide timings. Please refer to general assumptions for details. Please insert herbicide application window.</t>
        </is>
      </c>
    </row>
    <row r="4" ht="16" customHeight="1" thickBot="1">
      <c r="A4" s="26" t="n"/>
      <c r="B4" s="677" t="inlineStr">
        <is>
          <t>My Farm</t>
        </is>
      </c>
      <c r="C4" s="211" t="n"/>
      <c r="D4" s="678" t="inlineStr">
        <is>
          <t>80th percentile</t>
        </is>
      </c>
      <c r="E4" s="212" t="n"/>
      <c r="F4" s="31" t="n"/>
      <c r="I4" s="679" t="inlineStr">
        <is>
          <t xml:space="preserve">Average Yield </t>
        </is>
      </c>
      <c r="J4" s="680" t="n"/>
      <c r="K4" s="681" t="n"/>
    </row>
    <row r="5" ht="16" customHeight="1" thickBot="1">
      <c r="A5" s="682" t="inlineStr">
        <is>
          <t>Soil Zone</t>
        </is>
      </c>
      <c r="B5" s="261" t="n"/>
      <c r="C5" s="683" t="inlineStr">
        <is>
          <t>Brown</t>
        </is>
      </c>
      <c r="D5" s="684" t="inlineStr">
        <is>
          <t>Dark Brown</t>
        </is>
      </c>
      <c r="E5" s="685" t="inlineStr">
        <is>
          <t>Black</t>
        </is>
      </c>
      <c r="F5" s="31" t="n"/>
      <c r="I5" s="686" t="inlineStr">
        <is>
          <t>Brown</t>
        </is>
      </c>
      <c r="J5" s="687" t="inlineStr">
        <is>
          <t>Dark Brown</t>
        </is>
      </c>
      <c r="K5" s="688" t="inlineStr">
        <is>
          <t>Black</t>
        </is>
      </c>
    </row>
    <row r="6" ht="16" customHeight="1">
      <c r="A6" s="32" t="inlineStr">
        <is>
          <t>REVENUE PER ACRE</t>
        </is>
      </c>
      <c r="B6" s="33" t="n"/>
      <c r="C6" s="48" t="n"/>
      <c r="D6" s="58" t="n"/>
      <c r="E6" s="59" t="n"/>
      <c r="F6" s="31" t="n"/>
      <c r="I6" s="31" t="n"/>
      <c r="J6" s="31" t="n"/>
      <c r="K6" s="31" t="n"/>
    </row>
    <row r="7" ht="16" customHeight="1">
      <c r="A7" s="689" t="inlineStr">
        <is>
          <t>Estimated Yield (bu./ac) (A)</t>
        </is>
      </c>
      <c r="B7" s="68" t="n"/>
      <c r="C7" s="823" t="n">
        <v>22.27071512629042</v>
      </c>
      <c r="D7" s="789" t="n">
        <v>27.91042537622378</v>
      </c>
      <c r="E7" s="790" t="n">
        <v>32.990384</v>
      </c>
      <c r="F7" s="31" t="n"/>
      <c r="G7" s="37" t="n"/>
      <c r="I7" s="769" t="n">
        <v>13.8</v>
      </c>
      <c r="J7" s="769" t="n">
        <v>19.3</v>
      </c>
      <c r="K7" s="769" t="n">
        <v>22.8</v>
      </c>
    </row>
    <row r="8" ht="16" customHeight="1" thickBot="1">
      <c r="A8" s="689" t="inlineStr">
        <is>
          <t>Est. On Farm Market Price $/bu. (B)</t>
        </is>
      </c>
      <c r="B8" s="69" t="n"/>
      <c r="C8" s="802" t="n">
        <v>16.5</v>
      </c>
      <c r="D8" s="791" t="n">
        <v>16.5</v>
      </c>
      <c r="E8" s="792" t="n">
        <v>16.5</v>
      </c>
      <c r="F8" s="31" t="n"/>
      <c r="G8" s="37" t="n"/>
      <c r="I8" s="427">
        <f>C8</f>
        <v/>
      </c>
      <c r="J8" s="427">
        <f>D8</f>
        <v/>
      </c>
      <c r="K8" s="427">
        <f>E8</f>
        <v/>
      </c>
    </row>
    <row r="9" ht="16" customHeight="1" thickBot="1">
      <c r="A9" s="70" t="inlineStr">
        <is>
          <t>Estimated Gross Revenue/ac (AxB)=C</t>
        </is>
      </c>
      <c r="B9" s="71">
        <f>ROUND((B8*B7),2)</f>
        <v/>
      </c>
      <c r="C9" s="471">
        <f>ROUND((C8*C7),2)</f>
        <v/>
      </c>
      <c r="D9" s="472">
        <f>ROUND((D8*D7),2)</f>
        <v/>
      </c>
      <c r="E9" s="473">
        <f>ROUND((E8*E7),2)</f>
        <v/>
      </c>
      <c r="F9" s="31" t="n"/>
      <c r="G9" s="37" t="n"/>
      <c r="I9" s="474">
        <f>ROUND((I8*I7),2)</f>
        <v/>
      </c>
      <c r="J9" s="474">
        <f>ROUND((J8*J7),2)</f>
        <v/>
      </c>
      <c r="K9" s="474">
        <f>ROUND((K8*K7),2)</f>
        <v/>
      </c>
    </row>
    <row r="10">
      <c r="A10" s="67" t="n"/>
      <c r="B10" s="72" t="n"/>
      <c r="C10" s="697" t="n"/>
      <c r="D10" s="698" t="n"/>
      <c r="E10" s="699" t="n"/>
      <c r="F10" s="31" t="n"/>
      <c r="G10" s="37" t="n"/>
      <c r="I10" s="332" t="n"/>
      <c r="J10" s="332" t="n"/>
      <c r="K10" s="332" t="n"/>
    </row>
    <row r="11" ht="16" customHeight="1">
      <c r="A11" s="73" t="inlineStr">
        <is>
          <t>EXPENSES PER ACRE</t>
        </is>
      </c>
      <c r="B11" s="72" t="n"/>
      <c r="C11" s="358" t="n"/>
      <c r="D11" s="700" t="n"/>
      <c r="E11" s="701" t="n"/>
      <c r="F11" s="31" t="n"/>
      <c r="G11" s="37" t="n"/>
      <c r="I11" s="464" t="n"/>
      <c r="J11" s="464" t="n"/>
      <c r="K11" s="464" t="n"/>
    </row>
    <row r="12" ht="16" customHeight="1">
      <c r="A12" s="73" t="inlineStr">
        <is>
          <t>Variable Expenses/acre</t>
        </is>
      </c>
      <c r="B12" s="72" t="n"/>
      <c r="C12" s="358" t="n"/>
      <c r="D12" s="700" t="n"/>
      <c r="E12" s="702" t="n"/>
      <c r="F12" s="31" t="n"/>
      <c r="G12" s="37" t="n"/>
      <c r="I12" s="464" t="n"/>
      <c r="J12" s="464" t="n"/>
      <c r="K12" s="464" t="n"/>
    </row>
    <row r="13" ht="16" customHeight="1">
      <c r="A13" s="689" t="inlineStr">
        <is>
          <t>Seed</t>
        </is>
      </c>
      <c r="B13" s="74" t="n"/>
      <c r="C13" s="715" t="n">
        <v>19.08</v>
      </c>
      <c r="D13" s="716" t="n">
        <v>21.465</v>
      </c>
      <c r="E13" s="717" t="n">
        <v>23.85</v>
      </c>
      <c r="F13" s="31" t="n"/>
      <c r="G13" s="37" t="n"/>
      <c r="I13" s="427">
        <f>C13</f>
        <v/>
      </c>
      <c r="J13" s="427">
        <f>D13</f>
        <v/>
      </c>
      <c r="K13" s="427">
        <f>E13</f>
        <v/>
      </c>
    </row>
    <row r="14" ht="16" customHeight="1">
      <c r="A14" s="689" t="inlineStr">
        <is>
          <t xml:space="preserve">                     -Seed Treatments/Inoculants</t>
        </is>
      </c>
      <c r="B14" s="74" t="n"/>
      <c r="C14" s="715" t="n">
        <v>0</v>
      </c>
      <c r="D14" s="716" t="n">
        <v>0</v>
      </c>
      <c r="E14" s="717" t="n">
        <v>0</v>
      </c>
      <c r="F14" s="31" t="n"/>
      <c r="G14" s="37" t="n"/>
      <c r="I14" s="427">
        <f>C14</f>
        <v/>
      </c>
      <c r="J14" s="427">
        <f>D14</f>
        <v/>
      </c>
      <c r="K14" s="427">
        <f>E14</f>
        <v/>
      </c>
    </row>
    <row r="15" ht="16" customHeight="1">
      <c r="A15" s="689" t="inlineStr">
        <is>
          <t>Fertilizer -Nitrogen (N)</t>
        </is>
      </c>
      <c r="B15" s="74" t="n"/>
      <c r="C15" s="793" t="n">
        <v>39.29614140298272</v>
      </c>
      <c r="D15" s="794" t="n">
        <v>49.1201767537284</v>
      </c>
      <c r="E15" s="795" t="n">
        <v>58.12554249191194</v>
      </c>
      <c r="F15" s="31" t="n"/>
      <c r="G15" s="37" t="n"/>
      <c r="I15" s="427">
        <f>C15</f>
        <v/>
      </c>
      <c r="J15" s="427">
        <f>D15</f>
        <v/>
      </c>
      <c r="K15" s="427">
        <f>E15</f>
        <v/>
      </c>
    </row>
    <row r="16" ht="16" customHeight="1">
      <c r="A16" s="689" t="inlineStr">
        <is>
          <t xml:space="preserve">               -Phosphorous (P2O5)</t>
        </is>
      </c>
      <c r="B16" s="74" t="n"/>
      <c r="C16" s="793" t="n">
        <v>15.37793856108383</v>
      </c>
      <c r="D16" s="794" t="n">
        <v>19.22242320135479</v>
      </c>
      <c r="E16" s="795" t="n">
        <v>22.105786681558</v>
      </c>
      <c r="F16" s="31" t="n"/>
      <c r="G16" s="37" t="n"/>
      <c r="I16" s="427">
        <f>C16</f>
        <v/>
      </c>
      <c r="J16" s="427">
        <f>D16</f>
        <v/>
      </c>
      <c r="K16" s="427">
        <f>E16</f>
        <v/>
      </c>
    </row>
    <row r="17" ht="16" customHeight="1">
      <c r="A17" s="689" t="inlineStr">
        <is>
          <t xml:space="preserve">               -Sulphur and Other</t>
        </is>
      </c>
      <c r="B17" s="75" t="n"/>
      <c r="C17" s="796" t="n">
        <v>0</v>
      </c>
      <c r="D17" s="797" t="n">
        <v>0</v>
      </c>
      <c r="E17" s="798" t="n">
        <v>0</v>
      </c>
      <c r="F17" s="31" t="n"/>
      <c r="G17" s="37" t="n"/>
      <c r="I17" s="427">
        <f>C17</f>
        <v/>
      </c>
      <c r="J17" s="427">
        <f>D17</f>
        <v/>
      </c>
      <c r="K17" s="427">
        <f>E17</f>
        <v/>
      </c>
    </row>
    <row r="18" ht="16" customHeight="1">
      <c r="A18" s="689" t="inlineStr">
        <is>
          <t>Plant Protection -Herbicides</t>
        </is>
      </c>
      <c r="B18" s="74" t="n"/>
      <c r="C18" s="715" t="n">
        <v>47.95073224274407</v>
      </c>
      <c r="D18" s="716" t="n">
        <v>45.55917551451188</v>
      </c>
      <c r="E18" s="717" t="n">
        <v>32.04688</v>
      </c>
      <c r="F18" s="31" t="n"/>
      <c r="G18" s="37" t="n"/>
      <c r="I18" s="427">
        <f>C18</f>
        <v/>
      </c>
      <c r="J18" s="427">
        <f>D18</f>
        <v/>
      </c>
      <c r="K18" s="427">
        <f>E18</f>
        <v/>
      </c>
    </row>
    <row r="19" ht="16" customHeight="1">
      <c r="A19" s="689" t="inlineStr">
        <is>
          <t xml:space="preserve">                     -Insecticides</t>
        </is>
      </c>
      <c r="B19" s="74" t="n"/>
      <c r="C19" s="770" t="n">
        <v>0</v>
      </c>
      <c r="D19" s="771" t="n">
        <v>0</v>
      </c>
      <c r="E19" s="772" t="n">
        <v>0</v>
      </c>
      <c r="F19" s="31" t="n"/>
      <c r="G19" s="37" t="n"/>
      <c r="I19" s="427">
        <f>C19</f>
        <v/>
      </c>
      <c r="J19" s="427">
        <f>D19</f>
        <v/>
      </c>
      <c r="K19" s="427">
        <f>E19</f>
        <v/>
      </c>
    </row>
    <row r="20" ht="16" customHeight="1">
      <c r="A20" s="689" t="inlineStr">
        <is>
          <t xml:space="preserve">                     -Fungicides</t>
        </is>
      </c>
      <c r="B20" s="74" t="n"/>
      <c r="C20" s="715" t="n">
        <v>0</v>
      </c>
      <c r="D20" s="716" t="n">
        <v>23.88333333333334</v>
      </c>
      <c r="E20" s="717" t="n">
        <v>23.88333333333334</v>
      </c>
      <c r="F20" s="31" t="n"/>
      <c r="G20" s="37" t="n"/>
      <c r="I20" s="427">
        <f>C20</f>
        <v/>
      </c>
      <c r="J20" s="427">
        <f>D20</f>
        <v/>
      </c>
      <c r="K20" s="427">
        <f>E20</f>
        <v/>
      </c>
    </row>
    <row r="21" ht="16" customHeight="1">
      <c r="A21" s="689" t="inlineStr">
        <is>
          <t>Machinery Operating -Fuel</t>
        </is>
      </c>
      <c r="B21" s="75" t="n"/>
      <c r="C21" s="770" t="n">
        <v>16.06179708666667</v>
      </c>
      <c r="D21" s="771" t="n">
        <v>20.07724635833333</v>
      </c>
      <c r="E21" s="772" t="n">
        <v>25.09655794791667</v>
      </c>
      <c r="F21" s="31" t="n"/>
      <c r="G21" s="37" t="n"/>
      <c r="I21" s="427">
        <f>C21</f>
        <v/>
      </c>
      <c r="J21" s="427">
        <f>D21</f>
        <v/>
      </c>
      <c r="K21" s="427">
        <f>E21</f>
        <v/>
      </c>
    </row>
    <row r="22" ht="16" customHeight="1">
      <c r="A22" s="689" t="inlineStr">
        <is>
          <t xml:space="preserve">                                  -Repair</t>
        </is>
      </c>
      <c r="B22" s="74" t="n"/>
      <c r="C22" s="715" t="n">
        <v>11.56328841689489</v>
      </c>
      <c r="D22" s="716" t="n">
        <v>13.03949744699887</v>
      </c>
      <c r="E22" s="717" t="n">
        <v>14.75790247400408</v>
      </c>
      <c r="F22" s="31" t="n"/>
      <c r="G22" s="37" t="n"/>
      <c r="I22" s="427">
        <f>C22</f>
        <v/>
      </c>
      <c r="J22" s="427">
        <f>D22</f>
        <v/>
      </c>
      <c r="K22" s="427">
        <f>E22</f>
        <v/>
      </c>
    </row>
    <row r="23" ht="16" customHeight="1">
      <c r="A23" s="689" t="inlineStr">
        <is>
          <t>Custom Work and Hired Labour</t>
        </is>
      </c>
      <c r="B23" s="74" t="n"/>
      <c r="C23" s="715" t="n">
        <v>22</v>
      </c>
      <c r="D23" s="716" t="n">
        <v>22.25</v>
      </c>
      <c r="E23" s="717" t="n">
        <v>22.25</v>
      </c>
      <c r="F23" s="31" t="n"/>
      <c r="G23" s="37" t="n"/>
      <c r="I23" s="427">
        <f>C23</f>
        <v/>
      </c>
      <c r="J23" s="427">
        <f>D23</f>
        <v/>
      </c>
      <c r="K23" s="427">
        <f>E23</f>
        <v/>
      </c>
    </row>
    <row r="24" ht="16" customHeight="1">
      <c r="A24" s="689" t="inlineStr">
        <is>
          <t>Crop Insurance Premium</t>
        </is>
      </c>
      <c r="B24" s="77" t="n"/>
      <c r="C24" s="715" t="n">
        <v>9.970959829549841</v>
      </c>
      <c r="D24" s="716" t="n">
        <v>8.738954790101849</v>
      </c>
      <c r="E24" s="717" t="n">
        <v>10.14749094857938</v>
      </c>
      <c r="F24" s="31" t="n"/>
      <c r="G24" s="37" t="n"/>
      <c r="I24" s="427">
        <f>C24</f>
        <v/>
      </c>
      <c r="J24" s="427">
        <f>D24</f>
        <v/>
      </c>
      <c r="K24" s="427">
        <f>E24</f>
        <v/>
      </c>
    </row>
    <row r="25" ht="16" customHeight="1">
      <c r="A25" s="689" t="inlineStr">
        <is>
          <t>Hail Insurance Premium</t>
        </is>
      </c>
      <c r="B25" s="77" t="n"/>
      <c r="C25" s="830" t="n">
        <v>14</v>
      </c>
      <c r="D25" s="831" t="n">
        <v>14</v>
      </c>
      <c r="E25" s="832" t="n">
        <v>14</v>
      </c>
      <c r="F25" s="31" t="n"/>
      <c r="G25" s="37" t="n"/>
      <c r="I25" s="427">
        <f>C25</f>
        <v/>
      </c>
      <c r="J25" s="427">
        <f>D25</f>
        <v/>
      </c>
      <c r="K25" s="427">
        <f>E25</f>
        <v/>
      </c>
    </row>
    <row r="26" ht="16" customHeight="1">
      <c r="A26" s="689" t="inlineStr">
        <is>
          <t>Utilities and Miscellaneous</t>
        </is>
      </c>
      <c r="B26" s="75" t="n"/>
      <c r="C26" s="715" t="n">
        <v>4.395974170413743</v>
      </c>
      <c r="D26" s="716" t="n">
        <v>5.768849384517721</v>
      </c>
      <c r="E26" s="717" t="n">
        <v>6.656364674443524</v>
      </c>
      <c r="F26" s="31" t="n"/>
      <c r="G26" s="37" t="n"/>
      <c r="I26" s="427">
        <f>C26</f>
        <v/>
      </c>
      <c r="J26" s="427">
        <f>D26</f>
        <v/>
      </c>
      <c r="K26" s="427">
        <f>E26</f>
        <v/>
      </c>
    </row>
    <row r="27" ht="16" customHeight="1" thickBot="1">
      <c r="A27" s="689" t="inlineStr">
        <is>
          <t>Interest on Variable Expenses</t>
        </is>
      </c>
      <c r="B27" s="74" t="n"/>
      <c r="C27" s="718" t="n">
        <v>7.561853360764713</v>
      </c>
      <c r="D27" s="719" t="n">
        <v>9.20632033684506</v>
      </c>
      <c r="E27" s="720" t="n">
        <v>9.577231977159483</v>
      </c>
      <c r="F27" s="31" t="n"/>
      <c r="G27" s="37" t="n"/>
      <c r="I27" s="427">
        <f>C27</f>
        <v/>
      </c>
      <c r="J27" s="427">
        <f>D27</f>
        <v/>
      </c>
      <c r="K27" s="427">
        <f>E27</f>
        <v/>
      </c>
    </row>
    <row r="28" ht="16" customHeight="1" thickBot="1">
      <c r="A28" s="70" t="inlineStr">
        <is>
          <t>Total Variable Expenses (D)</t>
        </is>
      </c>
      <c r="B28" s="78">
        <f>SUM(B13:B27)</f>
        <v/>
      </c>
      <c r="C28" s="423">
        <f>SUM(C13:C27)</f>
        <v/>
      </c>
      <c r="D28" s="430">
        <f>SUM(D13:D27)</f>
        <v/>
      </c>
      <c r="E28" s="431">
        <f>SUM(E13:E27)</f>
        <v/>
      </c>
      <c r="F28" s="31" t="n"/>
      <c r="G28" s="37" t="n"/>
      <c r="I28" s="428">
        <f>SUM(I13:I27)</f>
        <v/>
      </c>
      <c r="J28" s="428">
        <f>SUM(J13:J27)</f>
        <v/>
      </c>
      <c r="K28" s="428">
        <f>SUM(K13:K27)</f>
        <v/>
      </c>
    </row>
    <row r="29">
      <c r="A29" s="67" t="n"/>
      <c r="B29" s="72" t="n"/>
      <c r="C29" s="721" t="n"/>
      <c r="D29" s="700" t="n"/>
      <c r="E29" s="701" t="n"/>
      <c r="F29" s="31" t="n"/>
      <c r="G29" s="37" t="n"/>
      <c r="I29" s="464" t="n"/>
      <c r="J29" s="464" t="n"/>
      <c r="K29" s="464" t="n"/>
    </row>
    <row r="30" ht="16" customHeight="1">
      <c r="A30" s="73" t="inlineStr">
        <is>
          <t>Other Expenses/acre</t>
        </is>
      </c>
      <c r="B30" s="72" t="n"/>
      <c r="C30" s="721" t="n"/>
      <c r="D30" s="700" t="n"/>
      <c r="E30" s="701" t="n"/>
      <c r="F30" s="31" t="n"/>
      <c r="G30" s="37" t="n"/>
      <c r="I30" s="464" t="n"/>
      <c r="J30" s="464" t="n"/>
      <c r="K30" s="464" t="n"/>
    </row>
    <row r="31" ht="16" customHeight="1">
      <c r="A31" s="689" t="inlineStr">
        <is>
          <t>Building Repair</t>
        </is>
      </c>
      <c r="B31" s="722" t="n"/>
      <c r="C31" s="773" t="n">
        <v>0.7445684561908097</v>
      </c>
      <c r="D31" s="774" t="n">
        <v>0.9756414253534748</v>
      </c>
      <c r="E31" s="775" t="n">
        <v>1.335088266273176</v>
      </c>
      <c r="F31" s="31" t="n"/>
      <c r="G31" s="37" t="n"/>
      <c r="I31" s="776">
        <f>C31</f>
        <v/>
      </c>
      <c r="J31" s="776">
        <f>D31</f>
        <v/>
      </c>
      <c r="K31" s="776">
        <f>E31</f>
        <v/>
      </c>
    </row>
    <row r="32" ht="16" customHeight="1">
      <c r="A32" s="689" t="inlineStr">
        <is>
          <t>Property Taxes</t>
        </is>
      </c>
      <c r="B32" s="727" t="n"/>
      <c r="C32" s="777" t="n">
        <v>5.076533574707355</v>
      </c>
      <c r="D32" s="778" t="n">
        <v>6.642698188180902</v>
      </c>
      <c r="E32" s="779" t="n">
        <v>10.0720586349247</v>
      </c>
      <c r="F32" s="31" t="n"/>
      <c r="G32" s="37" t="n"/>
      <c r="I32" s="776">
        <f>C32</f>
        <v/>
      </c>
      <c r="J32" s="776">
        <f>D32</f>
        <v/>
      </c>
      <c r="K32" s="776">
        <f>E32</f>
        <v/>
      </c>
    </row>
    <row r="33" ht="16" customHeight="1">
      <c r="A33" s="689" t="inlineStr">
        <is>
          <t>Business Overhead</t>
        </is>
      </c>
      <c r="B33" s="731" t="n"/>
      <c r="C33" s="773" t="n">
        <v>2.607474711623781</v>
      </c>
      <c r="D33" s="774" t="n">
        <v>3.986427684117127</v>
      </c>
      <c r="E33" s="775" t="n">
        <v>4.675904170363799</v>
      </c>
      <c r="F33" s="31" t="n"/>
      <c r="G33" s="37" t="n"/>
      <c r="I33" s="776">
        <f>C33</f>
        <v/>
      </c>
      <c r="J33" s="776">
        <f>D33</f>
        <v/>
      </c>
      <c r="K33" s="776">
        <f>E33</f>
        <v/>
      </c>
    </row>
    <row r="34" ht="16" customHeight="1">
      <c r="A34" s="689" t="inlineStr">
        <is>
          <t>Machinery Depreciation</t>
        </is>
      </c>
      <c r="B34" s="732" t="n"/>
      <c r="C34" s="777" t="n">
        <v>47.58737925414436</v>
      </c>
      <c r="D34" s="778" t="n">
        <v>53.66254718572614</v>
      </c>
      <c r="E34" s="779" t="n">
        <v>60.73444479686295</v>
      </c>
      <c r="F34" s="31" t="n"/>
      <c r="G34" s="37" t="n"/>
      <c r="I34" s="776">
        <f>C34</f>
        <v/>
      </c>
      <c r="J34" s="776">
        <f>D34</f>
        <v/>
      </c>
      <c r="K34" s="776">
        <f>E34</f>
        <v/>
      </c>
    </row>
    <row r="35" ht="16" customHeight="1">
      <c r="A35" s="689" t="inlineStr">
        <is>
          <t>Building Depreciation</t>
        </is>
      </c>
      <c r="B35" s="722" t="n"/>
      <c r="C35" s="773" t="n">
        <v>1.45</v>
      </c>
      <c r="D35" s="774" t="n">
        <v>1.9</v>
      </c>
      <c r="E35" s="775" t="n">
        <v>2.6</v>
      </c>
      <c r="F35" s="31" t="n"/>
      <c r="G35" s="37" t="n"/>
      <c r="I35" s="776">
        <f>C35</f>
        <v/>
      </c>
      <c r="J35" s="776">
        <f>D35</f>
        <v/>
      </c>
      <c r="K35" s="776">
        <f>E35</f>
        <v/>
      </c>
    </row>
    <row r="36" ht="16" customHeight="1">
      <c r="A36" s="689" t="inlineStr">
        <is>
          <t>Machinery Investment</t>
        </is>
      </c>
      <c r="B36" s="732" t="n"/>
      <c r="C36" s="777" t="n">
        <v>30.02007569770789</v>
      </c>
      <c r="D36" s="778" t="n">
        <v>33.85254144893939</v>
      </c>
      <c r="E36" s="779" t="n">
        <v>38.31378526904906</v>
      </c>
      <c r="F36" s="31" t="n"/>
      <c r="G36" s="37" t="n"/>
      <c r="I36" s="776">
        <f>C36</f>
        <v/>
      </c>
      <c r="J36" s="776">
        <f>D36</f>
        <v/>
      </c>
      <c r="K36" s="776">
        <f>E36</f>
        <v/>
      </c>
    </row>
    <row r="37" ht="16" customHeight="1">
      <c r="A37" s="689" t="inlineStr">
        <is>
          <t>Building Investment</t>
        </is>
      </c>
      <c r="B37" s="722" t="n"/>
      <c r="C37" s="773" t="n">
        <v>1.326266666666666</v>
      </c>
      <c r="D37" s="774" t="n">
        <v>1.737866666666666</v>
      </c>
      <c r="E37" s="775" t="n">
        <v>2.378133333333333</v>
      </c>
      <c r="F37" s="31" t="n"/>
      <c r="G37" s="37" t="n"/>
      <c r="I37" s="776">
        <f>C37</f>
        <v/>
      </c>
      <c r="J37" s="776">
        <f>D37</f>
        <v/>
      </c>
      <c r="K37" s="776">
        <f>E37</f>
        <v/>
      </c>
    </row>
    <row r="38" ht="16" customHeight="1" thickBot="1">
      <c r="A38" s="689" t="inlineStr">
        <is>
          <t>Land Investment</t>
        </is>
      </c>
      <c r="B38" s="727" t="n"/>
      <c r="C38" s="777" t="n">
        <v>70.10399999999998</v>
      </c>
      <c r="D38" s="778" t="n">
        <v>80.65649999999999</v>
      </c>
      <c r="E38" s="779" t="n">
        <v>75.38025</v>
      </c>
      <c r="F38" s="31" t="n"/>
      <c r="G38" s="37" t="n"/>
      <c r="I38" s="776">
        <f>C38</f>
        <v/>
      </c>
      <c r="J38" s="776">
        <f>D38</f>
        <v/>
      </c>
      <c r="K38" s="776">
        <f>E38</f>
        <v/>
      </c>
    </row>
    <row r="39" ht="16" customHeight="1" thickBot="1">
      <c r="A39" s="39" t="inlineStr">
        <is>
          <t>Total Other Expenses (E)</t>
        </is>
      </c>
      <c r="B39" s="42">
        <f>SUM(B31:B38)</f>
        <v/>
      </c>
      <c r="C39" s="442">
        <f>SUM(C31:C38)</f>
        <v/>
      </c>
      <c r="D39" s="443">
        <f>SUM(D31:D38)</f>
        <v/>
      </c>
      <c r="E39" s="444">
        <f>SUM(E31:E38)</f>
        <v/>
      </c>
      <c r="F39" s="31" t="n"/>
      <c r="G39" s="37" t="n"/>
      <c r="I39" s="428">
        <f>SUM(I31:I38)</f>
        <v/>
      </c>
      <c r="J39" s="428">
        <f>SUM(J31:J38)</f>
        <v/>
      </c>
      <c r="K39" s="428">
        <f>SUM(K31:K38)</f>
        <v/>
      </c>
    </row>
    <row r="40" ht="16" customHeight="1" thickBot="1">
      <c r="A40" s="764" t="inlineStr">
        <is>
          <t>Labour and Management (F)*</t>
        </is>
      </c>
      <c r="B40" s="41" t="n"/>
      <c r="C40" s="803" t="n"/>
      <c r="D40" s="804" t="n"/>
      <c r="E40" s="805" t="n"/>
      <c r="F40" s="31" t="n"/>
      <c r="G40" s="37" t="n"/>
      <c r="I40" s="464" t="n"/>
      <c r="J40" s="464" t="n"/>
      <c r="K40" s="464" t="n"/>
    </row>
    <row r="41" ht="16" customHeight="1" thickBot="1">
      <c r="A41" s="45" t="inlineStr">
        <is>
          <t xml:space="preserve">Total Expenses (D+E+F)=(G) </t>
        </is>
      </c>
      <c r="B41" s="42">
        <f>B28+B39+B40</f>
        <v/>
      </c>
      <c r="C41" s="442">
        <f>C28+C39+C40</f>
        <v/>
      </c>
      <c r="D41" s="443">
        <f>D28+D39+D40</f>
        <v/>
      </c>
      <c r="E41" s="444">
        <f>E28+E39+E40</f>
        <v/>
      </c>
      <c r="F41" s="31" t="n"/>
      <c r="G41" s="37" t="n"/>
      <c r="I41" s="428">
        <f>I28+I39+I40</f>
        <v/>
      </c>
      <c r="J41" s="428">
        <f>J28+J39+J40</f>
        <v/>
      </c>
      <c r="K41" s="428">
        <f>K28+K39+K40</f>
        <v/>
      </c>
    </row>
    <row r="42" ht="16" customHeight="1" thickBot="1">
      <c r="A42" s="46" t="n"/>
      <c r="B42" s="19" t="n"/>
      <c r="C42" s="445" t="n"/>
      <c r="D42" s="612" t="n"/>
      <c r="E42" s="447" t="n"/>
      <c r="F42" s="31" t="n"/>
      <c r="G42" s="37" t="n"/>
      <c r="I42" s="464" t="n"/>
      <c r="J42" s="464" t="n"/>
      <c r="K42" s="464" t="n"/>
    </row>
    <row r="43" ht="16" customHeight="1">
      <c r="A43" s="47" t="inlineStr">
        <is>
          <t>RETURNS PER ACRE</t>
        </is>
      </c>
      <c r="B43" s="48" t="n"/>
      <c r="C43" s="780" t="n"/>
      <c r="D43" s="781" t="n"/>
      <c r="E43" s="782" t="n"/>
      <c r="F43" s="31" t="n"/>
      <c r="G43" s="37" t="n"/>
      <c r="I43" s="520" t="n"/>
      <c r="J43" s="465" t="n"/>
      <c r="K43" s="466" t="n"/>
    </row>
    <row r="44" ht="16" customHeight="1">
      <c r="A44" s="49" t="inlineStr">
        <is>
          <t xml:space="preserve"> Return over Variable Expenses (C-D) </t>
        </is>
      </c>
      <c r="B44" s="20">
        <f>B9-B28</f>
        <v/>
      </c>
      <c r="C44" s="451">
        <f>C9-C28</f>
        <v/>
      </c>
      <c r="D44" s="452">
        <f>D9-D28</f>
        <v/>
      </c>
      <c r="E44" s="453">
        <f>E9-E28</f>
        <v/>
      </c>
      <c r="F44" s="31" t="n"/>
      <c r="G44" s="37" t="n"/>
      <c r="I44" s="451">
        <f>I9-I28</f>
        <v/>
      </c>
      <c r="J44" s="467">
        <f>J9-J28</f>
        <v/>
      </c>
      <c r="K44" s="453">
        <f>K9-K28</f>
        <v/>
      </c>
    </row>
    <row r="45" ht="16" customHeight="1" thickBot="1">
      <c r="A45" s="737" t="inlineStr">
        <is>
          <t xml:space="preserve"> Return over Total Expenses (C-G)</t>
        </is>
      </c>
      <c r="B45" s="21">
        <f>B9-B41</f>
        <v/>
      </c>
      <c r="C45" s="454">
        <f>C9-C41</f>
        <v/>
      </c>
      <c r="D45" s="455">
        <f>D9-D41</f>
        <v/>
      </c>
      <c r="E45" s="456">
        <f>E9-E41</f>
        <v/>
      </c>
      <c r="F45" s="31" t="n"/>
      <c r="G45" s="37" t="n"/>
      <c r="I45" s="454">
        <f>I9-I41</f>
        <v/>
      </c>
      <c r="J45" s="468">
        <f>J9-J41</f>
        <v/>
      </c>
      <c r="K45" s="456">
        <f>K9-K41</f>
        <v/>
      </c>
    </row>
    <row r="46" ht="16" customHeight="1" thickBot="1">
      <c r="A46" s="32" t="n"/>
      <c r="B46" s="19" t="n"/>
      <c r="C46" s="783" t="n"/>
      <c r="D46" s="784" t="n"/>
      <c r="E46" s="785" t="n"/>
      <c r="F46" s="31" t="n"/>
      <c r="G46" s="37" t="n"/>
      <c r="I46" s="464" t="n"/>
      <c r="J46" s="464" t="n"/>
      <c r="K46" s="464" t="n"/>
    </row>
    <row r="47" ht="16" customHeight="1">
      <c r="A47" s="51" t="inlineStr">
        <is>
          <t>BREAK-EVEN YIELD (bu./ac.)</t>
        </is>
      </c>
      <c r="B47" s="52" t="n"/>
      <c r="C47" s="786" t="n"/>
      <c r="D47" s="781" t="n"/>
      <c r="E47" s="787" t="n"/>
      <c r="F47" s="31" t="n"/>
      <c r="G47" s="37" t="n"/>
      <c r="I47" s="520" t="n"/>
      <c r="J47" s="465" t="n"/>
      <c r="K47" s="466" t="n"/>
    </row>
    <row r="48" ht="16" customHeight="1">
      <c r="A48" s="32" t="inlineStr">
        <is>
          <t>To Cover Variable Expenses</t>
        </is>
      </c>
      <c r="B48" s="20">
        <f>ROUND((B28)/B8,2)</f>
        <v/>
      </c>
      <c r="C48" s="451">
        <f>ROUND((C28)/C8,2)</f>
        <v/>
      </c>
      <c r="D48" s="452">
        <f>ROUND((D28)/D8,2)</f>
        <v/>
      </c>
      <c r="E48" s="453">
        <f>ROUND((E28)/E8,2)</f>
        <v/>
      </c>
      <c r="F48" s="31" t="n"/>
      <c r="G48" s="37" t="n"/>
      <c r="I48" s="451">
        <f>ROUND((I28)/I8,2)</f>
        <v/>
      </c>
      <c r="J48" s="467">
        <f>ROUND((J28)/J8,2)</f>
        <v/>
      </c>
      <c r="K48" s="453">
        <f>ROUND((K28)/K8,2)</f>
        <v/>
      </c>
    </row>
    <row r="49" ht="16" customHeight="1" thickBot="1">
      <c r="A49" s="53" t="inlineStr">
        <is>
          <t>To Cover Total Expenses</t>
        </is>
      </c>
      <c r="B49" s="21">
        <f>ROUND(B41/B8,2)</f>
        <v/>
      </c>
      <c r="C49" s="454">
        <f>ROUND(C41/C8,2)</f>
        <v/>
      </c>
      <c r="D49" s="455">
        <f>ROUND(D41/D8,2)</f>
        <v/>
      </c>
      <c r="E49" s="456">
        <f>ROUND(E41/E8,2)</f>
        <v/>
      </c>
      <c r="F49" s="31" t="n"/>
      <c r="G49" s="37" t="n"/>
      <c r="I49" s="454">
        <f>ROUND(I41/I8,2)</f>
        <v/>
      </c>
      <c r="J49" s="468">
        <f>ROUND(J41/J8,2)</f>
        <v/>
      </c>
      <c r="K49" s="456">
        <f>ROUND(K41/K8,2)</f>
        <v/>
      </c>
    </row>
    <row r="50" ht="16" customHeight="1" thickBot="1">
      <c r="A50" s="32" t="n"/>
      <c r="B50" s="744" t="n"/>
      <c r="C50" s="783" t="n"/>
      <c r="D50" s="784" t="n"/>
      <c r="E50" s="785" t="n"/>
      <c r="F50" s="31" t="n"/>
      <c r="G50" s="37" t="n"/>
      <c r="I50" s="464" t="n"/>
      <c r="J50" s="464" t="n"/>
      <c r="K50" s="464" t="n"/>
    </row>
    <row r="51" ht="16" customHeight="1">
      <c r="A51" s="51" t="inlineStr">
        <is>
          <t>BREAK-EVEN PRICE ($ per bu.)</t>
        </is>
      </c>
      <c r="B51" s="52" t="n"/>
      <c r="C51" s="786" t="n"/>
      <c r="D51" s="781" t="n"/>
      <c r="E51" s="787" t="n"/>
      <c r="F51" s="31" t="n"/>
      <c r="G51" s="37" t="n"/>
      <c r="I51" s="520" t="n"/>
      <c r="J51" s="465" t="n"/>
      <c r="K51" s="466" t="n"/>
    </row>
    <row r="52" ht="16" customHeight="1">
      <c r="A52" s="32" t="inlineStr">
        <is>
          <t>To Cover Variable Expenses</t>
        </is>
      </c>
      <c r="B52" s="20">
        <f>ROUND((B28)/B7,2)</f>
        <v/>
      </c>
      <c r="C52" s="451">
        <f>ROUND((C28)/C7,2)</f>
        <v/>
      </c>
      <c r="D52" s="452">
        <f>ROUND((D28)/D7,2)</f>
        <v/>
      </c>
      <c r="E52" s="453">
        <f>ROUND((E28)/E7,2)</f>
        <v/>
      </c>
      <c r="F52" s="31" t="n"/>
      <c r="G52" s="37" t="n"/>
      <c r="I52" s="451">
        <f>ROUND((I28)/I7,2)</f>
        <v/>
      </c>
      <c r="J52" s="467">
        <f>ROUND((J28)/J7,2)</f>
        <v/>
      </c>
      <c r="K52" s="453">
        <f>ROUND((K28)/K7,2)</f>
        <v/>
      </c>
    </row>
    <row r="53" ht="16" customHeight="1" thickBot="1">
      <c r="A53" s="53" t="inlineStr">
        <is>
          <t>To Cover Total Expenses</t>
        </is>
      </c>
      <c r="B53" s="21">
        <f>ROUND(B41/B7,2)</f>
        <v/>
      </c>
      <c r="C53" s="454">
        <f>ROUND(C41/C7,2)</f>
        <v/>
      </c>
      <c r="D53" s="455">
        <f>ROUND(D41/D7,2)</f>
        <v/>
      </c>
      <c r="E53" s="456">
        <f>ROUND(E41/E7,2)</f>
        <v/>
      </c>
      <c r="F53" s="31" t="n"/>
      <c r="G53" s="37" t="n"/>
      <c r="I53" s="454">
        <f>ROUND(I41/I7,2)</f>
        <v/>
      </c>
      <c r="J53" s="468">
        <f>ROUND(J41/J7,2)</f>
        <v/>
      </c>
      <c r="K53" s="456">
        <f>ROUND(K41/K7,2)</f>
        <v/>
      </c>
    </row>
    <row r="54" ht="16" customHeight="1" thickBot="1">
      <c r="A54" s="55" t="n"/>
      <c r="B54" s="17" t="n"/>
      <c r="C54" s="612" t="n"/>
      <c r="D54" s="612" t="n"/>
      <c r="E54" s="612" t="n"/>
      <c r="F54" s="31" t="n"/>
    </row>
    <row r="55" ht="16" customHeight="1">
      <c r="A55" s="47" t="inlineStr">
        <is>
          <t>YIELD SENSITIVITY (same expenses but average yield)</t>
        </is>
      </c>
      <c r="B55" s="64" t="n"/>
      <c r="C55" s="462" t="n"/>
      <c r="D55" s="462" t="n"/>
      <c r="E55" s="462" t="n"/>
      <c r="F55" s="31" t="n"/>
    </row>
    <row r="56" ht="16" customHeight="1">
      <c r="A56" s="49" t="inlineStr">
        <is>
          <t>Provincial Average Yield (bu./ac)</t>
        </is>
      </c>
      <c r="B56" s="65" t="n"/>
      <c r="C56" s="612">
        <f>I7</f>
        <v/>
      </c>
      <c r="D56" s="612">
        <f>J7</f>
        <v/>
      </c>
      <c r="E56" s="612">
        <f>K7</f>
        <v/>
      </c>
      <c r="F56" s="31" t="n"/>
    </row>
    <row r="57" ht="16" customHeight="1">
      <c r="A57" s="49" t="inlineStr">
        <is>
          <t xml:space="preserve"> Return over Variable Expenses </t>
        </is>
      </c>
      <c r="B57" s="65" t="n"/>
      <c r="C57" s="612">
        <f>I44</f>
        <v/>
      </c>
      <c r="D57" s="612">
        <f>J44</f>
        <v/>
      </c>
      <c r="E57" s="612">
        <f>K44</f>
        <v/>
      </c>
      <c r="F57" s="31" t="n"/>
    </row>
    <row r="58" ht="16" customHeight="1" thickBot="1">
      <c r="A58" s="737" t="inlineStr">
        <is>
          <t xml:space="preserve"> Return over Total Expenses </t>
        </is>
      </c>
      <c r="B58" s="66" t="n"/>
      <c r="C58" s="463">
        <f>I45</f>
        <v/>
      </c>
      <c r="D58" s="463">
        <f>J45</f>
        <v/>
      </c>
      <c r="E58" s="463">
        <f>K45</f>
        <v/>
      </c>
      <c r="F58" s="750" t="n"/>
    </row>
    <row r="59" ht="16" customHeight="1">
      <c r="A59" s="22" t="inlineStr">
        <is>
          <t>*Farm managers need to determine their own actual labour and management costs and add it to total expenses.</t>
        </is>
      </c>
      <c r="B59" s="24" t="n"/>
      <c r="C59" s="24" t="n"/>
      <c r="D59" s="24" t="n"/>
      <c r="E59" s="24" t="n"/>
    </row>
    <row r="60">
      <c r="A60" s="24" t="n"/>
      <c r="B60" s="24" t="n"/>
      <c r="C60" s="24" t="n"/>
      <c r="D60" s="24" t="n"/>
      <c r="E60" s="24" t="n"/>
    </row>
    <row r="61">
      <c r="A61" s="24" t="n"/>
      <c r="B61" s="24" t="n"/>
      <c r="C61" s="419" t="n"/>
      <c r="D61" s="419" t="n"/>
      <c r="E61" s="419" t="n"/>
    </row>
    <row r="62" ht="16" customHeight="1">
      <c r="A62" s="57" t="n"/>
      <c r="B62" s="56" t="n"/>
      <c r="C62" s="56" t="n"/>
      <c r="D62" s="56" t="n"/>
      <c r="E62" s="56" t="n"/>
    </row>
    <row r="63" ht="16" customHeight="1">
      <c r="A63" s="57" t="n"/>
      <c r="B63" s="56" t="n"/>
      <c r="C63" s="56" t="n"/>
      <c r="D63" s="56" t="n"/>
      <c r="E63" s="56" t="n"/>
    </row>
  </sheetData>
  <mergeCells count="2">
    <mergeCell ref="F3:F58"/>
    <mergeCell ref="I4:K4"/>
  </mergeCells>
  <pageMargins left="0.7" right="0.7" top="0.75" bottom="0.75" header="0.3" footer="0.3"/>
  <pageSetup orientation="portrait"/>
</worksheet>
</file>

<file path=xl/worksheets/sheet15.xml><?xml version="1.0" encoding="utf-8"?>
<worksheet xmlns="http://schemas.openxmlformats.org/spreadsheetml/2006/main">
  <sheetPr>
    <outlinePr summaryBelow="1" summaryRight="1"/>
    <pageSetUpPr/>
  </sheetPr>
  <dimension ref="A1:G63"/>
  <sheetViews>
    <sheetView showGridLines="0" topLeftCell="A36" workbookViewId="0">
      <selection activeCell="C28" sqref="C28"/>
    </sheetView>
  </sheetViews>
  <sheetFormatPr baseColWidth="8" defaultRowHeight="16" customHeight="1"/>
  <cols>
    <col width="55.7109375" customWidth="1" min="1" max="1"/>
    <col width="13.85546875" bestFit="1" customWidth="1" min="2" max="2"/>
    <col width="21.5703125" customWidth="1" min="3" max="3"/>
    <col width="50" customWidth="1" min="4" max="4"/>
    <col width="12.28515625" customWidth="1" min="7" max="7"/>
  </cols>
  <sheetData>
    <row r="1" ht="16" customHeight="1">
      <c r="A1" s="23" t="inlineStr">
        <is>
          <t>BROWN MUSTARD PRODUCTION COSTS ($/ACRE) FOR SASKATCHEWAN 2026</t>
        </is>
      </c>
      <c r="B1" s="23" t="n"/>
      <c r="C1" s="23" t="n"/>
      <c r="D1" s="24" t="n"/>
    </row>
    <row r="2" ht="16" customHeight="1" thickBot="1">
      <c r="A2" s="25" t="n"/>
      <c r="B2" s="25" t="n"/>
      <c r="C2" s="25" t="inlineStr">
        <is>
          <t>Economics</t>
        </is>
      </c>
      <c r="D2" s="25" t="inlineStr">
        <is>
          <t>Agronomics</t>
        </is>
      </c>
    </row>
    <row r="3" ht="16" customHeight="1" thickBot="1">
      <c r="A3" s="179" t="inlineStr">
        <is>
          <t>CROP</t>
        </is>
      </c>
      <c r="B3" s="279" t="n"/>
      <c r="C3" s="835" t="inlineStr">
        <is>
          <t>Brown Mustard</t>
        </is>
      </c>
      <c r="D3" s="836" t="inlineStr">
        <is>
          <t xml:space="preserve">Seeding: A seed rate of 6 lb./ac. is used. The brown soil zone is recommended.
Fertilization: Fertility costs are based on nutrient removal rates given the targeted crop yield. These are: 46 lb./ac. N, 15 lb./ac. P2O5 and 15 lb./ac. S. Producers are encouraged to use their own rates based on soil tests. 
Crop Rotation: Diverse crop rotations are recommended to help reduce disease pressure and suppress weed growth. 
Crop Protection                                                            Insect control: Flea beetles, cutworms, lygus bugs, cabbage seedpod weevil, diamondback moth, bertha armyworm, cabbage looper and occasionally imported cabbageworm, grasshoppers and slugs might require control. Seed treatments are available for flea beetle and cutworm control.
Disease control: The cost of fungicide is not included in this estimate. Disease risk assessment is encouraged to guide fungicide application decisions. 
Weed control: Herbicide costs are based on the following herbicide timings. Please refer to general assumptions for details.  Please insert Herbicide application window. </t>
        </is>
      </c>
    </row>
    <row r="4" ht="16" customHeight="1" thickBot="1">
      <c r="A4" s="26" t="n"/>
      <c r="B4" s="677" t="inlineStr">
        <is>
          <t>My Farm</t>
        </is>
      </c>
      <c r="C4" s="837" t="inlineStr">
        <is>
          <t>80th percentile</t>
        </is>
      </c>
      <c r="D4" s="31" t="n"/>
      <c r="G4" s="271" t="inlineStr">
        <is>
          <t>Average Yield</t>
        </is>
      </c>
    </row>
    <row r="5" ht="16" customHeight="1" thickBot="1">
      <c r="A5" s="838" t="inlineStr">
        <is>
          <t>Soil Zone</t>
        </is>
      </c>
      <c r="B5" s="839" t="inlineStr">
        <is>
          <t>Brown</t>
        </is>
      </c>
      <c r="C5" s="840" t="inlineStr">
        <is>
          <t>Brown</t>
        </is>
      </c>
      <c r="D5" s="31" t="n"/>
      <c r="G5" s="841" t="inlineStr">
        <is>
          <t>Brown</t>
        </is>
      </c>
    </row>
    <row r="6" ht="16" customHeight="1">
      <c r="A6" s="96" t="inlineStr">
        <is>
          <t>REVENUE PER ACRE</t>
        </is>
      </c>
      <c r="B6" s="86" t="n"/>
      <c r="C6" s="86" t="n"/>
      <c r="D6" s="31" t="n"/>
      <c r="G6" s="31" t="n"/>
    </row>
    <row r="7" ht="16" customHeight="1">
      <c r="A7" s="689" t="inlineStr">
        <is>
          <t>Target Yield (lb./ac.) (A)</t>
        </is>
      </c>
      <c r="B7" s="68" t="n"/>
      <c r="C7" s="842" t="n">
        <v>949.0748250062071</v>
      </c>
      <c r="D7" s="31" t="n"/>
      <c r="E7" s="37" t="n"/>
      <c r="G7" s="693" t="n">
        <v>610.1598246754498</v>
      </c>
    </row>
    <row r="8" ht="16" customHeight="1" thickBot="1">
      <c r="A8" s="689" t="inlineStr">
        <is>
          <t>Est. Farm Gate Price $/lb. (B)</t>
        </is>
      </c>
      <c r="B8" s="69" t="n"/>
      <c r="C8" s="843" t="n">
        <v>0.38</v>
      </c>
      <c r="D8" s="31" t="n"/>
      <c r="E8" s="37" t="n"/>
      <c r="G8" s="427">
        <f>C8</f>
        <v/>
      </c>
    </row>
    <row r="9" ht="16" customHeight="1" thickBot="1">
      <c r="A9" s="70" t="inlineStr">
        <is>
          <t>Estimated Gross Revenue/ac (AxB)=C</t>
        </is>
      </c>
      <c r="B9" s="71">
        <f>ROUND((B8*B7),2)</f>
        <v/>
      </c>
      <c r="C9" s="521">
        <f>ROUND((C8*C7),2)</f>
        <v/>
      </c>
      <c r="D9" s="31" t="n"/>
      <c r="E9" s="37" t="n"/>
      <c r="G9" s="474">
        <f>ROUND((G8*G7),2)</f>
        <v/>
      </c>
    </row>
    <row r="10">
      <c r="A10" s="67" t="n"/>
      <c r="B10" s="72" t="n"/>
      <c r="C10" s="350" t="n"/>
      <c r="D10" s="31" t="n"/>
      <c r="E10" s="37" t="n"/>
      <c r="G10" s="464" t="n"/>
    </row>
    <row r="11" ht="16" customHeight="1">
      <c r="A11" s="73" t="inlineStr">
        <is>
          <t>EXPENSES PER ACRE</t>
        </is>
      </c>
      <c r="B11" s="72" t="n"/>
      <c r="C11" s="295" t="n"/>
      <c r="D11" s="31" t="n"/>
      <c r="E11" s="37" t="n"/>
      <c r="G11" s="464" t="n"/>
    </row>
    <row r="12" ht="16" customHeight="1">
      <c r="A12" s="73" t="inlineStr">
        <is>
          <t>Variable Expenses/acre</t>
        </is>
      </c>
      <c r="B12" s="72" t="n"/>
      <c r="C12" s="295" t="n"/>
      <c r="D12" s="31" t="n"/>
      <c r="E12" s="37" t="n"/>
      <c r="G12" s="464" t="n"/>
    </row>
    <row r="13" ht="16" customHeight="1">
      <c r="A13" s="689" t="inlineStr">
        <is>
          <t>Seed</t>
        </is>
      </c>
      <c r="B13" s="74" t="n"/>
      <c r="C13" s="715" t="n">
        <v>44.40000000000001</v>
      </c>
      <c r="D13" s="31" t="n"/>
      <c r="E13" s="37" t="n"/>
      <c r="G13" s="427">
        <f>C13</f>
        <v/>
      </c>
    </row>
    <row r="14" ht="16" customHeight="1">
      <c r="A14" s="689" t="inlineStr">
        <is>
          <t xml:space="preserve">                     -Seed Treatments/Inoculants</t>
        </is>
      </c>
      <c r="B14" s="74" t="n"/>
      <c r="C14" s="715" t="n">
        <v>0</v>
      </c>
      <c r="D14" s="31" t="n"/>
      <c r="E14" s="37" t="n"/>
      <c r="G14" s="427">
        <f>C14</f>
        <v/>
      </c>
    </row>
    <row r="15" ht="16" customHeight="1">
      <c r="A15" s="689" t="inlineStr">
        <is>
          <t>Fertilizer -Nitrogen (N)</t>
        </is>
      </c>
      <c r="B15" s="74" t="n"/>
      <c r="C15" s="793" t="n">
        <v>37.65880217785844</v>
      </c>
      <c r="D15" s="31" t="n"/>
      <c r="E15" s="37" t="n"/>
      <c r="G15" s="427">
        <f>C15</f>
        <v/>
      </c>
    </row>
    <row r="16" ht="16" customHeight="1">
      <c r="A16" s="689" t="inlineStr">
        <is>
          <t xml:space="preserve">               -Phosphorous (P2O5)</t>
        </is>
      </c>
      <c r="B16" s="74" t="n"/>
      <c r="C16" s="793" t="n">
        <v>14.41681740101609</v>
      </c>
      <c r="D16" s="31" t="n"/>
      <c r="E16" s="37" t="n"/>
      <c r="G16" s="427">
        <f>C16</f>
        <v/>
      </c>
    </row>
    <row r="17" ht="16" customHeight="1">
      <c r="A17" s="689" t="inlineStr">
        <is>
          <t xml:space="preserve">               -Sulphur and Other</t>
        </is>
      </c>
      <c r="B17" s="75" t="n"/>
      <c r="C17" s="796" t="n">
        <v>8.226766550935059</v>
      </c>
      <c r="D17" s="31" t="n"/>
      <c r="E17" s="37" t="n"/>
      <c r="G17" s="427">
        <f>C17</f>
        <v/>
      </c>
    </row>
    <row r="18" ht="16" customHeight="1">
      <c r="A18" s="689" t="inlineStr">
        <is>
          <t>Plant Protection -Herbicides</t>
        </is>
      </c>
      <c r="B18" s="74" t="n"/>
      <c r="C18" s="715" t="n">
        <v>55.46</v>
      </c>
      <c r="D18" s="31" t="n"/>
      <c r="E18" s="37" t="n"/>
      <c r="G18" s="427">
        <f>C18</f>
        <v/>
      </c>
    </row>
    <row r="19" ht="16" customHeight="1">
      <c r="A19" s="689" t="inlineStr">
        <is>
          <t xml:space="preserve">                     -Insecticides</t>
        </is>
      </c>
      <c r="B19" s="74" t="n"/>
      <c r="C19" s="715" t="n">
        <v>7.7</v>
      </c>
      <c r="D19" s="31" t="n"/>
      <c r="E19" s="37" t="n"/>
      <c r="G19" s="427">
        <f>C19</f>
        <v/>
      </c>
    </row>
    <row r="20" ht="16" customHeight="1">
      <c r="A20" s="689" t="inlineStr">
        <is>
          <t xml:space="preserve">                     -Fungicides</t>
        </is>
      </c>
      <c r="B20" s="74" t="n"/>
      <c r="C20" s="715" t="n">
        <v>0</v>
      </c>
      <c r="D20" s="31" t="n"/>
      <c r="E20" s="37" t="n"/>
      <c r="G20" s="427">
        <f>C20</f>
        <v/>
      </c>
    </row>
    <row r="21" ht="16" customHeight="1">
      <c r="A21" s="689" t="inlineStr">
        <is>
          <t>Machinery Operating -Fuel</t>
        </is>
      </c>
      <c r="B21" s="75" t="n"/>
      <c r="C21" s="770" t="n">
        <v>24.801304325</v>
      </c>
      <c r="D21" s="31" t="n"/>
      <c r="E21" s="37" t="n"/>
      <c r="G21" s="427">
        <f>C21</f>
        <v/>
      </c>
    </row>
    <row r="22" ht="16" customHeight="1">
      <c r="A22" s="689" t="inlineStr">
        <is>
          <t xml:space="preserve">                                  -Repair</t>
        </is>
      </c>
      <c r="B22" s="74" t="n"/>
      <c r="C22" s="715" t="n">
        <v>11.56328841689489</v>
      </c>
      <c r="D22" s="31" t="n"/>
      <c r="E22" s="37" t="n"/>
      <c r="G22" s="427">
        <f>C22</f>
        <v/>
      </c>
    </row>
    <row r="23" ht="16" customHeight="1">
      <c r="A23" s="689" t="inlineStr">
        <is>
          <t>Custom Work and Hired Labour</t>
        </is>
      </c>
      <c r="B23" s="74" t="n"/>
      <c r="C23" s="715" t="n">
        <v>21.5</v>
      </c>
      <c r="D23" s="31" t="n"/>
      <c r="E23" s="37" t="n"/>
      <c r="G23" s="427">
        <f>C23</f>
        <v/>
      </c>
    </row>
    <row r="24" ht="16" customHeight="1">
      <c r="A24" s="689" t="inlineStr">
        <is>
          <t>Crop Insurance Premium</t>
        </is>
      </c>
      <c r="B24" s="77" t="n"/>
      <c r="C24" s="830" t="n">
        <v>12.02797644111293</v>
      </c>
      <c r="D24" s="31" t="n"/>
      <c r="E24" s="37" t="n"/>
      <c r="G24" s="427">
        <f>C24</f>
        <v/>
      </c>
    </row>
    <row r="25" ht="16" customHeight="1">
      <c r="A25" s="689" t="inlineStr">
        <is>
          <t>Hail Insurance Premium</t>
        </is>
      </c>
      <c r="B25" s="77" t="n"/>
      <c r="C25" s="830" t="n">
        <v>14</v>
      </c>
      <c r="D25" s="31" t="n"/>
      <c r="E25" s="37" t="n"/>
      <c r="G25" s="427">
        <f>C25</f>
        <v/>
      </c>
    </row>
    <row r="26" ht="16" customHeight="1">
      <c r="A26" s="689" t="inlineStr">
        <is>
          <t>Utilities and Miscellaneous</t>
        </is>
      </c>
      <c r="B26" s="75" t="n"/>
      <c r="C26" s="770" t="n">
        <v>4.395974170413743</v>
      </c>
      <c r="D26" s="31" t="n"/>
      <c r="E26" s="37" t="n"/>
      <c r="G26" s="427">
        <f>C26</f>
        <v/>
      </c>
    </row>
    <row r="27" ht="16" customHeight="1" thickBot="1">
      <c r="A27" s="689" t="inlineStr">
        <is>
          <t>Interest on Variable Expenses</t>
        </is>
      </c>
      <c r="B27" s="74" t="n"/>
      <c r="C27" s="718" t="n">
        <v>9.699581863098352</v>
      </c>
      <c r="D27" s="31" t="n"/>
      <c r="E27" s="37" t="n"/>
      <c r="G27" s="427">
        <f>C27</f>
        <v/>
      </c>
    </row>
    <row r="28" ht="16" customHeight="1" thickBot="1">
      <c r="A28" s="70" t="inlineStr">
        <is>
          <t>Total Variable Expenses (D)</t>
        </is>
      </c>
      <c r="B28" s="78">
        <f>SUM(B13:B27)</f>
        <v/>
      </c>
      <c r="C28" s="502">
        <f>SUM(C13:C27)</f>
        <v/>
      </c>
      <c r="D28" s="31" t="n"/>
      <c r="E28" s="37" t="n"/>
      <c r="G28" s="428">
        <f>SUM(G13:G27)</f>
        <v/>
      </c>
    </row>
    <row r="29">
      <c r="A29" s="67" t="n"/>
      <c r="B29" s="72" t="n"/>
      <c r="C29" s="350" t="n"/>
      <c r="D29" s="31" t="n"/>
      <c r="E29" s="37" t="n"/>
      <c r="G29" s="464" t="n"/>
    </row>
    <row r="30" ht="16" customHeight="1">
      <c r="A30" s="73" t="inlineStr">
        <is>
          <t>Other Expenses/acre</t>
        </is>
      </c>
      <c r="B30" s="72" t="n"/>
      <c r="C30" s="295" t="n"/>
      <c r="D30" s="31" t="n"/>
      <c r="E30" s="37" t="n"/>
      <c r="G30" s="464" t="n"/>
    </row>
    <row r="31" ht="16" customHeight="1">
      <c r="A31" s="689" t="inlineStr">
        <is>
          <t>Building Repair</t>
        </is>
      </c>
      <c r="B31" s="722" t="n"/>
      <c r="C31" s="773" t="n">
        <v>0.7445684561908097</v>
      </c>
      <c r="D31" s="31" t="n"/>
      <c r="E31" s="37" t="n"/>
      <c r="G31" s="776">
        <f>C31</f>
        <v/>
      </c>
    </row>
    <row r="32" ht="16" customHeight="1">
      <c r="A32" s="689" t="inlineStr">
        <is>
          <t>Property Taxes</t>
        </is>
      </c>
      <c r="B32" s="727" t="n"/>
      <c r="C32" s="777" t="n">
        <v>5.076533574707355</v>
      </c>
      <c r="D32" s="31" t="n"/>
      <c r="E32" s="37" t="n"/>
      <c r="G32" s="776">
        <f>C32</f>
        <v/>
      </c>
    </row>
    <row r="33" ht="16" customHeight="1">
      <c r="A33" s="689" t="inlineStr">
        <is>
          <t>Business Overhead</t>
        </is>
      </c>
      <c r="B33" s="731" t="n"/>
      <c r="C33" s="773" t="n">
        <v>2.607474711623781</v>
      </c>
      <c r="D33" s="31" t="n"/>
      <c r="E33" s="37" t="n"/>
      <c r="G33" s="776">
        <f>C33</f>
        <v/>
      </c>
    </row>
    <row r="34" ht="16" customHeight="1">
      <c r="A34" s="689" t="inlineStr">
        <is>
          <t>Machinery Depreciation</t>
        </is>
      </c>
      <c r="B34" s="732" t="n"/>
      <c r="C34" s="777" t="n">
        <v>47.58737925414436</v>
      </c>
      <c r="D34" s="31" t="n"/>
      <c r="E34" s="37" t="n"/>
      <c r="G34" s="776">
        <f>C34</f>
        <v/>
      </c>
    </row>
    <row r="35" ht="16" customHeight="1">
      <c r="A35" s="689" t="inlineStr">
        <is>
          <t>Building Depreciation</t>
        </is>
      </c>
      <c r="B35" s="722" t="n"/>
      <c r="C35" s="773" t="n">
        <v>1.45</v>
      </c>
      <c r="D35" s="31" t="n"/>
      <c r="E35" s="37" t="n"/>
      <c r="G35" s="776">
        <f>C35</f>
        <v/>
      </c>
    </row>
    <row r="36" ht="16" customHeight="1">
      <c r="A36" s="689" t="inlineStr">
        <is>
          <t>Machinery Investment</t>
        </is>
      </c>
      <c r="B36" s="732" t="n"/>
      <c r="C36" s="777" t="n">
        <v>30.02007569770789</v>
      </c>
      <c r="D36" s="31" t="n"/>
      <c r="E36" s="37" t="n"/>
      <c r="G36" s="776">
        <f>C36</f>
        <v/>
      </c>
    </row>
    <row r="37" ht="16" customHeight="1">
      <c r="A37" s="689" t="inlineStr">
        <is>
          <t>Building Investment</t>
        </is>
      </c>
      <c r="B37" s="722" t="n"/>
      <c r="C37" s="773" t="n">
        <v>1.326266666666666</v>
      </c>
      <c r="D37" s="31" t="n"/>
      <c r="E37" s="37" t="n"/>
      <c r="G37" s="776">
        <f>C37</f>
        <v/>
      </c>
    </row>
    <row r="38" ht="16" customHeight="1" thickBot="1">
      <c r="A38" s="689" t="inlineStr">
        <is>
          <t>Land Investment</t>
        </is>
      </c>
      <c r="B38" s="727" t="n"/>
      <c r="C38" s="844" t="n">
        <v>70.10399999999998</v>
      </c>
      <c r="D38" s="31" t="n"/>
      <c r="E38" s="37" t="n"/>
      <c r="G38" s="776">
        <f>C38</f>
        <v/>
      </c>
    </row>
    <row r="39" ht="16" customHeight="1" thickBot="1">
      <c r="A39" s="70" t="inlineStr">
        <is>
          <t>Total Other Expenses (E)</t>
        </is>
      </c>
      <c r="B39" s="78">
        <f>SUM(B31:B38)</f>
        <v/>
      </c>
      <c r="C39" s="423">
        <f>SUM(C31:C38)</f>
        <v/>
      </c>
      <c r="D39" s="31" t="n"/>
      <c r="E39" s="37" t="n"/>
      <c r="G39" s="428">
        <f>SUM(G31:G38)</f>
        <v/>
      </c>
    </row>
    <row r="40" ht="16" customHeight="1" thickBot="1">
      <c r="A40" s="689" t="inlineStr">
        <is>
          <t>Labour and Management (F)*</t>
        </is>
      </c>
      <c r="B40" s="75" t="n"/>
      <c r="C40" s="432" t="n"/>
      <c r="D40" s="31" t="n"/>
      <c r="E40" s="37" t="n"/>
      <c r="G40" s="464" t="n"/>
    </row>
    <row r="41" ht="16" customHeight="1" thickBot="1">
      <c r="A41" s="89" t="inlineStr">
        <is>
          <t xml:space="preserve">Total Expenses (D+E+F)=(G) </t>
        </is>
      </c>
      <c r="B41" s="78">
        <f>B28+B39+B40</f>
        <v/>
      </c>
      <c r="C41" s="424">
        <f>C28+C39+C40</f>
        <v/>
      </c>
      <c r="D41" s="31" t="n"/>
      <c r="E41" s="37" t="n"/>
      <c r="G41" s="428">
        <f>G28+G39+G40</f>
        <v/>
      </c>
    </row>
    <row r="42" ht="16" customHeight="1" thickBot="1">
      <c r="A42" s="90" t="n"/>
      <c r="B42" s="91" t="n"/>
      <c r="C42" s="502" t="n"/>
      <c r="D42" s="31" t="n"/>
      <c r="E42" s="37" t="n"/>
      <c r="G42" s="464" t="n"/>
    </row>
    <row r="43" ht="16" customHeight="1">
      <c r="A43" s="47" t="inlineStr">
        <is>
          <t>RETURNS PER ACRE</t>
        </is>
      </c>
      <c r="B43" s="48" t="n"/>
      <c r="C43" s="493" t="n"/>
      <c r="D43" s="31" t="n"/>
      <c r="E43" s="37" t="n"/>
      <c r="G43" s="465" t="n"/>
    </row>
    <row r="44" ht="16" customHeight="1">
      <c r="A44" s="49" t="inlineStr">
        <is>
          <t xml:space="preserve"> Return over Variable Expenses (C-D) </t>
        </is>
      </c>
      <c r="B44" s="20">
        <f>B9-B28</f>
        <v/>
      </c>
      <c r="C44" s="451">
        <f>C9-C28</f>
        <v/>
      </c>
      <c r="D44" s="31" t="n"/>
      <c r="E44" s="37" t="n"/>
      <c r="G44" s="467">
        <f>G9-G28</f>
        <v/>
      </c>
    </row>
    <row r="45" ht="16" customHeight="1" thickBot="1">
      <c r="A45" s="737" t="inlineStr">
        <is>
          <t xml:space="preserve"> Return over Total Expenses (C-G)</t>
        </is>
      </c>
      <c r="B45" s="21">
        <f>B9-B41</f>
        <v/>
      </c>
      <c r="C45" s="454">
        <f>C9-C41</f>
        <v/>
      </c>
      <c r="D45" s="31" t="n"/>
      <c r="E45" s="37" t="n"/>
      <c r="G45" s="468">
        <f>G9-G41</f>
        <v/>
      </c>
    </row>
    <row r="46" ht="16" customHeight="1" thickBot="1">
      <c r="A46" s="32" t="n"/>
      <c r="B46" s="19" t="n"/>
      <c r="C46" s="445" t="n"/>
      <c r="D46" s="31" t="n"/>
      <c r="E46" s="37" t="n"/>
      <c r="G46" s="464" t="n"/>
    </row>
    <row r="47" ht="16" customHeight="1">
      <c r="A47" s="96" t="inlineStr">
        <is>
          <t>BREAK-EVEN YIELD (lbs./ac.)</t>
        </is>
      </c>
      <c r="B47" s="52" t="n"/>
      <c r="C47" s="494" t="n"/>
      <c r="D47" s="31" t="n"/>
      <c r="E47" s="37" t="n"/>
      <c r="G47" s="465" t="n"/>
    </row>
    <row r="48" ht="16" customHeight="1">
      <c r="A48" s="73" t="inlineStr">
        <is>
          <t>To Cover Variable Expenses</t>
        </is>
      </c>
      <c r="B48" s="163">
        <f>ROUND((B28)/B8,2)</f>
        <v/>
      </c>
      <c r="C48" s="523">
        <f>ROUND((C28)/C8,2)</f>
        <v/>
      </c>
      <c r="D48" s="31" t="n"/>
      <c r="E48" s="37" t="n"/>
      <c r="G48" s="527">
        <f>ROUND((G28)/G8,2)</f>
        <v/>
      </c>
    </row>
    <row r="49" ht="16" customHeight="1" thickBot="1">
      <c r="A49" s="164" t="inlineStr">
        <is>
          <t>To Cover Total Expenses</t>
        </is>
      </c>
      <c r="B49" s="166">
        <f>ROUND(B41/B8,2)</f>
        <v/>
      </c>
      <c r="C49" s="524">
        <f>ROUND(C41/C8,2)</f>
        <v/>
      </c>
      <c r="D49" s="31" t="n"/>
      <c r="E49" s="37" t="n"/>
      <c r="G49" s="528">
        <f>ROUND(G41/G8,2)</f>
        <v/>
      </c>
    </row>
    <row r="50" ht="16" customHeight="1" thickBot="1">
      <c r="A50" s="73" t="n"/>
      <c r="B50" s="744" t="n"/>
      <c r="C50" s="819" t="n"/>
      <c r="D50" s="31" t="n"/>
      <c r="E50" s="37" t="n"/>
      <c r="G50" s="464" t="n"/>
    </row>
    <row r="51" ht="16" customHeight="1">
      <c r="A51" s="96" t="inlineStr">
        <is>
          <t>BREAK-EVEN PRICE ($/lb.)</t>
        </is>
      </c>
      <c r="B51" s="52" t="n"/>
      <c r="C51" s="494" t="n"/>
      <c r="D51" s="31" t="n"/>
      <c r="E51" s="37" t="n"/>
      <c r="G51" s="465" t="n"/>
    </row>
    <row r="52" ht="16" customHeight="1">
      <c r="A52" s="73" t="inlineStr">
        <is>
          <t>To Cover Variable Expenses</t>
        </is>
      </c>
      <c r="B52" s="99">
        <f>ROUND((B28)/B7,2)</f>
        <v/>
      </c>
      <c r="C52" s="451">
        <f>ROUND((C28)/C7,2)</f>
        <v/>
      </c>
      <c r="D52" s="31" t="n"/>
      <c r="E52" s="37" t="n"/>
      <c r="G52" s="467">
        <f>ROUND((G28)/G7,2)</f>
        <v/>
      </c>
    </row>
    <row r="53" ht="16" customHeight="1" thickBot="1">
      <c r="A53" s="164" t="inlineStr">
        <is>
          <t>To Cover Total Expenses</t>
        </is>
      </c>
      <c r="B53" s="100">
        <f>ROUND(B41/B7,2)</f>
        <v/>
      </c>
      <c r="C53" s="454">
        <f>ROUND(C41/C7,2)</f>
        <v/>
      </c>
      <c r="D53" s="31" t="n"/>
      <c r="E53" s="37" t="n"/>
      <c r="G53" s="468">
        <f>ROUND(G41/G7,2)</f>
        <v/>
      </c>
    </row>
    <row r="54" ht="16" customHeight="1" thickBot="1">
      <c r="A54" s="168" t="n"/>
      <c r="B54" s="17" t="n"/>
      <c r="C54" s="445" t="n"/>
      <c r="D54" s="31" t="n"/>
    </row>
    <row r="55" ht="16" customHeight="1">
      <c r="A55" s="47" t="inlineStr">
        <is>
          <t>YIELD SENSITIVITY (same expenses but average yield)</t>
        </is>
      </c>
      <c r="B55" s="64" t="n"/>
      <c r="C55" s="525" t="n"/>
      <c r="D55" s="31" t="n"/>
    </row>
    <row r="56" ht="16" customHeight="1">
      <c r="A56" s="170" t="inlineStr">
        <is>
          <t>Provincial average yield (lb./ac)</t>
        </is>
      </c>
      <c r="B56" s="65" t="n"/>
      <c r="C56" s="523">
        <f>G7</f>
        <v/>
      </c>
      <c r="D56" s="31" t="n"/>
    </row>
    <row r="57" ht="16" customHeight="1">
      <c r="A57" s="170" t="inlineStr">
        <is>
          <t xml:space="preserve"> Return over Variable Expenses </t>
        </is>
      </c>
      <c r="B57" s="65" t="n"/>
      <c r="C57" s="445">
        <f>G44</f>
        <v/>
      </c>
      <c r="D57" s="31" t="n"/>
    </row>
    <row r="58" ht="16" customHeight="1" thickBot="1">
      <c r="A58" s="845" t="inlineStr">
        <is>
          <t xml:space="preserve"> Return over Total Expenses </t>
        </is>
      </c>
      <c r="B58" s="66" t="n"/>
      <c r="C58" s="526">
        <f>G45</f>
        <v/>
      </c>
      <c r="D58" s="750" t="n"/>
    </row>
    <row r="59" ht="16" customHeight="1">
      <c r="A59" s="22" t="inlineStr">
        <is>
          <t>*Farm managers need to determine their own actual labour and management costs and add it to total expenses.</t>
        </is>
      </c>
      <c r="B59" s="24" t="n"/>
      <c r="C59" s="24" t="n"/>
    </row>
    <row r="60">
      <c r="A60" s="24" t="n"/>
      <c r="B60" s="24" t="n"/>
      <c r="C60" s="24" t="n"/>
    </row>
    <row r="61">
      <c r="A61" s="24" t="n"/>
      <c r="B61" s="24" t="n"/>
      <c r="C61" s="419" t="n"/>
    </row>
    <row r="62" ht="16" customHeight="1">
      <c r="A62" s="57" t="n"/>
      <c r="B62" s="56" t="n"/>
      <c r="C62" s="56" t="n"/>
    </row>
    <row r="63" ht="16" customHeight="1">
      <c r="A63" s="57" t="n"/>
      <c r="B63" s="56" t="n"/>
      <c r="C63" s="56" t="n"/>
    </row>
  </sheetData>
  <mergeCells count="1">
    <mergeCell ref="D3:D58"/>
  </mergeCells>
  <pageMargins left="0.7" right="0.7" top="0.75" bottom="0.75" header="0.3" footer="0.3"/>
  <pageSetup orientation="portrait"/>
</worksheet>
</file>

<file path=xl/worksheets/sheet16.xml><?xml version="1.0" encoding="utf-8"?>
<worksheet xmlns="http://schemas.openxmlformats.org/spreadsheetml/2006/main">
  <sheetPr>
    <outlinePr summaryBelow="1" summaryRight="1"/>
    <pageSetUpPr/>
  </sheetPr>
  <dimension ref="A1:G63"/>
  <sheetViews>
    <sheetView showGridLines="0" topLeftCell="A25" workbookViewId="0">
      <selection activeCell="B57" sqref="B57"/>
    </sheetView>
  </sheetViews>
  <sheetFormatPr baseColWidth="8" defaultRowHeight="16" customHeight="1"/>
  <cols>
    <col width="55.7109375" customWidth="1" min="1" max="1"/>
    <col width="13.85546875" bestFit="1" customWidth="1" min="2" max="2"/>
    <col width="22" customWidth="1" min="3" max="3"/>
    <col width="50" customWidth="1" min="4" max="4"/>
    <col width="12.28515625" customWidth="1" min="7" max="7"/>
  </cols>
  <sheetData>
    <row r="1" ht="16" customHeight="1">
      <c r="A1" s="23" t="inlineStr">
        <is>
          <t>ORIENTAL MUSTARD PRODUCTION COSTS ($/ACRE) FOR SASKATCHEWAN 2026</t>
        </is>
      </c>
      <c r="B1" s="23" t="n"/>
      <c r="C1" s="23" t="n"/>
      <c r="D1" s="24" t="n"/>
    </row>
    <row r="2" ht="16" customHeight="1" thickBot="1">
      <c r="A2" s="25" t="n"/>
      <c r="B2" s="25" t="n"/>
      <c r="C2" s="25" t="inlineStr">
        <is>
          <t>Economics</t>
        </is>
      </c>
      <c r="D2" s="25" t="inlineStr">
        <is>
          <t>Agronomics</t>
        </is>
      </c>
    </row>
    <row r="3" ht="16" customHeight="1" thickBot="1">
      <c r="A3" s="179" t="inlineStr">
        <is>
          <t>CROP</t>
        </is>
      </c>
      <c r="B3" s="279" t="n"/>
      <c r="C3" s="835" t="inlineStr">
        <is>
          <t>Oriental Mustard</t>
        </is>
      </c>
      <c r="D3" s="836" t="inlineStr">
        <is>
          <t xml:space="preserve">Seeding: A seed rate of 6 lb./ac. is used. The brown soil zone is recommended.
Fertilization: Fertility costs are based on nutrient removal rates given the targeted crop yield. These are: 44 lb./ac. N, 15 lb./ac. P2O5 and 15 lb./ac. S. Producers are encouraged to use their own rates based on soil tests. 
Crop Rotation: Crop rotation can be used to reduce disease pressure and pathogen levels in the field. 
Crop Protection                                                          Insect control: Flea beetles, cutworms, lygus bugs, cabbage seedpod weevil, diamondback moth, bertha armyworm, cabbage looper and occasionally imported cabbageworm, grasshoppers and slugs might require control. Seed treatments are available for flea beetle and cutworm control. 
Disease control: The cost of fungicide is not included in this estimate. Disease risk assessment is encouraged to guide fungicide application decisions. 
Weed control: Mustards are relatively resilient to weed competition. Herbicide costs are based on the following herbicide timings. Please refer to general assumptions for details.  Please insert Herbicide application window. 
</t>
        </is>
      </c>
    </row>
    <row r="4" ht="16" customHeight="1" thickBot="1">
      <c r="A4" s="26" t="n"/>
      <c r="B4" s="677" t="inlineStr">
        <is>
          <t>My Farm</t>
        </is>
      </c>
      <c r="C4" s="837" t="inlineStr">
        <is>
          <t>80th percentile</t>
        </is>
      </c>
      <c r="D4" s="31" t="n"/>
      <c r="G4" s="29" t="inlineStr">
        <is>
          <t>Average Yield</t>
        </is>
      </c>
    </row>
    <row r="5" ht="16" customHeight="1" thickBot="1">
      <c r="A5" s="838" t="inlineStr">
        <is>
          <t>Soil Zone</t>
        </is>
      </c>
      <c r="B5" s="839" t="inlineStr">
        <is>
          <t>Brown</t>
        </is>
      </c>
      <c r="C5" s="840" t="inlineStr">
        <is>
          <t>Brown</t>
        </is>
      </c>
      <c r="D5" s="31" t="n"/>
      <c r="G5" s="846" t="inlineStr">
        <is>
          <t>Brown</t>
        </is>
      </c>
    </row>
    <row r="6" ht="16" customHeight="1">
      <c r="A6" s="96" t="inlineStr">
        <is>
          <t>REVENUE PER ACRE</t>
        </is>
      </c>
      <c r="B6" s="86" t="n"/>
      <c r="C6" s="86" t="n"/>
      <c r="D6" s="31" t="n"/>
      <c r="G6" s="332" t="n"/>
    </row>
    <row r="7" ht="16" customHeight="1">
      <c r="A7" s="689" t="inlineStr">
        <is>
          <t>Target Yield (lb./ac.) (A)</t>
        </is>
      </c>
      <c r="B7" s="68" t="n"/>
      <c r="C7" s="842" t="n">
        <v>899.4860208</v>
      </c>
      <c r="D7" s="31" t="n"/>
      <c r="E7" s="37" t="n"/>
      <c r="G7" s="693" t="n">
        <v>573.2437688537569</v>
      </c>
    </row>
    <row r="8" ht="16" customHeight="1" thickBot="1">
      <c r="A8" s="689" t="inlineStr">
        <is>
          <t>Est. Farm Gate Price $/lb. (B)</t>
        </is>
      </c>
      <c r="B8" s="69" t="n"/>
      <c r="C8" s="843" t="n">
        <v>0.42</v>
      </c>
      <c r="D8" s="31" t="n"/>
      <c r="E8" s="37" t="n"/>
      <c r="G8" s="427">
        <f>C8</f>
        <v/>
      </c>
    </row>
    <row r="9" ht="16" customHeight="1" thickBot="1">
      <c r="A9" s="70" t="inlineStr">
        <is>
          <t>Estimated Gross Revenue/ac (AxB)=C</t>
        </is>
      </c>
      <c r="B9" s="71">
        <f>ROUND((B8*B7),2)</f>
        <v/>
      </c>
      <c r="C9" s="521">
        <f>ROUND((C8*C7),2)</f>
        <v/>
      </c>
      <c r="D9" s="31" t="n"/>
      <c r="E9" s="37" t="n"/>
      <c r="G9" s="474">
        <f>ROUND((G8*G7),2)</f>
        <v/>
      </c>
    </row>
    <row r="10">
      <c r="A10" s="67" t="n"/>
      <c r="B10" s="72" t="n"/>
      <c r="C10" s="350" t="n"/>
      <c r="D10" s="31" t="n"/>
      <c r="E10" s="37" t="n"/>
      <c r="G10" s="332" t="n"/>
    </row>
    <row r="11" ht="16" customHeight="1">
      <c r="A11" s="73" t="inlineStr">
        <is>
          <t>EXPENSES PER ACRE</t>
        </is>
      </c>
      <c r="B11" s="72" t="n"/>
      <c r="C11" s="295" t="n"/>
      <c r="D11" s="31" t="n"/>
      <c r="E11" s="37" t="n"/>
      <c r="G11" s="332" t="n"/>
    </row>
    <row r="12" ht="16" customHeight="1">
      <c r="A12" s="73" t="inlineStr">
        <is>
          <t>Variable Expenses/acre</t>
        </is>
      </c>
      <c r="B12" s="72" t="n"/>
      <c r="C12" s="295" t="n"/>
      <c r="D12" s="31" t="n"/>
      <c r="E12" s="37" t="n"/>
      <c r="G12" s="332" t="n"/>
    </row>
    <row r="13" ht="16" customHeight="1">
      <c r="A13" s="689" t="inlineStr">
        <is>
          <t>Seed</t>
        </is>
      </c>
      <c r="B13" s="74" t="n"/>
      <c r="C13" s="715" t="n">
        <v>28.8</v>
      </c>
      <c r="D13" s="31" t="n"/>
      <c r="E13" s="37" t="n"/>
      <c r="G13" s="427">
        <f>C13</f>
        <v/>
      </c>
    </row>
    <row r="14" ht="16" customHeight="1">
      <c r="A14" s="689" t="inlineStr">
        <is>
          <t xml:space="preserve">                     -Seed Treatments/Inoculants</t>
        </is>
      </c>
      <c r="B14" s="74" t="n"/>
      <c r="C14" s="715" t="n">
        <v>0</v>
      </c>
      <c r="D14" s="31" t="n"/>
      <c r="E14" s="37" t="n"/>
      <c r="G14" s="427">
        <f>C14</f>
        <v/>
      </c>
    </row>
    <row r="15" ht="16" customHeight="1">
      <c r="A15" s="689" t="inlineStr">
        <is>
          <t>Fertilizer -Nitrogen (N)</t>
        </is>
      </c>
      <c r="B15" s="74" t="n"/>
      <c r="C15" s="793" t="n">
        <v>36.02146295273416</v>
      </c>
      <c r="D15" s="31" t="n"/>
      <c r="E15" s="37" t="n"/>
      <c r="G15" s="427">
        <f>C15</f>
        <v/>
      </c>
    </row>
    <row r="16" ht="16" customHeight="1">
      <c r="A16" s="689" t="inlineStr">
        <is>
          <t xml:space="preserve">               -Phosphorous (P2O5)</t>
        </is>
      </c>
      <c r="B16" s="74" t="n"/>
      <c r="C16" s="793" t="n">
        <v>14.41681740101609</v>
      </c>
      <c r="D16" s="31" t="n"/>
      <c r="E16" s="37" t="n"/>
      <c r="G16" s="427">
        <f>C16</f>
        <v/>
      </c>
    </row>
    <row r="17" ht="16" customHeight="1">
      <c r="A17" s="689" t="inlineStr">
        <is>
          <t xml:space="preserve">               -Sulphur and Other</t>
        </is>
      </c>
      <c r="B17" s="75" t="n"/>
      <c r="C17" s="796" t="n">
        <v>8.226766550935059</v>
      </c>
      <c r="D17" s="31" t="n"/>
      <c r="E17" s="37" t="n"/>
      <c r="G17" s="427">
        <f>C17</f>
        <v/>
      </c>
    </row>
    <row r="18" ht="16" customHeight="1">
      <c r="A18" s="689" t="inlineStr">
        <is>
          <t>Plant Protection -Herbicides</t>
        </is>
      </c>
      <c r="B18" s="74" t="n"/>
      <c r="C18" s="715" t="n">
        <v>55.46</v>
      </c>
      <c r="D18" s="31" t="n"/>
      <c r="E18" s="37" t="n"/>
      <c r="G18" s="427">
        <f>C18</f>
        <v/>
      </c>
    </row>
    <row r="19" ht="16" customHeight="1">
      <c r="A19" s="689" t="inlineStr">
        <is>
          <t xml:space="preserve">                     -Insecticides</t>
        </is>
      </c>
      <c r="B19" s="74" t="n"/>
      <c r="C19" s="715" t="n">
        <v>7.7</v>
      </c>
      <c r="D19" s="31" t="n"/>
      <c r="E19" s="37" t="n"/>
      <c r="G19" s="427">
        <f>C19</f>
        <v/>
      </c>
    </row>
    <row r="20" ht="16" customHeight="1">
      <c r="A20" s="689" t="inlineStr">
        <is>
          <t xml:space="preserve">                     -Fungicides</t>
        </is>
      </c>
      <c r="B20" s="74" t="n"/>
      <c r="C20" s="715" t="n">
        <v>0</v>
      </c>
      <c r="D20" s="31" t="n"/>
      <c r="E20" s="37" t="n"/>
      <c r="G20" s="427">
        <f>C20</f>
        <v/>
      </c>
    </row>
    <row r="21" ht="16" customHeight="1">
      <c r="A21" s="689" t="inlineStr">
        <is>
          <t>Machinery Operating -Fuel</t>
        </is>
      </c>
      <c r="B21" s="75" t="n"/>
      <c r="C21" s="770" t="n">
        <v>24.801304325</v>
      </c>
      <c r="D21" s="31" t="n"/>
      <c r="E21" s="37" t="n"/>
      <c r="G21" s="427">
        <f>C21</f>
        <v/>
      </c>
    </row>
    <row r="22" ht="16" customHeight="1">
      <c r="A22" s="689" t="inlineStr">
        <is>
          <t xml:space="preserve">                                  -Repair</t>
        </is>
      </c>
      <c r="B22" s="74" t="n"/>
      <c r="C22" s="715" t="n">
        <v>11.56328841689489</v>
      </c>
      <c r="D22" s="31" t="n"/>
      <c r="E22" s="37" t="n"/>
      <c r="G22" s="427">
        <f>C22</f>
        <v/>
      </c>
    </row>
    <row r="23" ht="16" customHeight="1">
      <c r="A23" s="689" t="inlineStr">
        <is>
          <t>Custom Work and Hired Labour</t>
        </is>
      </c>
      <c r="B23" s="74" t="n"/>
      <c r="C23" s="715" t="n">
        <v>21.5</v>
      </c>
      <c r="D23" s="31" t="n"/>
      <c r="E23" s="37" t="n"/>
      <c r="G23" s="427">
        <f>C23</f>
        <v/>
      </c>
    </row>
    <row r="24" ht="16" customHeight="1">
      <c r="A24" s="689" t="inlineStr">
        <is>
          <t>Crop Insurance Premium</t>
        </is>
      </c>
      <c r="B24" s="77" t="n"/>
      <c r="C24" s="830" t="n">
        <v>13.13949304696967</v>
      </c>
      <c r="D24" s="31" t="n"/>
      <c r="E24" s="37" t="n"/>
      <c r="G24" s="427">
        <f>C24</f>
        <v/>
      </c>
    </row>
    <row r="25" ht="16" customHeight="1">
      <c r="A25" s="689" t="inlineStr">
        <is>
          <t>Hail Insurance Premium</t>
        </is>
      </c>
      <c r="B25" s="77" t="n"/>
      <c r="C25" s="830" t="n">
        <v>14</v>
      </c>
      <c r="D25" s="31" t="n"/>
      <c r="E25" s="37" t="n"/>
      <c r="G25" s="427">
        <f>C25</f>
        <v/>
      </c>
    </row>
    <row r="26" ht="16" customHeight="1">
      <c r="A26" s="689" t="inlineStr">
        <is>
          <t>Utilities and Miscellaneous</t>
        </is>
      </c>
      <c r="B26" s="75" t="n"/>
      <c r="C26" s="770" t="n">
        <v>4.395974170413743</v>
      </c>
      <c r="D26" s="31" t="n"/>
      <c r="E26" s="37" t="n"/>
      <c r="G26" s="427">
        <f>C26</f>
        <v/>
      </c>
    </row>
    <row r="27" ht="16" customHeight="1" thickBot="1">
      <c r="A27" s="689" t="inlineStr">
        <is>
          <t>Interest on Variable Expenses</t>
        </is>
      </c>
      <c r="B27" s="74" t="n"/>
      <c r="C27" s="718" t="n">
        <v>9.088950713248753</v>
      </c>
      <c r="D27" s="31" t="n"/>
      <c r="E27" s="37" t="n"/>
      <c r="G27" s="427">
        <f>C27</f>
        <v/>
      </c>
    </row>
    <row r="28" ht="16" customHeight="1" thickBot="1">
      <c r="A28" s="70" t="inlineStr">
        <is>
          <t>Total Variable Expenses (D)</t>
        </is>
      </c>
      <c r="B28" s="78">
        <f>SUM(B13:B27)</f>
        <v/>
      </c>
      <c r="C28" s="502">
        <f>SUM(C13:C27)</f>
        <v/>
      </c>
      <c r="D28" s="31" t="n"/>
      <c r="E28" s="37" t="n"/>
      <c r="G28" s="428">
        <f>SUM(G13:G27)</f>
        <v/>
      </c>
    </row>
    <row r="29">
      <c r="A29" s="67" t="n"/>
      <c r="B29" s="72" t="n"/>
      <c r="C29" s="350" t="n"/>
      <c r="D29" s="31" t="n"/>
      <c r="E29" s="37" t="n"/>
      <c r="G29" s="464" t="n"/>
    </row>
    <row r="30" ht="16" customHeight="1">
      <c r="A30" s="73" t="inlineStr">
        <is>
          <t>Other Expenses/acre</t>
        </is>
      </c>
      <c r="B30" s="72" t="n"/>
      <c r="C30" s="295" t="n"/>
      <c r="D30" s="31" t="n"/>
      <c r="E30" s="37" t="n"/>
      <c r="G30" s="464" t="n"/>
    </row>
    <row r="31" ht="16" customHeight="1">
      <c r="A31" s="689" t="inlineStr">
        <is>
          <t>Building Repair</t>
        </is>
      </c>
      <c r="B31" s="722" t="n"/>
      <c r="C31" s="773" t="n">
        <v>0.7445684561908097</v>
      </c>
      <c r="D31" s="31" t="n"/>
      <c r="E31" s="37" t="n"/>
      <c r="G31" s="776">
        <f>C31</f>
        <v/>
      </c>
    </row>
    <row r="32" ht="16" customHeight="1">
      <c r="A32" s="689" t="inlineStr">
        <is>
          <t>Property Taxes</t>
        </is>
      </c>
      <c r="B32" s="727" t="n"/>
      <c r="C32" s="777" t="n">
        <v>5.076533574707355</v>
      </c>
      <c r="D32" s="31" t="n"/>
      <c r="E32" s="37" t="n"/>
      <c r="G32" s="776">
        <f>C32</f>
        <v/>
      </c>
    </row>
    <row r="33" ht="16" customHeight="1">
      <c r="A33" s="689" t="inlineStr">
        <is>
          <t>Business Overhead</t>
        </is>
      </c>
      <c r="B33" s="731" t="n"/>
      <c r="C33" s="773" t="n">
        <v>2.607474711623781</v>
      </c>
      <c r="D33" s="31" t="n"/>
      <c r="E33" s="37" t="n"/>
      <c r="G33" s="776">
        <f>C33</f>
        <v/>
      </c>
    </row>
    <row r="34" ht="16" customHeight="1">
      <c r="A34" s="689" t="inlineStr">
        <is>
          <t>Machinery Depreciation</t>
        </is>
      </c>
      <c r="B34" s="732" t="n"/>
      <c r="C34" s="777" t="n">
        <v>47.58737925414436</v>
      </c>
      <c r="D34" s="31" t="n"/>
      <c r="E34" s="37" t="n"/>
      <c r="G34" s="776">
        <f>C34</f>
        <v/>
      </c>
    </row>
    <row r="35" ht="16" customHeight="1">
      <c r="A35" s="689" t="inlineStr">
        <is>
          <t>Building Depreciation</t>
        </is>
      </c>
      <c r="B35" s="722" t="n"/>
      <c r="C35" s="773" t="n">
        <v>1.326266666666666</v>
      </c>
      <c r="D35" s="31" t="n"/>
      <c r="E35" s="37" t="n"/>
      <c r="G35" s="776">
        <f>C35</f>
        <v/>
      </c>
    </row>
    <row r="36" ht="16" customHeight="1">
      <c r="A36" s="689" t="inlineStr">
        <is>
          <t>Machinery Investment</t>
        </is>
      </c>
      <c r="B36" s="732" t="n"/>
      <c r="C36" s="777" t="n">
        <v>30.02007569770789</v>
      </c>
      <c r="D36" s="31" t="n"/>
      <c r="E36" s="37" t="n"/>
      <c r="G36" s="776">
        <f>C36</f>
        <v/>
      </c>
    </row>
    <row r="37" ht="16" customHeight="1">
      <c r="A37" s="689" t="inlineStr">
        <is>
          <t>Building Investment</t>
        </is>
      </c>
      <c r="B37" s="722" t="n"/>
      <c r="C37" s="773" t="n">
        <v>1.326266666666666</v>
      </c>
      <c r="D37" s="31" t="n"/>
      <c r="E37" s="37" t="n"/>
      <c r="G37" s="776">
        <f>C37</f>
        <v/>
      </c>
    </row>
    <row r="38" ht="16" customHeight="1" thickBot="1">
      <c r="A38" s="689" t="inlineStr">
        <is>
          <t>Land Investment</t>
        </is>
      </c>
      <c r="B38" s="727" t="n"/>
      <c r="C38" s="844" t="n">
        <v>70.10399999999998</v>
      </c>
      <c r="D38" s="31" t="n"/>
      <c r="E38" s="37" t="n"/>
      <c r="G38" s="776">
        <f>C38</f>
        <v/>
      </c>
    </row>
    <row r="39" ht="16" customHeight="1" thickBot="1">
      <c r="A39" s="70" t="inlineStr">
        <is>
          <t>Total Other Expenses (E)</t>
        </is>
      </c>
      <c r="B39" s="78">
        <f>SUM(B31:B38)</f>
        <v/>
      </c>
      <c r="C39" s="423">
        <f>SUM(C31:C38)</f>
        <v/>
      </c>
      <c r="D39" s="31" t="n"/>
      <c r="E39" s="37" t="n"/>
      <c r="G39" s="428">
        <f>SUM(G31:G38)</f>
        <v/>
      </c>
    </row>
    <row r="40" ht="16" customHeight="1" thickBot="1">
      <c r="A40" s="689" t="inlineStr">
        <is>
          <t>Labour and Management (F)*</t>
        </is>
      </c>
      <c r="B40" s="75" t="n"/>
      <c r="C40" s="301" t="n"/>
      <c r="D40" s="31" t="n"/>
      <c r="E40" s="37" t="n"/>
      <c r="G40" s="464" t="n"/>
    </row>
    <row r="41" ht="16" customHeight="1" thickBot="1">
      <c r="A41" s="89" t="inlineStr">
        <is>
          <t xml:space="preserve">Total Expenses (D+E+F)=(G) </t>
        </is>
      </c>
      <c r="B41" s="78">
        <f>B28+B39+B40</f>
        <v/>
      </c>
      <c r="C41" s="424">
        <f>C28+C39+C40</f>
        <v/>
      </c>
      <c r="D41" s="31" t="n"/>
      <c r="E41" s="37" t="n"/>
      <c r="G41" s="428">
        <f>G28+G39+G40</f>
        <v/>
      </c>
    </row>
    <row r="42" ht="16" customHeight="1" thickBot="1">
      <c r="A42" s="90" t="n"/>
      <c r="B42" s="91" t="n"/>
      <c r="C42" s="502" t="n"/>
      <c r="D42" s="31" t="n"/>
      <c r="E42" s="37" t="n"/>
      <c r="G42" s="464" t="n"/>
    </row>
    <row r="43" ht="16" customHeight="1">
      <c r="A43" s="47" t="inlineStr">
        <is>
          <t>RETURNS PER ACRE</t>
        </is>
      </c>
      <c r="B43" s="48" t="n"/>
      <c r="C43" s="493" t="n"/>
      <c r="D43" s="31" t="n"/>
      <c r="E43" s="37" t="n"/>
      <c r="G43" s="465" t="n"/>
    </row>
    <row r="44" ht="16" customHeight="1">
      <c r="A44" s="49" t="inlineStr">
        <is>
          <t xml:space="preserve"> Return over Variable Expenses (C-D) </t>
        </is>
      </c>
      <c r="B44" s="20">
        <f>B9-B28</f>
        <v/>
      </c>
      <c r="C44" s="451">
        <f>C9-C28</f>
        <v/>
      </c>
      <c r="D44" s="31" t="n"/>
      <c r="E44" s="37" t="n"/>
      <c r="G44" s="467">
        <f>G9-G28</f>
        <v/>
      </c>
    </row>
    <row r="45" ht="16" customHeight="1" thickBot="1">
      <c r="A45" s="737" t="inlineStr">
        <is>
          <t xml:space="preserve"> Return over Total Expenses (C-G)</t>
        </is>
      </c>
      <c r="B45" s="21">
        <f>B9-B41</f>
        <v/>
      </c>
      <c r="C45" s="454">
        <f>C9-C41</f>
        <v/>
      </c>
      <c r="D45" s="31" t="n"/>
      <c r="E45" s="37" t="n"/>
      <c r="G45" s="468">
        <f>G9-G41</f>
        <v/>
      </c>
    </row>
    <row r="46" ht="16" customHeight="1" thickBot="1">
      <c r="A46" s="32" t="n"/>
      <c r="B46" s="19" t="n"/>
      <c r="C46" s="445" t="n"/>
      <c r="D46" s="31" t="n"/>
      <c r="E46" s="37" t="n"/>
      <c r="G46" s="464" t="n"/>
    </row>
    <row r="47" ht="16" customHeight="1">
      <c r="A47" s="96" t="inlineStr">
        <is>
          <t>BREAK-EVEN YIELD (lbs./ac.)</t>
        </is>
      </c>
      <c r="B47" s="52" t="n"/>
      <c r="C47" s="494" t="n"/>
      <c r="D47" s="31" t="n"/>
      <c r="E47" s="37" t="n"/>
      <c r="G47" s="465" t="n"/>
    </row>
    <row r="48" ht="16" customHeight="1">
      <c r="A48" s="73" t="inlineStr">
        <is>
          <t>To Cover Variable Expenses</t>
        </is>
      </c>
      <c r="B48" s="163">
        <f>ROUND((B28)/B8,2)</f>
        <v/>
      </c>
      <c r="C48" s="523">
        <f>ROUND((C28)/C8,2)</f>
        <v/>
      </c>
      <c r="D48" s="31" t="n"/>
      <c r="E48" s="37" t="n"/>
      <c r="G48" s="527">
        <f>ROUND((G28)/G8,2)</f>
        <v/>
      </c>
    </row>
    <row r="49" ht="16" customHeight="1" thickBot="1">
      <c r="A49" s="164" t="inlineStr">
        <is>
          <t>To Cover Total Expenses</t>
        </is>
      </c>
      <c r="B49" s="166">
        <f>ROUND(B41/B8,2)</f>
        <v/>
      </c>
      <c r="C49" s="524">
        <f>ROUND(C41/C8,2)</f>
        <v/>
      </c>
      <c r="D49" s="31" t="n"/>
      <c r="E49" s="37" t="n"/>
      <c r="G49" s="528">
        <f>ROUND(G41/G8,2)</f>
        <v/>
      </c>
    </row>
    <row r="50" ht="16" customHeight="1" thickBot="1">
      <c r="A50" s="73" t="n"/>
      <c r="B50" s="744" t="n"/>
      <c r="C50" s="819" t="n"/>
      <c r="D50" s="31" t="n"/>
      <c r="E50" s="37" t="n"/>
      <c r="G50" s="464" t="n"/>
    </row>
    <row r="51" ht="16" customHeight="1">
      <c r="A51" s="96" t="inlineStr">
        <is>
          <t>BREAK-EVEN PRICE ($/lb.)</t>
        </is>
      </c>
      <c r="B51" s="52" t="n"/>
      <c r="C51" s="494" t="n"/>
      <c r="D51" s="31" t="n"/>
      <c r="E51" s="37" t="n"/>
      <c r="G51" s="465" t="n"/>
    </row>
    <row r="52" ht="16" customHeight="1">
      <c r="A52" s="73" t="inlineStr">
        <is>
          <t>To Cover Variable Expenses</t>
        </is>
      </c>
      <c r="B52" s="99">
        <f>ROUND((B28)/B7,2)</f>
        <v/>
      </c>
      <c r="C52" s="451">
        <f>ROUND((C28)/C7,2)</f>
        <v/>
      </c>
      <c r="D52" s="31" t="n"/>
      <c r="E52" s="37" t="n"/>
      <c r="G52" s="467">
        <f>ROUND((G28)/G7,2)</f>
        <v/>
      </c>
    </row>
    <row r="53" ht="16" customHeight="1" thickBot="1">
      <c r="A53" s="164" t="inlineStr">
        <is>
          <t>To Cover Total Expenses</t>
        </is>
      </c>
      <c r="B53" s="100">
        <f>ROUND(B41/B7,2)</f>
        <v/>
      </c>
      <c r="C53" s="454">
        <f>ROUND(C41/C7,2)</f>
        <v/>
      </c>
      <c r="D53" s="31" t="n"/>
      <c r="E53" s="37" t="n"/>
      <c r="G53" s="468">
        <f>ROUND(G41/G7,2)</f>
        <v/>
      </c>
    </row>
    <row r="54" ht="16" customHeight="1" thickBot="1">
      <c r="A54" s="168" t="n"/>
      <c r="B54" s="17" t="n"/>
      <c r="C54" s="445" t="n"/>
      <c r="D54" s="31" t="n"/>
    </row>
    <row r="55" ht="16" customHeight="1">
      <c r="A55" s="47" t="inlineStr">
        <is>
          <t>YIELD SENSITIVITY (same expenses but average yield)</t>
        </is>
      </c>
      <c r="B55" s="64" t="n"/>
      <c r="C55" s="525" t="n"/>
      <c r="D55" s="31" t="n"/>
    </row>
    <row r="56" ht="16" customHeight="1">
      <c r="A56" s="170" t="inlineStr">
        <is>
          <t>Provincial average yield (lb./ac)</t>
        </is>
      </c>
      <c r="B56" s="65" t="n"/>
      <c r="C56" s="523">
        <f>G7</f>
        <v/>
      </c>
      <c r="D56" s="31" t="n"/>
    </row>
    <row r="57" ht="16" customHeight="1">
      <c r="A57" s="170" t="inlineStr">
        <is>
          <t xml:space="preserve"> Return over Variable Expenses </t>
        </is>
      </c>
      <c r="B57" s="65" t="n"/>
      <c r="C57" s="445">
        <f>G44</f>
        <v/>
      </c>
      <c r="D57" s="31" t="n"/>
    </row>
    <row r="58" ht="16" customHeight="1" thickBot="1">
      <c r="A58" s="845" t="inlineStr">
        <is>
          <t xml:space="preserve"> Return over Total Expenses </t>
        </is>
      </c>
      <c r="B58" s="66" t="n"/>
      <c r="C58" s="526">
        <f>G45</f>
        <v/>
      </c>
      <c r="D58" s="750" t="n"/>
    </row>
    <row r="59" ht="16" customHeight="1">
      <c r="A59" s="22" t="inlineStr">
        <is>
          <t>*Farm managers need to determine their own actual labour and management costs and add it to total expenses.</t>
        </is>
      </c>
      <c r="B59" s="24" t="n"/>
      <c r="C59" s="24" t="n"/>
    </row>
    <row r="60">
      <c r="A60" s="24" t="n"/>
      <c r="B60" s="24" t="n"/>
      <c r="C60" s="24" t="n"/>
    </row>
    <row r="61">
      <c r="A61" s="24" t="n"/>
      <c r="B61" s="24" t="n"/>
      <c r="C61" s="419" t="n"/>
    </row>
    <row r="62" ht="16" customHeight="1">
      <c r="A62" s="57" t="n"/>
      <c r="B62" s="56" t="n"/>
      <c r="C62" s="56" t="n"/>
    </row>
    <row r="63" ht="16" customHeight="1">
      <c r="A63" s="57" t="n"/>
      <c r="B63" s="56" t="n"/>
      <c r="C63" s="56" t="n"/>
    </row>
  </sheetData>
  <mergeCells count="1">
    <mergeCell ref="D3:D58"/>
  </mergeCells>
  <pageMargins left="0.7" right="0.7" top="0.75" bottom="0.75" header="0.3" footer="0.3"/>
  <pageSetup orientation="portrait"/>
</worksheet>
</file>

<file path=xl/worksheets/sheet17.xml><?xml version="1.0" encoding="utf-8"?>
<worksheet xmlns="http://schemas.openxmlformats.org/spreadsheetml/2006/main">
  <sheetPr>
    <outlinePr summaryBelow="1" summaryRight="1"/>
    <pageSetUpPr/>
  </sheetPr>
  <dimension ref="A1:G63"/>
  <sheetViews>
    <sheetView showGridLines="0" topLeftCell="A27" workbookViewId="0">
      <selection activeCell="C28" sqref="C28"/>
    </sheetView>
  </sheetViews>
  <sheetFormatPr baseColWidth="8" defaultRowHeight="16" customHeight="1"/>
  <cols>
    <col width="55.7109375" customWidth="1" min="1" max="1"/>
    <col width="13.85546875" bestFit="1" customWidth="1" min="2" max="2"/>
    <col width="16.28515625" customWidth="1" min="3" max="3"/>
    <col width="50" customWidth="1" min="4" max="4"/>
    <col width="12.28515625" customWidth="1" min="7" max="7"/>
  </cols>
  <sheetData>
    <row r="1" ht="16" customHeight="1">
      <c r="A1" s="23" t="inlineStr">
        <is>
          <t>YELLOW MUSTARD PRODUCTION COSTS ($/ACRE) FOR SASKATCHEWAN 2026</t>
        </is>
      </c>
      <c r="B1" s="23" t="n"/>
      <c r="C1" s="23" t="n"/>
      <c r="D1" s="24" t="n"/>
    </row>
    <row r="2" ht="16" customHeight="1" thickBot="1">
      <c r="A2" s="25" t="n"/>
      <c r="B2" s="25" t="n"/>
      <c r="C2" s="25" t="inlineStr">
        <is>
          <t>Economics</t>
        </is>
      </c>
      <c r="D2" s="25" t="inlineStr">
        <is>
          <t>Agronomics</t>
        </is>
      </c>
    </row>
    <row r="3" ht="16" customHeight="1" thickBot="1">
      <c r="A3" s="179" t="inlineStr">
        <is>
          <t>CROP</t>
        </is>
      </c>
      <c r="B3" s="279" t="n"/>
      <c r="C3" s="675" t="inlineStr">
        <is>
          <t>Yellow Mustard</t>
        </is>
      </c>
      <c r="D3" s="836" t="inlineStr">
        <is>
          <t xml:space="preserve">Seeding: A seed rate of 10 lb./ac. is used. The brown soil zone is recommended.
Fertilization: Fertility costs are based on nutrient removal rates given the targeted crop yield. These are: 39 lb./ac. N, 13 lb./ac. P2O5 and 15 lb./ac. S. Producers are encouraged to use their own rates based on soil tests. 
Crop Rotation: Crop rotation can be used to reduce disease pressure and pathogen levels in the field. 
Crop Protection                                                          Insect control: Cutworms, lygus bugs, diamondback moth, bertha armyworm, cabbage looper and occasionally imported cabbageworm, grasshoppers and slugs might require control. Seed treatments are available for cutworm control. 
Disease control: The cost of fungicide is not included in this estimate. Disease risk assessment is encouraged to guide fungicide application decisions. 
Weed control: Yellow mustard has limited herbicide options. Herbicide costs are based on the following herbicide timings. Please refer to general assumptions for details. Please insert Herbicide application window. 
</t>
        </is>
      </c>
    </row>
    <row r="4" ht="16" customHeight="1" thickBot="1">
      <c r="A4" s="26" t="n"/>
      <c r="B4" s="677" t="inlineStr">
        <is>
          <t>My Farm</t>
        </is>
      </c>
      <c r="C4" s="837" t="inlineStr">
        <is>
          <t>80th percentile</t>
        </is>
      </c>
      <c r="D4" s="31" t="n"/>
      <c r="G4" s="29" t="inlineStr">
        <is>
          <t>Average Yield</t>
        </is>
      </c>
    </row>
    <row r="5" ht="16" customHeight="1" thickBot="1">
      <c r="A5" s="838" t="inlineStr">
        <is>
          <t>Soil Zone</t>
        </is>
      </c>
      <c r="B5" s="841" t="inlineStr">
        <is>
          <t>Brown</t>
        </is>
      </c>
      <c r="C5" s="847" t="inlineStr">
        <is>
          <t>Brown</t>
        </is>
      </c>
      <c r="D5" s="31" t="n"/>
      <c r="G5" s="846" t="inlineStr">
        <is>
          <t>Brown</t>
        </is>
      </c>
    </row>
    <row r="6" ht="16" customHeight="1">
      <c r="A6" s="96" t="inlineStr">
        <is>
          <t>REVENUE PER ACRE</t>
        </is>
      </c>
      <c r="B6" s="86" t="n"/>
      <c r="C6" s="86" t="n"/>
      <c r="D6" s="31" t="n"/>
      <c r="G6" s="332" t="n"/>
    </row>
    <row r="7" ht="16" customHeight="1">
      <c r="A7" s="689" t="inlineStr">
        <is>
          <t>Target Yield (lb./ac.) (A)</t>
        </is>
      </c>
      <c r="B7" s="68" t="n"/>
      <c r="C7" s="842" t="n">
        <v>800.5804982724858</v>
      </c>
      <c r="D7" s="31" t="n"/>
      <c r="E7" s="37" t="n"/>
      <c r="G7" s="693" t="n">
        <v>487.3426450727695</v>
      </c>
    </row>
    <row r="8" ht="16" customHeight="1" thickBot="1">
      <c r="A8" s="689" t="inlineStr">
        <is>
          <t>Est. Farm Gate Price $/lb. (B)</t>
        </is>
      </c>
      <c r="B8" s="69" t="n"/>
      <c r="C8" s="843" t="n">
        <v>0.44</v>
      </c>
      <c r="D8" s="31" t="n"/>
      <c r="E8" s="37" t="n"/>
      <c r="G8" s="427">
        <f>C8</f>
        <v/>
      </c>
    </row>
    <row r="9" ht="16" customHeight="1" thickBot="1">
      <c r="A9" s="70" t="inlineStr">
        <is>
          <t>Estimated Gross Revenue/ac (AxB)=C</t>
        </is>
      </c>
      <c r="B9" s="71">
        <f>ROUND((B8*B7),2)</f>
        <v/>
      </c>
      <c r="C9" s="521">
        <f>ROUND((C8*C7),2)</f>
        <v/>
      </c>
      <c r="D9" s="31" t="n"/>
      <c r="E9" s="37" t="n"/>
      <c r="G9" s="474">
        <f>ROUND((G8*G7),2)</f>
        <v/>
      </c>
    </row>
    <row r="10">
      <c r="A10" s="67" t="n"/>
      <c r="B10" s="72" t="n"/>
      <c r="C10" s="350" t="n"/>
      <c r="D10" s="31" t="n"/>
      <c r="E10" s="37" t="n"/>
      <c r="G10" s="464" t="n"/>
    </row>
    <row r="11" ht="16" customHeight="1">
      <c r="A11" s="73" t="inlineStr">
        <is>
          <t>EXPENSES PER ACRE</t>
        </is>
      </c>
      <c r="B11" s="72" t="n"/>
      <c r="C11" s="295" t="n"/>
      <c r="D11" s="31" t="n"/>
      <c r="E11" s="37" t="n"/>
      <c r="G11" s="464" t="n"/>
    </row>
    <row r="12" ht="16" customHeight="1">
      <c r="A12" s="73" t="inlineStr">
        <is>
          <t>Variable Expenses/acre</t>
        </is>
      </c>
      <c r="B12" s="72" t="n"/>
      <c r="C12" s="295" t="n"/>
      <c r="D12" s="31" t="n"/>
      <c r="E12" s="37" t="n"/>
      <c r="G12" s="464" t="n"/>
    </row>
    <row r="13" ht="16" customHeight="1">
      <c r="A13" s="689" t="inlineStr">
        <is>
          <t>Seed</t>
        </is>
      </c>
      <c r="B13" s="74" t="n"/>
      <c r="C13" s="715" t="n">
        <v>82.2</v>
      </c>
      <c r="D13" s="31" t="n"/>
      <c r="E13" s="37" t="n"/>
      <c r="G13" s="427">
        <f>C13</f>
        <v/>
      </c>
    </row>
    <row r="14" ht="16" customHeight="1">
      <c r="A14" s="689" t="inlineStr">
        <is>
          <t xml:space="preserve">                     -Seed Treatments/Inoculants</t>
        </is>
      </c>
      <c r="B14" s="74" t="n"/>
      <c r="C14" s="715" t="n">
        <v>0</v>
      </c>
      <c r="D14" s="31" t="n"/>
      <c r="E14" s="37" t="n"/>
      <c r="G14" s="427">
        <f>C14</f>
        <v/>
      </c>
    </row>
    <row r="15" ht="16" customHeight="1">
      <c r="A15" s="689" t="inlineStr">
        <is>
          <t>Fertilizer -Nitrogen (N)</t>
        </is>
      </c>
      <c r="B15" s="74" t="n"/>
      <c r="C15" s="793" t="n">
        <v>31.92811488992346</v>
      </c>
      <c r="D15" s="31" t="n"/>
      <c r="E15" s="37" t="n"/>
      <c r="G15" s="427">
        <f>C15</f>
        <v/>
      </c>
    </row>
    <row r="16" ht="16" customHeight="1">
      <c r="A16" s="689" t="inlineStr">
        <is>
          <t xml:space="preserve">               -Phosphorous (P2O5)</t>
        </is>
      </c>
      <c r="B16" s="74" t="n"/>
      <c r="C16" s="793" t="n">
        <v>12.49457508088061</v>
      </c>
      <c r="D16" s="31" t="n"/>
      <c r="E16" s="37" t="n"/>
      <c r="G16" s="427">
        <f>C16</f>
        <v/>
      </c>
    </row>
    <row r="17" ht="16" customHeight="1">
      <c r="A17" s="689" t="inlineStr">
        <is>
          <t xml:space="preserve">               -Sulphur and Other</t>
        </is>
      </c>
      <c r="B17" s="75" t="n"/>
      <c r="C17" s="796" t="n">
        <v>8.226766550935059</v>
      </c>
      <c r="D17" s="31" t="n"/>
      <c r="E17" s="37" t="n"/>
      <c r="G17" s="427">
        <f>C17</f>
        <v/>
      </c>
    </row>
    <row r="18" ht="16" customHeight="1">
      <c r="A18" s="689" t="inlineStr">
        <is>
          <t>Plant Protection -Herbicides</t>
        </is>
      </c>
      <c r="B18" s="74" t="n"/>
      <c r="C18" s="715" t="n">
        <v>59.82</v>
      </c>
      <c r="D18" s="31" t="n"/>
      <c r="E18" s="37" t="n"/>
      <c r="G18" s="427">
        <f>C18</f>
        <v/>
      </c>
    </row>
    <row r="19" ht="16" customHeight="1">
      <c r="A19" s="689" t="inlineStr">
        <is>
          <t xml:space="preserve">                     -Insecticides</t>
        </is>
      </c>
      <c r="B19" s="74" t="n"/>
      <c r="C19" s="715" t="n">
        <v>0</v>
      </c>
      <c r="D19" s="31" t="n"/>
      <c r="E19" s="37" t="n"/>
      <c r="G19" s="427">
        <f>C19</f>
        <v/>
      </c>
    </row>
    <row r="20" ht="16" customHeight="1">
      <c r="A20" s="689" t="inlineStr">
        <is>
          <t xml:space="preserve">                     -Fungicides</t>
        </is>
      </c>
      <c r="B20" s="74" t="n"/>
      <c r="C20" s="715" t="n">
        <v>0</v>
      </c>
      <c r="D20" s="31" t="n"/>
      <c r="E20" s="37" t="n"/>
      <c r="G20" s="427">
        <f>C20</f>
        <v/>
      </c>
    </row>
    <row r="21" ht="16" customHeight="1">
      <c r="A21" s="689" t="inlineStr">
        <is>
          <t>Machinery Operating -Fuel</t>
        </is>
      </c>
      <c r="B21" s="75" t="n"/>
      <c r="C21" s="770" t="n">
        <v>24.801304325</v>
      </c>
      <c r="D21" s="31" t="n"/>
      <c r="E21" s="37" t="n"/>
      <c r="G21" s="427">
        <f>C21</f>
        <v/>
      </c>
    </row>
    <row r="22" ht="16" customHeight="1">
      <c r="A22" s="689" t="inlineStr">
        <is>
          <t xml:space="preserve">                                  -Repair</t>
        </is>
      </c>
      <c r="B22" s="74" t="n"/>
      <c r="C22" s="715" t="n">
        <v>11.56328841689489</v>
      </c>
      <c r="D22" s="31" t="n"/>
      <c r="E22" s="37" t="n"/>
      <c r="G22" s="427">
        <f>C22</f>
        <v/>
      </c>
    </row>
    <row r="23" ht="16" customHeight="1">
      <c r="A23" s="689" t="inlineStr">
        <is>
          <t>Custom Work and Hired Labour</t>
        </is>
      </c>
      <c r="B23" s="74" t="n"/>
      <c r="C23" s="715" t="n">
        <v>21.5</v>
      </c>
      <c r="D23" s="31" t="n"/>
      <c r="E23" s="37" t="n"/>
      <c r="G23" s="427">
        <f>C23</f>
        <v/>
      </c>
    </row>
    <row r="24" ht="16" customHeight="1">
      <c r="A24" s="689" t="inlineStr">
        <is>
          <t>Crop Insurance Premium</t>
        </is>
      </c>
      <c r="B24" s="77" t="n"/>
      <c r="C24" s="830" t="n">
        <v>16.90463343109931</v>
      </c>
      <c r="D24" s="31" t="n"/>
      <c r="E24" s="37" t="n"/>
      <c r="G24" s="427">
        <f>C24</f>
        <v/>
      </c>
    </row>
    <row r="25" ht="16" customHeight="1">
      <c r="A25" s="689" t="inlineStr">
        <is>
          <t>Hail Insurance Premium</t>
        </is>
      </c>
      <c r="B25" s="77" t="n"/>
      <c r="C25" s="830" t="n">
        <v>14</v>
      </c>
      <c r="D25" s="31" t="n"/>
      <c r="E25" s="37" t="n"/>
      <c r="G25" s="427">
        <f>C25</f>
        <v/>
      </c>
    </row>
    <row r="26" ht="16" customHeight="1">
      <c r="A26" s="689" t="inlineStr">
        <is>
          <t>Utilities and Miscellaneous</t>
        </is>
      </c>
      <c r="B26" s="75" t="n"/>
      <c r="C26" s="770" t="n">
        <v>4.395974170413743</v>
      </c>
      <c r="D26" s="31" t="n"/>
      <c r="E26" s="37" t="n"/>
      <c r="G26" s="427">
        <f>C26</f>
        <v/>
      </c>
    </row>
    <row r="27" ht="16" customHeight="1" thickBot="1">
      <c r="A27" s="689" t="inlineStr">
        <is>
          <t>Interest on Variable Expenses</t>
        </is>
      </c>
      <c r="B27" s="74" t="n"/>
      <c r="C27" s="718" t="n">
        <v>10.8993390066269</v>
      </c>
      <c r="D27" s="31" t="n"/>
      <c r="E27" s="37" t="n"/>
      <c r="G27" s="427">
        <f>C27</f>
        <v/>
      </c>
    </row>
    <row r="28" ht="16" customHeight="1" thickBot="1">
      <c r="A28" s="70" t="inlineStr">
        <is>
          <t>Total Variable Expenses (D)</t>
        </is>
      </c>
      <c r="B28" s="78">
        <f>SUM(B13:B27)</f>
        <v/>
      </c>
      <c r="C28" s="502">
        <f>SUM(C13:C27)</f>
        <v/>
      </c>
      <c r="D28" s="31" t="n"/>
      <c r="E28" s="37" t="n"/>
      <c r="G28" s="428">
        <f>SUM(G13:G27)</f>
        <v/>
      </c>
    </row>
    <row r="29">
      <c r="A29" s="67" t="n"/>
      <c r="B29" s="72" t="n"/>
      <c r="C29" s="350" t="n"/>
      <c r="D29" s="31" t="n"/>
      <c r="E29" s="37" t="n"/>
      <c r="G29" s="464" t="n"/>
    </row>
    <row r="30" ht="16" customHeight="1">
      <c r="A30" s="73" t="inlineStr">
        <is>
          <t>Other Expenses/acre</t>
        </is>
      </c>
      <c r="B30" s="72" t="n"/>
      <c r="C30" s="295" t="n"/>
      <c r="D30" s="31" t="n"/>
      <c r="E30" s="37" t="n"/>
      <c r="G30" s="464" t="n"/>
    </row>
    <row r="31" ht="16" customHeight="1">
      <c r="A31" s="689" t="inlineStr">
        <is>
          <t>Building Repair</t>
        </is>
      </c>
      <c r="B31" s="722" t="n"/>
      <c r="C31" s="773" t="n">
        <v>0.7445684561908097</v>
      </c>
      <c r="D31" s="31" t="n"/>
      <c r="E31" s="37" t="n"/>
      <c r="G31" s="776">
        <f>C31</f>
        <v/>
      </c>
    </row>
    <row r="32" ht="16" customHeight="1">
      <c r="A32" s="689" t="inlineStr">
        <is>
          <t>Property Taxes</t>
        </is>
      </c>
      <c r="B32" s="727" t="n"/>
      <c r="C32" s="777" t="n">
        <v>5.076533574707355</v>
      </c>
      <c r="D32" s="31" t="n"/>
      <c r="E32" s="37" t="n"/>
      <c r="G32" s="776">
        <f>C32</f>
        <v/>
      </c>
    </row>
    <row r="33" ht="16" customHeight="1">
      <c r="A33" s="689" t="inlineStr">
        <is>
          <t>Business Overhead</t>
        </is>
      </c>
      <c r="B33" s="731" t="n"/>
      <c r="C33" s="773" t="n">
        <v>2.607474711623781</v>
      </c>
      <c r="D33" s="31" t="n"/>
      <c r="E33" s="37" t="n"/>
      <c r="G33" s="776">
        <f>C33</f>
        <v/>
      </c>
    </row>
    <row r="34" ht="16" customHeight="1">
      <c r="A34" s="689" t="inlineStr">
        <is>
          <t>Machinery Depreciation</t>
        </is>
      </c>
      <c r="B34" s="732" t="n"/>
      <c r="C34" s="777" t="n">
        <v>47.58737925414436</v>
      </c>
      <c r="D34" s="31" t="n"/>
      <c r="E34" s="37" t="n"/>
      <c r="G34" s="776">
        <f>C34</f>
        <v/>
      </c>
    </row>
    <row r="35" ht="16" customHeight="1">
      <c r="A35" s="689" t="inlineStr">
        <is>
          <t>Building Depreciation</t>
        </is>
      </c>
      <c r="B35" s="722" t="n"/>
      <c r="C35" s="773" t="n">
        <v>1.45</v>
      </c>
      <c r="D35" s="31" t="n"/>
      <c r="E35" s="37" t="n"/>
      <c r="G35" s="776">
        <f>C35</f>
        <v/>
      </c>
    </row>
    <row r="36" ht="16" customHeight="1">
      <c r="A36" s="689" t="inlineStr">
        <is>
          <t>Machinery Investment</t>
        </is>
      </c>
      <c r="B36" s="732" t="n"/>
      <c r="C36" s="777" t="n">
        <v>30.02007569770789</v>
      </c>
      <c r="D36" s="31" t="n"/>
      <c r="E36" s="37" t="n"/>
      <c r="G36" s="776">
        <f>C36</f>
        <v/>
      </c>
    </row>
    <row r="37" ht="16" customHeight="1">
      <c r="A37" s="689" t="inlineStr">
        <is>
          <t>Building Investment</t>
        </is>
      </c>
      <c r="B37" s="722" t="n"/>
      <c r="C37" s="773" t="n">
        <v>1.326266666666666</v>
      </c>
      <c r="D37" s="31" t="n"/>
      <c r="E37" s="37" t="n"/>
      <c r="G37" s="776">
        <f>C37</f>
        <v/>
      </c>
    </row>
    <row r="38" ht="16" customHeight="1" thickBot="1">
      <c r="A38" s="689" t="inlineStr">
        <is>
          <t>Land Investment</t>
        </is>
      </c>
      <c r="B38" s="727" t="n"/>
      <c r="C38" s="844" t="n">
        <v>70.10399999999998</v>
      </c>
      <c r="D38" s="31" t="n"/>
      <c r="E38" s="37" t="n"/>
      <c r="G38" s="776">
        <f>C38</f>
        <v/>
      </c>
    </row>
    <row r="39" ht="16" customHeight="1" thickBot="1">
      <c r="A39" s="70" t="inlineStr">
        <is>
          <t>Total Other Expenses (E)</t>
        </is>
      </c>
      <c r="B39" s="78">
        <f>SUM(B31:B38)</f>
        <v/>
      </c>
      <c r="C39" s="423">
        <f>SUM(C31:C38)</f>
        <v/>
      </c>
      <c r="D39" s="31" t="n"/>
      <c r="E39" s="37" t="n"/>
      <c r="G39" s="428">
        <f>SUM(G31:G38)</f>
        <v/>
      </c>
    </row>
    <row r="40" ht="16" customHeight="1" thickBot="1">
      <c r="A40" s="689" t="inlineStr">
        <is>
          <t>Labour and Management (F)*</t>
        </is>
      </c>
      <c r="B40" s="75" t="n"/>
      <c r="C40" s="432" t="n"/>
      <c r="D40" s="31" t="n"/>
      <c r="E40" s="37" t="n"/>
      <c r="G40" s="464" t="n"/>
    </row>
    <row r="41" ht="16" customHeight="1" thickBot="1">
      <c r="A41" s="89" t="inlineStr">
        <is>
          <t xml:space="preserve">Total Expenses (D+E+F)=(G) </t>
        </is>
      </c>
      <c r="B41" s="78">
        <f>B28+B39+B40</f>
        <v/>
      </c>
      <c r="C41" s="424">
        <f>C28+C39+C40</f>
        <v/>
      </c>
      <c r="D41" s="31" t="n"/>
      <c r="E41" s="37" t="n"/>
      <c r="G41" s="428">
        <f>G28+G39+G40</f>
        <v/>
      </c>
    </row>
    <row r="42" ht="16" customHeight="1" thickBot="1">
      <c r="A42" s="90" t="n"/>
      <c r="B42" s="91" t="n"/>
      <c r="C42" s="502" t="n"/>
      <c r="D42" s="31" t="n"/>
      <c r="E42" s="37" t="n"/>
      <c r="G42" s="464" t="n"/>
    </row>
    <row r="43" ht="16" customHeight="1">
      <c r="A43" s="47" t="inlineStr">
        <is>
          <t>RETURNS PER ACRE</t>
        </is>
      </c>
      <c r="B43" s="48" t="n"/>
      <c r="C43" s="493" t="n"/>
      <c r="D43" s="31" t="n"/>
      <c r="E43" s="37" t="n"/>
      <c r="G43" s="465" t="n"/>
    </row>
    <row r="44" ht="16" customHeight="1">
      <c r="A44" s="49" t="inlineStr">
        <is>
          <t xml:space="preserve"> Return over Variable Expenses (C-D) </t>
        </is>
      </c>
      <c r="B44" s="20">
        <f>B9-B28</f>
        <v/>
      </c>
      <c r="C44" s="451">
        <f>C9-C28</f>
        <v/>
      </c>
      <c r="D44" s="31" t="n"/>
      <c r="E44" s="37" t="n"/>
      <c r="G44" s="467">
        <f>G9-G28</f>
        <v/>
      </c>
    </row>
    <row r="45" ht="16" customHeight="1" thickBot="1">
      <c r="A45" s="737" t="inlineStr">
        <is>
          <t xml:space="preserve"> Return over Total Expenses (C-G)</t>
        </is>
      </c>
      <c r="B45" s="21">
        <f>B9-B41</f>
        <v/>
      </c>
      <c r="C45" s="454">
        <f>C9-C41</f>
        <v/>
      </c>
      <c r="D45" s="31" t="n"/>
      <c r="E45" s="37" t="n"/>
      <c r="G45" s="468">
        <f>G9-G41</f>
        <v/>
      </c>
    </row>
    <row r="46" ht="16" customHeight="1" thickBot="1">
      <c r="A46" s="32" t="n"/>
      <c r="B46" s="19" t="n"/>
      <c r="C46" s="445" t="n"/>
      <c r="D46" s="31" t="n"/>
      <c r="E46" s="37" t="n"/>
      <c r="G46" s="464" t="n"/>
    </row>
    <row r="47" ht="16" customHeight="1">
      <c r="A47" s="96" t="inlineStr">
        <is>
          <t>BREAK-EVEN YIELD (lbs./ac.)</t>
        </is>
      </c>
      <c r="B47" s="52" t="n"/>
      <c r="C47" s="494" t="n"/>
      <c r="D47" s="31" t="n"/>
      <c r="E47" s="37" t="n"/>
      <c r="G47" s="465" t="n"/>
    </row>
    <row r="48" ht="16" customHeight="1">
      <c r="A48" s="73" t="inlineStr">
        <is>
          <t>To Cover Variable Expenses</t>
        </is>
      </c>
      <c r="B48" s="183">
        <f>ROUND((B28)/B8,2)</f>
        <v/>
      </c>
      <c r="C48" s="523">
        <f>ROUND((C28)/C8,2)</f>
        <v/>
      </c>
      <c r="D48" s="31" t="n"/>
      <c r="E48" s="37" t="n"/>
      <c r="G48" s="527">
        <f>ROUND((G28)/G8,2)</f>
        <v/>
      </c>
    </row>
    <row r="49" ht="16" customHeight="1" thickBot="1">
      <c r="A49" s="164" t="inlineStr">
        <is>
          <t>To Cover Total Expenses</t>
        </is>
      </c>
      <c r="B49" s="184">
        <f>ROUND(B41/B8,2)</f>
        <v/>
      </c>
      <c r="C49" s="524">
        <f>ROUND(C41/C8,2)</f>
        <v/>
      </c>
      <c r="D49" s="31" t="n"/>
      <c r="E49" s="37" t="n"/>
      <c r="G49" s="528">
        <f>ROUND(G41/G8,2)</f>
        <v/>
      </c>
    </row>
    <row r="50" ht="16" customHeight="1" thickBot="1">
      <c r="A50" s="73" t="n"/>
      <c r="B50" s="744" t="n"/>
      <c r="C50" s="819" t="n"/>
      <c r="D50" s="31" t="n"/>
      <c r="E50" s="37" t="n"/>
      <c r="G50" s="464" t="n"/>
    </row>
    <row r="51" ht="16" customHeight="1">
      <c r="A51" s="96" t="inlineStr">
        <is>
          <t>BREAK-EVEN PRICE ($/lb.)</t>
        </is>
      </c>
      <c r="B51" s="52" t="n"/>
      <c r="C51" s="494" t="n"/>
      <c r="D51" s="31" t="n"/>
      <c r="E51" s="37" t="n"/>
      <c r="G51" s="465" t="n"/>
    </row>
    <row r="52" ht="16" customHeight="1">
      <c r="A52" s="73" t="inlineStr">
        <is>
          <t>To Cover Variable Expenses</t>
        </is>
      </c>
      <c r="B52" s="20">
        <f>ROUND((B28)/B7,2)</f>
        <v/>
      </c>
      <c r="C52" s="451">
        <f>ROUND((C28)/C7,2)</f>
        <v/>
      </c>
      <c r="D52" s="31" t="n"/>
      <c r="E52" s="37" t="n"/>
      <c r="G52" s="467">
        <f>ROUND((G28)/G7,2)</f>
        <v/>
      </c>
    </row>
    <row r="53" ht="16" customHeight="1" thickBot="1">
      <c r="A53" s="164" t="inlineStr">
        <is>
          <t>To Cover Total Expenses</t>
        </is>
      </c>
      <c r="B53" s="21">
        <f>ROUND(B41/B7,2)</f>
        <v/>
      </c>
      <c r="C53" s="454">
        <f>ROUND(C41/C7,2)</f>
        <v/>
      </c>
      <c r="D53" s="31" t="n"/>
      <c r="E53" s="37" t="n"/>
      <c r="G53" s="468">
        <f>ROUND(G41/G7,2)</f>
        <v/>
      </c>
    </row>
    <row r="54" ht="16" customHeight="1" thickBot="1">
      <c r="A54" s="168" t="n"/>
      <c r="B54" s="17" t="n"/>
      <c r="C54" s="612" t="n"/>
      <c r="D54" s="31" t="n"/>
    </row>
    <row r="55" ht="16" customHeight="1">
      <c r="A55" s="47" t="inlineStr">
        <is>
          <t>YIELD SENSITIVITY (same expenses but average yield)</t>
        </is>
      </c>
      <c r="B55" s="64" t="n"/>
      <c r="C55" s="462" t="n"/>
      <c r="D55" s="31" t="n"/>
    </row>
    <row r="56" ht="16" customHeight="1">
      <c r="A56" s="170" t="inlineStr">
        <is>
          <t>Provincial average yield (lb./ac)</t>
        </is>
      </c>
      <c r="B56" s="65" t="n"/>
      <c r="C56" s="529">
        <f>G7</f>
        <v/>
      </c>
      <c r="D56" s="31" t="n"/>
    </row>
    <row r="57" ht="16" customHeight="1">
      <c r="A57" s="170" t="inlineStr">
        <is>
          <t xml:space="preserve"> Return over Variable Expenses </t>
        </is>
      </c>
      <c r="B57" s="65" t="n"/>
      <c r="C57" s="612">
        <f>G44</f>
        <v/>
      </c>
      <c r="D57" s="31" t="n"/>
    </row>
    <row r="58" ht="16" customHeight="1" thickBot="1">
      <c r="A58" s="845" t="inlineStr">
        <is>
          <t xml:space="preserve"> Return over Total Expenses </t>
        </is>
      </c>
      <c r="B58" s="66" t="n"/>
      <c r="C58" s="463">
        <f>G45</f>
        <v/>
      </c>
      <c r="D58" s="750" t="n"/>
    </row>
    <row r="59" ht="16" customHeight="1">
      <c r="A59" s="22" t="inlineStr">
        <is>
          <t>*Farm managers need to determine their own actual labour and management costs and add it to total expenses.</t>
        </is>
      </c>
      <c r="B59" s="24" t="n"/>
      <c r="C59" s="24" t="n"/>
    </row>
    <row r="60">
      <c r="A60" s="24" t="n"/>
      <c r="B60" s="24" t="n"/>
      <c r="C60" s="24" t="n"/>
    </row>
    <row r="61">
      <c r="A61" s="24" t="n"/>
      <c r="B61" s="24" t="n"/>
      <c r="C61" s="419" t="n"/>
    </row>
    <row r="62" ht="16" customHeight="1">
      <c r="A62" s="57" t="n"/>
      <c r="B62" s="56" t="n"/>
      <c r="C62" s="56" t="n"/>
    </row>
    <row r="63" ht="16" customHeight="1">
      <c r="A63" s="57" t="n"/>
      <c r="B63" s="56" t="n"/>
      <c r="C63" s="56" t="n"/>
    </row>
  </sheetData>
  <mergeCells count="1">
    <mergeCell ref="D3:D58"/>
  </mergeCells>
  <pageMargins left="0.7" right="0.7" top="0.75" bottom="0.75" header="0.3" footer="0.3"/>
  <pageSetup orientation="portrait"/>
</worksheet>
</file>

<file path=xl/worksheets/sheet18.xml><?xml version="1.0" encoding="utf-8"?>
<worksheet xmlns="http://schemas.openxmlformats.org/spreadsheetml/2006/main">
  <sheetPr>
    <outlinePr summaryBelow="1" summaryRight="1"/>
    <pageSetUpPr/>
  </sheetPr>
  <dimension ref="A1:G63"/>
  <sheetViews>
    <sheetView topLeftCell="A23" workbookViewId="0">
      <selection activeCell="C28" sqref="C28"/>
    </sheetView>
  </sheetViews>
  <sheetFormatPr baseColWidth="8" defaultRowHeight="16" customHeight="1"/>
  <cols>
    <col width="55.7109375" customWidth="1" min="1" max="1"/>
    <col width="13.85546875" bestFit="1" customWidth="1" min="2" max="2"/>
    <col width="21.5703125" customWidth="1" min="3" max="3"/>
    <col width="50" customWidth="1" min="4" max="4"/>
    <col width="12.28515625" customWidth="1" min="7" max="7"/>
  </cols>
  <sheetData>
    <row r="1" ht="16" customHeight="1">
      <c r="A1" s="23" t="inlineStr">
        <is>
          <t>HYBRID BROWN MUSTARD PRODUCTION COSTS ($/ACRE) FOR SASKATCHEWAN 2026</t>
        </is>
      </c>
      <c r="B1" s="23" t="n"/>
      <c r="C1" s="23" t="n"/>
      <c r="D1" s="24" t="n"/>
    </row>
    <row r="2" ht="16" customHeight="1" thickBot="1">
      <c r="A2" s="25" t="n"/>
      <c r="B2" s="25" t="n"/>
      <c r="C2" s="25" t="inlineStr">
        <is>
          <t>Economics</t>
        </is>
      </c>
      <c r="D2" s="25" t="inlineStr">
        <is>
          <t>Agronomics</t>
        </is>
      </c>
    </row>
    <row r="3" ht="16" customHeight="1" thickBot="1">
      <c r="A3" s="179" t="inlineStr">
        <is>
          <t>CROP</t>
        </is>
      </c>
      <c r="B3" s="279" t="n"/>
      <c r="C3" s="806" t="inlineStr">
        <is>
          <t>Hybrid Brown Mustard</t>
        </is>
      </c>
      <c r="D3" s="836" t="inlineStr">
        <is>
          <t xml:space="preserve">Seeding: A seed rate of 6 lb./ac. is used. The brown soil zone is recommended.
Fertilization: Fertility costs are based on nutrient removal rates given the targeted crop yield. These are: 56 lb./ac. N, 18 lb./ac. P2O5 and 15 lb./ac. S. Producers are encouraged to use their own rates based on soil tests. 
Crop Rotation: Diverse crop rotations are recommended to help reduce disease pressure and suppress weed growth. 
Crop Protection                                                            Insect control: Flea beetles, cutworms, lygus bugs, cabbage seedpod weevil, diamondback moth, bertha armyworm, cabbage looper and occasionally imported cabbageworm, grasshoppers and slugs might require control. Seed treatments are available for flea beetle and cutworm control.
Disease control: The cost of fungicide is not included in this estimate. Disease risk assessment is encouraged to guide fungicide application decisions. 
Weed control: Herbicide costs are based on the following herbicide timings. Please refer to general assumptions for details. Please insert Herbicide application window. </t>
        </is>
      </c>
    </row>
    <row r="4" ht="16" customHeight="1" thickBot="1">
      <c r="A4" s="26" t="n"/>
      <c r="B4" s="677" t="inlineStr">
        <is>
          <t>My Farm</t>
        </is>
      </c>
      <c r="C4" s="807" t="inlineStr">
        <is>
          <t>80th percentile</t>
        </is>
      </c>
      <c r="D4" s="31" t="n"/>
      <c r="G4" s="271" t="inlineStr">
        <is>
          <t>Average Yield</t>
        </is>
      </c>
    </row>
    <row r="5" ht="16" customHeight="1" thickBot="1">
      <c r="A5" s="838" t="inlineStr">
        <is>
          <t>Soil Zone</t>
        </is>
      </c>
      <c r="B5" s="839" t="inlineStr">
        <is>
          <t>Brown</t>
        </is>
      </c>
      <c r="C5" s="848" t="inlineStr">
        <is>
          <t>Brown</t>
        </is>
      </c>
      <c r="D5" s="31" t="n"/>
      <c r="G5" s="841" t="inlineStr">
        <is>
          <t>Brown</t>
        </is>
      </c>
    </row>
    <row r="6" ht="16" customHeight="1">
      <c r="A6" s="96" t="inlineStr">
        <is>
          <t>REVENUE PER ACRE</t>
        </is>
      </c>
      <c r="B6" s="86" t="n"/>
      <c r="C6" s="123" t="n"/>
      <c r="D6" s="31" t="n"/>
      <c r="G6" s="31" t="n"/>
    </row>
    <row r="7" ht="16" customHeight="1">
      <c r="A7" s="689" t="inlineStr">
        <is>
          <t>Target Yield (lb./ac.) (A)</t>
        </is>
      </c>
      <c r="B7" s="68" t="n"/>
      <c r="C7" s="849" t="n">
        <v>1138.889790007448</v>
      </c>
      <c r="D7" s="31" t="n"/>
      <c r="E7" s="37" t="n"/>
      <c r="G7" s="769" t="n">
        <v>732.1917896105398</v>
      </c>
    </row>
    <row r="8" ht="16" customHeight="1" thickBot="1">
      <c r="A8" s="689" t="inlineStr">
        <is>
          <t>Est. Farm Gate Price $/lb. (B)</t>
        </is>
      </c>
      <c r="B8" s="69" t="n"/>
      <c r="C8" s="850" t="n">
        <v>0.38</v>
      </c>
      <c r="D8" s="31" t="n"/>
      <c r="E8" s="37" t="n"/>
      <c r="G8" s="696">
        <f>C8</f>
        <v/>
      </c>
    </row>
    <row r="9" ht="16" customHeight="1" thickBot="1">
      <c r="A9" s="70" t="inlineStr">
        <is>
          <t>Estimated Gross Revenue/ac (AxB)=C</t>
        </is>
      </c>
      <c r="B9" s="71">
        <f>ROUND((B8*B7),2)</f>
        <v/>
      </c>
      <c r="C9" s="122">
        <f>ROUND((C8*C7),2)</f>
        <v/>
      </c>
      <c r="D9" s="31" t="n"/>
      <c r="E9" s="37" t="n"/>
      <c r="G9" s="40">
        <f>ROUND((G8*G7),2)</f>
        <v/>
      </c>
    </row>
    <row r="10">
      <c r="A10" s="67" t="n"/>
      <c r="B10" s="72" t="n"/>
      <c r="C10" s="363" t="n"/>
      <c r="D10" s="31" t="n"/>
      <c r="E10" s="37" t="n"/>
      <c r="G10" s="332" t="n"/>
    </row>
    <row r="11" ht="16" customHeight="1">
      <c r="A11" s="73" t="inlineStr">
        <is>
          <t>EXPENSES PER ACRE</t>
        </is>
      </c>
      <c r="B11" s="72" t="n"/>
      <c r="C11" s="362" t="n"/>
      <c r="D11" s="31" t="n"/>
      <c r="E11" s="37" t="n"/>
      <c r="G11" s="332" t="n"/>
    </row>
    <row r="12" ht="16" customHeight="1">
      <c r="A12" s="73" t="inlineStr">
        <is>
          <t>Variable Expenses/acre</t>
        </is>
      </c>
      <c r="B12" s="72" t="n"/>
      <c r="C12" s="362" t="n"/>
      <c r="D12" s="31" t="n"/>
      <c r="E12" s="37" t="n"/>
      <c r="G12" s="332" t="n"/>
    </row>
    <row r="13" ht="16" customHeight="1">
      <c r="A13" s="689" t="inlineStr">
        <is>
          <t>Seed</t>
        </is>
      </c>
      <c r="B13" s="74" t="n"/>
      <c r="C13" s="851" t="n">
        <v>67.5</v>
      </c>
      <c r="D13" s="31" t="n"/>
      <c r="E13" s="37" t="n"/>
      <c r="G13" s="696">
        <f>C13</f>
        <v/>
      </c>
    </row>
    <row r="14" ht="16" customHeight="1">
      <c r="A14" s="689" t="inlineStr">
        <is>
          <t xml:space="preserve">                     -Seed Treatments/Inoculants</t>
        </is>
      </c>
      <c r="B14" s="74" t="n"/>
      <c r="C14" s="851" t="n">
        <v>0</v>
      </c>
      <c r="D14" s="31" t="n"/>
      <c r="E14" s="37" t="n"/>
      <c r="G14" s="696">
        <f>C14</f>
        <v/>
      </c>
    </row>
    <row r="15" ht="16" customHeight="1">
      <c r="A15" s="689" t="inlineStr">
        <is>
          <t>Fertilizer -Nitrogen (N)</t>
        </is>
      </c>
      <c r="B15" s="74" t="n"/>
      <c r="C15" s="852" t="n">
        <v>45.84549830347984</v>
      </c>
      <c r="D15" s="31" t="n"/>
      <c r="E15" s="37" t="n"/>
      <c r="G15" s="696">
        <f>C15</f>
        <v/>
      </c>
    </row>
    <row r="16" ht="16" customHeight="1">
      <c r="A16" s="689" t="inlineStr">
        <is>
          <t xml:space="preserve">               -Phosphorous (P2O5)</t>
        </is>
      </c>
      <c r="B16" s="74" t="n"/>
      <c r="C16" s="852" t="n">
        <v>17.30018088121931</v>
      </c>
      <c r="D16" s="31" t="n"/>
      <c r="E16" s="37" t="n"/>
      <c r="G16" s="696">
        <f>C16</f>
        <v/>
      </c>
    </row>
    <row r="17" ht="16" customHeight="1">
      <c r="A17" s="689" t="inlineStr">
        <is>
          <t xml:space="preserve">               -Sulphur and Other</t>
        </is>
      </c>
      <c r="B17" s="75" t="n"/>
      <c r="C17" s="853" t="n">
        <v>8.226766550935059</v>
      </c>
      <c r="D17" s="31" t="n"/>
      <c r="E17" s="37" t="n"/>
      <c r="G17" s="696">
        <f>C17</f>
        <v/>
      </c>
    </row>
    <row r="18" ht="16" customHeight="1">
      <c r="A18" s="689" t="inlineStr">
        <is>
          <t>Plant Protection -Herbicides</t>
        </is>
      </c>
      <c r="B18" s="74" t="n"/>
      <c r="C18" s="851" t="n">
        <v>55.46</v>
      </c>
      <c r="D18" s="31" t="n"/>
      <c r="E18" s="37" t="n"/>
      <c r="G18" s="696">
        <f>C18</f>
        <v/>
      </c>
    </row>
    <row r="19" ht="16" customHeight="1">
      <c r="A19" s="689" t="inlineStr">
        <is>
          <t xml:space="preserve">                     -Insecticides</t>
        </is>
      </c>
      <c r="B19" s="74" t="n"/>
      <c r="C19" s="851" t="n">
        <v>7.7</v>
      </c>
      <c r="D19" s="31" t="n"/>
      <c r="E19" s="37" t="n"/>
      <c r="G19" s="696">
        <f>C19</f>
        <v/>
      </c>
    </row>
    <row r="20" ht="16" customHeight="1">
      <c r="A20" s="689" t="inlineStr">
        <is>
          <t xml:space="preserve">                     -Fungicides</t>
        </is>
      </c>
      <c r="B20" s="74" t="n"/>
      <c r="C20" s="851" t="n">
        <v>0</v>
      </c>
      <c r="D20" s="31" t="n"/>
      <c r="E20" s="37" t="n"/>
      <c r="G20" s="696">
        <f>C20</f>
        <v/>
      </c>
    </row>
    <row r="21" ht="16" customHeight="1">
      <c r="A21" s="689" t="inlineStr">
        <is>
          <t>Machinery Operating -Fuel</t>
        </is>
      </c>
      <c r="B21" s="75" t="n"/>
      <c r="C21" s="854" t="n">
        <v>24.801304325</v>
      </c>
      <c r="D21" s="31" t="n"/>
      <c r="E21" s="37" t="n"/>
      <c r="G21" s="696">
        <f>C21</f>
        <v/>
      </c>
    </row>
    <row r="22" ht="16" customHeight="1">
      <c r="A22" s="689" t="inlineStr">
        <is>
          <t xml:space="preserve">                                  -Repair</t>
        </is>
      </c>
      <c r="B22" s="74" t="n"/>
      <c r="C22" s="851" t="n">
        <v>11.56328841689489</v>
      </c>
      <c r="D22" s="31" t="n"/>
      <c r="E22" s="37" t="n"/>
      <c r="G22" s="696">
        <f>C22</f>
        <v/>
      </c>
    </row>
    <row r="23" ht="16" customHeight="1">
      <c r="A23" s="689" t="inlineStr">
        <is>
          <t>Custom Work and Hired Labour</t>
        </is>
      </c>
      <c r="B23" s="74" t="n"/>
      <c r="C23" s="851" t="n">
        <v>21</v>
      </c>
      <c r="D23" s="31" t="n"/>
      <c r="E23" s="37" t="n"/>
      <c r="G23" s="696">
        <f>C23</f>
        <v/>
      </c>
    </row>
    <row r="24" ht="16" customHeight="1">
      <c r="A24" s="689" t="inlineStr">
        <is>
          <t>Crop Insurance Premium</t>
        </is>
      </c>
      <c r="B24" s="77" t="n"/>
      <c r="C24" s="855" t="n">
        <v>12.02797644111293</v>
      </c>
      <c r="D24" s="31" t="n"/>
      <c r="E24" s="37" t="n"/>
      <c r="G24" s="696">
        <f>C24</f>
        <v/>
      </c>
    </row>
    <row r="25" ht="16" customHeight="1">
      <c r="A25" s="689" t="inlineStr">
        <is>
          <t>Hail Insurance Premium</t>
        </is>
      </c>
      <c r="B25" s="77" t="n"/>
      <c r="C25" s="855" t="n">
        <v>14</v>
      </c>
      <c r="D25" s="31" t="n"/>
      <c r="E25" s="37" t="n"/>
      <c r="G25" s="696">
        <f>C25</f>
        <v/>
      </c>
    </row>
    <row r="26" ht="16" customHeight="1">
      <c r="A26" s="689" t="inlineStr">
        <is>
          <t>Utilities and Miscellaneous</t>
        </is>
      </c>
      <c r="B26" s="75" t="n"/>
      <c r="C26" s="854" t="n">
        <v>4.395974170413743</v>
      </c>
      <c r="D26" s="31" t="n"/>
      <c r="E26" s="37" t="n"/>
      <c r="G26" s="696">
        <f>C26</f>
        <v/>
      </c>
    </row>
    <row r="27" ht="16" customHeight="1" thickBot="1">
      <c r="A27" s="689" t="inlineStr">
        <is>
          <t>Interest on Variable Expenses</t>
        </is>
      </c>
      <c r="B27" s="74" t="n"/>
      <c r="C27" s="856" t="n">
        <v>10.97455478683891</v>
      </c>
      <c r="D27" s="31" t="n"/>
      <c r="E27" s="37" t="n"/>
      <c r="G27" s="696">
        <f>C27</f>
        <v/>
      </c>
    </row>
    <row r="28" ht="16" customHeight="1" thickBot="1">
      <c r="A28" s="70" t="inlineStr">
        <is>
          <t>Total Variable Expenses (D)</t>
        </is>
      </c>
      <c r="B28" s="78">
        <f>SUM(B13:B27)</f>
        <v/>
      </c>
      <c r="C28" s="159">
        <f>SUM(C13:C27)</f>
        <v/>
      </c>
      <c r="D28" s="31" t="n"/>
      <c r="E28" s="37" t="n"/>
      <c r="G28" s="43">
        <f>SUM(G13:G27)</f>
        <v/>
      </c>
    </row>
    <row r="29">
      <c r="A29" s="67" t="n"/>
      <c r="B29" s="72" t="n"/>
      <c r="C29" s="363" t="n"/>
      <c r="D29" s="31" t="n"/>
      <c r="E29" s="37" t="n"/>
      <c r="G29" s="410" t="n"/>
    </row>
    <row r="30" ht="16" customHeight="1">
      <c r="A30" s="73" t="inlineStr">
        <is>
          <t>Other Expenses/acre</t>
        </is>
      </c>
      <c r="B30" s="72" t="n"/>
      <c r="C30" s="362" t="n"/>
      <c r="D30" s="31" t="n"/>
      <c r="E30" s="37" t="n"/>
      <c r="G30" s="410" t="n"/>
    </row>
    <row r="31" ht="16" customHeight="1">
      <c r="A31" s="689" t="inlineStr">
        <is>
          <t>Building Repair</t>
        </is>
      </c>
      <c r="B31" s="722" t="n"/>
      <c r="C31" s="857" t="n">
        <v>0.7445684561908097</v>
      </c>
      <c r="D31" s="31" t="n"/>
      <c r="E31" s="37" t="n"/>
      <c r="G31" s="726">
        <f>C31</f>
        <v/>
      </c>
    </row>
    <row r="32" ht="16" customHeight="1">
      <c r="A32" s="689" t="inlineStr">
        <is>
          <t>Property Taxes</t>
        </is>
      </c>
      <c r="B32" s="727" t="n"/>
      <c r="C32" s="858" t="n">
        <v>5.076533574707355</v>
      </c>
      <c r="D32" s="31" t="n"/>
      <c r="E32" s="37" t="n"/>
      <c r="G32" s="726">
        <f>C32</f>
        <v/>
      </c>
    </row>
    <row r="33" ht="16" customHeight="1">
      <c r="A33" s="689" t="inlineStr">
        <is>
          <t>Business Overhead</t>
        </is>
      </c>
      <c r="B33" s="731" t="n"/>
      <c r="C33" s="857" t="n">
        <v>2.607474711623781</v>
      </c>
      <c r="D33" s="31" t="n"/>
      <c r="E33" s="37" t="n"/>
      <c r="G33" s="726">
        <f>C33</f>
        <v/>
      </c>
    </row>
    <row r="34" ht="16" customHeight="1">
      <c r="A34" s="689" t="inlineStr">
        <is>
          <t>Machinery Depreciation</t>
        </is>
      </c>
      <c r="B34" s="732" t="n"/>
      <c r="C34" s="858" t="n">
        <v>47.58737925414436</v>
      </c>
      <c r="D34" s="31" t="n"/>
      <c r="E34" s="37" t="n"/>
      <c r="G34" s="726">
        <f>C34</f>
        <v/>
      </c>
    </row>
    <row r="35" ht="16" customHeight="1">
      <c r="A35" s="689" t="inlineStr">
        <is>
          <t>Building Depreciation</t>
        </is>
      </c>
      <c r="B35" s="722" t="n"/>
      <c r="C35" s="857" t="n">
        <v>1.45</v>
      </c>
      <c r="D35" s="31" t="n"/>
      <c r="E35" s="37" t="n"/>
      <c r="G35" s="726">
        <f>C35</f>
        <v/>
      </c>
    </row>
    <row r="36" ht="16" customHeight="1">
      <c r="A36" s="689" t="inlineStr">
        <is>
          <t>Machinery Investment</t>
        </is>
      </c>
      <c r="B36" s="732" t="n"/>
      <c r="C36" s="858" t="n">
        <v>30.02007569770789</v>
      </c>
      <c r="D36" s="31" t="n"/>
      <c r="E36" s="37" t="n"/>
      <c r="G36" s="726">
        <f>C36</f>
        <v/>
      </c>
    </row>
    <row r="37" ht="16" customHeight="1">
      <c r="A37" s="689" t="inlineStr">
        <is>
          <t>Building Investment</t>
        </is>
      </c>
      <c r="B37" s="722" t="n"/>
      <c r="C37" s="857" t="n">
        <v>1.326266666666666</v>
      </c>
      <c r="D37" s="31" t="n"/>
      <c r="E37" s="37" t="n"/>
      <c r="G37" s="726">
        <f>C37</f>
        <v/>
      </c>
    </row>
    <row r="38" ht="16" customHeight="1" thickBot="1">
      <c r="A38" s="689" t="inlineStr">
        <is>
          <t>Land Investment</t>
        </is>
      </c>
      <c r="B38" s="727" t="n"/>
      <c r="C38" s="859" t="n">
        <v>70.10399999999998</v>
      </c>
      <c r="D38" s="31" t="n"/>
      <c r="E38" s="37" t="n"/>
      <c r="G38" s="726">
        <f>C38</f>
        <v/>
      </c>
    </row>
    <row r="39" ht="16" customHeight="1" thickBot="1">
      <c r="A39" s="70" t="inlineStr">
        <is>
          <t>Total Other Expenses (E)</t>
        </is>
      </c>
      <c r="B39" s="78">
        <f>SUM(B31:B38)</f>
        <v/>
      </c>
      <c r="C39" s="128">
        <f>SUM(C31:C38)</f>
        <v/>
      </c>
      <c r="D39" s="31" t="n"/>
      <c r="E39" s="37" t="n"/>
      <c r="G39" s="43">
        <f>SUM(G31:G38)</f>
        <v/>
      </c>
    </row>
    <row r="40" ht="16" customHeight="1" thickBot="1">
      <c r="A40" s="689" t="inlineStr">
        <is>
          <t>Labour and Management (F)*</t>
        </is>
      </c>
      <c r="B40" s="75" t="n"/>
      <c r="C40" s="125" t="n"/>
      <c r="D40" s="31" t="n"/>
      <c r="E40" s="37" t="n"/>
      <c r="G40" s="410" t="n"/>
    </row>
    <row r="41" ht="16" customHeight="1" thickBot="1">
      <c r="A41" s="89" t="inlineStr">
        <is>
          <t xml:space="preserve">Total Expenses (D+E+F)=(G) </t>
        </is>
      </c>
      <c r="B41" s="78">
        <f>B28+B39+B40</f>
        <v/>
      </c>
      <c r="C41" s="133">
        <f>C28+C39+C40</f>
        <v/>
      </c>
      <c r="D41" s="31" t="n"/>
      <c r="E41" s="37" t="n"/>
      <c r="G41" s="43">
        <f>G28+G39+G40</f>
        <v/>
      </c>
    </row>
    <row r="42" ht="16" customHeight="1" thickBot="1">
      <c r="A42" s="90" t="n"/>
      <c r="B42" s="91" t="n"/>
      <c r="C42" s="159" t="n"/>
      <c r="D42" s="31" t="n"/>
      <c r="E42" s="37" t="n"/>
      <c r="G42" s="410" t="n"/>
    </row>
    <row r="43" ht="16" customHeight="1">
      <c r="A43" s="47" t="inlineStr">
        <is>
          <t>RETURNS PER ACRE</t>
        </is>
      </c>
      <c r="B43" s="48" t="n"/>
      <c r="C43" s="136" t="n"/>
      <c r="D43" s="31" t="n"/>
      <c r="E43" s="37" t="n"/>
      <c r="G43" s="411" t="n"/>
    </row>
    <row r="44" ht="16" customHeight="1">
      <c r="A44" s="49" t="inlineStr">
        <is>
          <t xml:space="preserve"> Return over Variable Expenses (C-D) </t>
        </is>
      </c>
      <c r="B44" s="20">
        <f>B9-B28</f>
        <v/>
      </c>
      <c r="C44" s="99">
        <f>C9-C28</f>
        <v/>
      </c>
      <c r="D44" s="31" t="n"/>
      <c r="E44" s="37" t="n"/>
      <c r="G44" s="99">
        <f>G9-G28</f>
        <v/>
      </c>
    </row>
    <row r="45" ht="16" customHeight="1" thickBot="1">
      <c r="A45" s="737" t="inlineStr">
        <is>
          <t xml:space="preserve"> Return over Total Expenses (C-G)</t>
        </is>
      </c>
      <c r="B45" s="21">
        <f>B9-B41</f>
        <v/>
      </c>
      <c r="C45" s="100">
        <f>C9-C41</f>
        <v/>
      </c>
      <c r="D45" s="31" t="n"/>
      <c r="E45" s="37" t="n"/>
      <c r="G45" s="100">
        <f>G9-G41</f>
        <v/>
      </c>
    </row>
    <row r="46" ht="16" customHeight="1" thickBot="1">
      <c r="A46" s="32" t="n"/>
      <c r="B46" s="19" t="n"/>
      <c r="C46" s="135" t="n"/>
      <c r="D46" s="31" t="n"/>
      <c r="E46" s="37" t="n"/>
      <c r="G46" s="410" t="n"/>
    </row>
    <row r="47" ht="16" customHeight="1">
      <c r="A47" s="96" t="inlineStr">
        <is>
          <t>BREAK-EVEN YIELD (lbs./ac.)</t>
        </is>
      </c>
      <c r="B47" s="52" t="n"/>
      <c r="C47" s="137" t="n"/>
      <c r="D47" s="31" t="n"/>
      <c r="E47" s="37" t="n"/>
      <c r="G47" s="411" t="n"/>
    </row>
    <row r="48" ht="16" customHeight="1">
      <c r="A48" s="73" t="inlineStr">
        <is>
          <t>To Cover Variable Expenses</t>
        </is>
      </c>
      <c r="B48" s="163">
        <f>ROUND((B28)/B8,2)</f>
        <v/>
      </c>
      <c r="C48" s="163">
        <f>ROUND((C28)/C8,2)</f>
        <v/>
      </c>
      <c r="D48" s="31" t="n"/>
      <c r="E48" s="37" t="n"/>
      <c r="G48" s="163">
        <f>ROUND((G28)/G8,2)</f>
        <v/>
      </c>
    </row>
    <row r="49" ht="16" customHeight="1" thickBot="1">
      <c r="A49" s="164" t="inlineStr">
        <is>
          <t>To Cover Total Expenses</t>
        </is>
      </c>
      <c r="B49" s="166">
        <f>ROUND(B41/B8,2)</f>
        <v/>
      </c>
      <c r="C49" s="166">
        <f>ROUND(C41/C8,2)</f>
        <v/>
      </c>
      <c r="D49" s="31" t="n"/>
      <c r="E49" s="37" t="n"/>
      <c r="G49" s="166">
        <f>ROUND(G41/G8,2)</f>
        <v/>
      </c>
    </row>
    <row r="50" ht="16" customHeight="1" thickBot="1">
      <c r="A50" s="73" t="n"/>
      <c r="B50" s="744" t="n"/>
      <c r="C50" s="860" t="n"/>
      <c r="D50" s="31" t="n"/>
      <c r="E50" s="37" t="n"/>
      <c r="G50" s="410" t="n"/>
    </row>
    <row r="51" ht="16" customHeight="1">
      <c r="A51" s="96" t="inlineStr">
        <is>
          <t>BREAK-EVEN PRICE ($/lb.)</t>
        </is>
      </c>
      <c r="B51" s="52" t="n"/>
      <c r="C51" s="137" t="n"/>
      <c r="D51" s="31" t="n"/>
      <c r="E51" s="37" t="n"/>
      <c r="G51" s="411" t="n"/>
    </row>
    <row r="52" ht="16" customHeight="1">
      <c r="A52" s="73" t="inlineStr">
        <is>
          <t>To Cover Variable Expenses</t>
        </is>
      </c>
      <c r="B52" s="99">
        <f>ROUND((B28)/B7,2)</f>
        <v/>
      </c>
      <c r="C52" s="99">
        <f>ROUND((C28)/C7,2)</f>
        <v/>
      </c>
      <c r="D52" s="31" t="n"/>
      <c r="E52" s="37" t="n"/>
      <c r="G52" s="99">
        <f>ROUND((G28)/G7,2)</f>
        <v/>
      </c>
    </row>
    <row r="53" ht="16" customHeight="1" thickBot="1">
      <c r="A53" s="164" t="inlineStr">
        <is>
          <t>To Cover Total Expenses</t>
        </is>
      </c>
      <c r="B53" s="100">
        <f>ROUND(B41/B7,2)</f>
        <v/>
      </c>
      <c r="C53" s="100">
        <f>ROUND(C41/C7,2)</f>
        <v/>
      </c>
      <c r="D53" s="31" t="n"/>
      <c r="E53" s="37" t="n"/>
      <c r="G53" s="100">
        <f>ROUND(G41/G7,2)</f>
        <v/>
      </c>
    </row>
    <row r="54" ht="16" customHeight="1" thickBot="1">
      <c r="A54" s="168" t="n"/>
      <c r="B54" s="17" t="n"/>
      <c r="C54" s="135" t="n"/>
      <c r="D54" s="31" t="n"/>
    </row>
    <row r="55" ht="16" customHeight="1">
      <c r="A55" s="47" t="inlineStr">
        <is>
          <t>YIELD SENSITIVITY (same expenses but average yield)</t>
        </is>
      </c>
      <c r="B55" s="64" t="n"/>
      <c r="C55" s="189" t="n"/>
      <c r="D55" s="31" t="n"/>
    </row>
    <row r="56" ht="16" customHeight="1">
      <c r="A56" s="170" t="inlineStr">
        <is>
          <t>Provincial average yield (lb./ac)</t>
        </is>
      </c>
      <c r="B56" s="65" t="n"/>
      <c r="C56" s="163">
        <f>G7</f>
        <v/>
      </c>
      <c r="D56" s="31" t="n"/>
    </row>
    <row r="57" ht="16" customHeight="1">
      <c r="A57" s="170" t="inlineStr">
        <is>
          <t xml:space="preserve"> Return over Variable Expenses </t>
        </is>
      </c>
      <c r="B57" s="65" t="n"/>
      <c r="C57" s="135">
        <f>G44</f>
        <v/>
      </c>
      <c r="D57" s="31" t="n"/>
    </row>
    <row r="58" ht="16" customHeight="1" thickBot="1">
      <c r="A58" s="845" t="inlineStr">
        <is>
          <t xml:space="preserve"> Return over Total Expenses </t>
        </is>
      </c>
      <c r="B58" s="66" t="n"/>
      <c r="C58" s="190">
        <f>G45</f>
        <v/>
      </c>
      <c r="D58" s="750" t="n"/>
    </row>
    <row r="59" ht="16" customHeight="1">
      <c r="A59" s="22" t="inlineStr">
        <is>
          <t>*Farm managers need to determine their own actual labour and management costs and add it to total expenses.</t>
        </is>
      </c>
      <c r="B59" s="24" t="n"/>
      <c r="C59" s="24" t="n"/>
    </row>
    <row r="60">
      <c r="A60" s="24" t="n"/>
      <c r="B60" s="24" t="n"/>
      <c r="C60" s="24" t="n"/>
    </row>
    <row r="61">
      <c r="A61" s="24" t="n"/>
      <c r="B61" s="24" t="n"/>
      <c r="C61" s="419" t="n"/>
    </row>
    <row r="62" ht="16" customHeight="1">
      <c r="A62" s="57" t="n"/>
      <c r="B62" s="56" t="n"/>
      <c r="C62" s="56" t="n"/>
    </row>
    <row r="63" ht="16" customHeight="1">
      <c r="A63" s="57" t="n"/>
      <c r="B63" s="56" t="n"/>
      <c r="C63" s="56" t="n"/>
    </row>
  </sheetData>
  <mergeCells count="1">
    <mergeCell ref="D3:D58"/>
  </mergeCells>
  <pageMargins left="0.7" right="0.7" top="0.75" bottom="0.75" header="0.3" footer="0.3"/>
  <pageSetup orientation="portrait"/>
</worksheet>
</file>

<file path=xl/worksheets/sheet19.xml><?xml version="1.0" encoding="utf-8"?>
<worksheet xmlns="http://schemas.openxmlformats.org/spreadsheetml/2006/main">
  <sheetPr>
    <outlinePr summaryBelow="1" summaryRight="1"/>
    <pageSetUpPr/>
  </sheetPr>
  <dimension ref="A1:I66"/>
  <sheetViews>
    <sheetView showGridLines="0" topLeftCell="A21" workbookViewId="0">
      <selection activeCell="D4" sqref="D4:D58"/>
    </sheetView>
  </sheetViews>
  <sheetFormatPr baseColWidth="8" defaultRowHeight="16" customHeight="1"/>
  <cols>
    <col width="55.7109375" customWidth="1" min="1" max="1"/>
    <col width="10" bestFit="1" customWidth="1" min="2" max="2"/>
    <col width="20" customWidth="1" min="3" max="3"/>
    <col width="48" customWidth="1" min="4" max="4"/>
    <col width="12.28515625" customWidth="1" min="9" max="9"/>
  </cols>
  <sheetData>
    <row r="1" ht="16" customHeight="1">
      <c r="A1" s="150" t="inlineStr">
        <is>
          <t>SUNFLOWER OILSEED PRODUCTION COSTS ($/ACRE) FOR SASKATCHEWAN 2026</t>
        </is>
      </c>
      <c r="B1" s="150" t="n"/>
      <c r="C1" s="150" t="n"/>
    </row>
    <row r="2" ht="16" customHeight="1" thickBot="1">
      <c r="A2" s="151" t="n"/>
      <c r="B2" s="151" t="n"/>
      <c r="C2" s="151" t="inlineStr">
        <is>
          <t>Economics</t>
        </is>
      </c>
      <c r="D2" s="620" t="inlineStr">
        <is>
          <t>Agronomics</t>
        </is>
      </c>
    </row>
    <row r="3" ht="16" customHeight="1" thickBot="1">
      <c r="A3" s="153" t="inlineStr">
        <is>
          <t>CROP</t>
        </is>
      </c>
      <c r="B3" s="286" t="n"/>
      <c r="C3" s="861" t="inlineStr">
        <is>
          <t>SUNFLOWER OILSEED</t>
        </is>
      </c>
      <c r="D3" s="681" t="n"/>
    </row>
    <row r="4" ht="16" customHeight="1" thickBot="1">
      <c r="A4" s="154" t="n"/>
      <c r="B4" s="862" t="inlineStr">
        <is>
          <t>My farm</t>
        </is>
      </c>
      <c r="C4" s="862" t="inlineStr">
        <is>
          <t>80th percentile</t>
        </is>
      </c>
      <c r="D4" s="836" t="inlineStr">
        <is>
          <t xml:space="preserve">Seeding: This guide assumes a producer will seed to achieve a plant population of 26,000/ac. This estimation is for the moist long season area with both dark brown and black soil, located in the south-east of the province. 
Fertilization: Fertility costs are based on nutrient removal rates given the targeted crop yield. These are: 75 lb./ac. N, 30 lb./ac. P2O5, 50 lb./ac. K and 26 lb./ac. S.  Producers are encouraged to use their own rates based on soil tests. 
Crop Rotation: If a sunflower midge infestation is anticipated, new fields should be established away from fields damaged the previous season. Crop rotation can be used to reduce insects, disease pressure, and pathogen levels. 
Crop Protection                                                      Insect control: Wireworms, cutworms, sunflower beetle, grasshoppers, lygus bugs, sunflower seed weevil, banded sunflower moth and sunflower moth might require control. Seed treatments are available for wireworm and sunflower beetle control. 
Disease control: The cost of fungicide is not included in this estimate. Disease risk assessment is encouraged to guide fungicide application decisions. 
Weed control: Herbicide costs are based on the following herbicide timings. Please refer to general assumptions for details. Please insert Herbicide application window. </t>
        </is>
      </c>
      <c r="I4" s="262" t="inlineStr">
        <is>
          <t>Average Yield</t>
        </is>
      </c>
    </row>
    <row r="5" ht="16" customHeight="1" thickBot="1">
      <c r="A5" s="863" t="inlineStr">
        <is>
          <t>Soil Zone</t>
        </is>
      </c>
      <c r="B5" s="156" t="n"/>
      <c r="C5" s="839" t="inlineStr">
        <is>
          <t>DkBrown</t>
        </is>
      </c>
      <c r="D5" s="31" t="n"/>
      <c r="I5" s="841" t="inlineStr">
        <is>
          <t>DkBrown</t>
        </is>
      </c>
    </row>
    <row r="6" ht="16" customHeight="1">
      <c r="A6" s="96" t="inlineStr">
        <is>
          <t>REVENUE PER ACRE</t>
        </is>
      </c>
      <c r="B6" s="123" t="n"/>
      <c r="C6" s="88" t="n"/>
      <c r="D6" s="31" t="n"/>
      <c r="I6" s="332" t="n"/>
    </row>
    <row r="7" ht="16" customFormat="1" customHeight="1" s="196">
      <c r="A7" s="689" t="inlineStr">
        <is>
          <t>Target Yield (lb./ac.) (A)</t>
        </is>
      </c>
      <c r="B7" s="120" t="n"/>
      <c r="C7" s="864" t="n">
        <v>2199.33150576</v>
      </c>
      <c r="D7" s="31" t="n"/>
      <c r="I7" s="865" t="n">
        <v>1737.733273771346</v>
      </c>
    </row>
    <row r="8" ht="16" customFormat="1" customHeight="1" s="196" thickBot="1">
      <c r="A8" s="689" t="inlineStr">
        <is>
          <t>Est. Farm Gate Price $/lb. (B)</t>
        </is>
      </c>
      <c r="B8" s="121" t="n"/>
      <c r="C8" s="714" t="n">
        <v>0.2940790561311189</v>
      </c>
      <c r="D8" s="31" t="n"/>
      <c r="I8" s="851">
        <f>C8</f>
        <v/>
      </c>
    </row>
    <row r="9" ht="16" customFormat="1" customHeight="1" s="196" thickBot="1">
      <c r="A9" s="164" t="inlineStr">
        <is>
          <t>Estimated Gross Revenue/ac (AxB)=C</t>
        </is>
      </c>
      <c r="B9" s="160">
        <f>ROUND((B8*B7),2)</f>
        <v/>
      </c>
      <c r="C9" s="101">
        <f>ROUND((C8*C7),2)</f>
        <v/>
      </c>
      <c r="D9" s="31" t="n"/>
      <c r="I9" s="531">
        <f>ROUND((I8*I7),2)</f>
        <v/>
      </c>
    </row>
    <row r="10" ht="16" customFormat="1" customHeight="1" s="196">
      <c r="A10" s="67" t="n"/>
      <c r="B10" s="119" t="n"/>
      <c r="C10" s="362" t="n"/>
      <c r="D10" s="31" t="n"/>
      <c r="I10" s="367" t="n"/>
    </row>
    <row r="11" ht="16" customFormat="1" customHeight="1" s="196" thickBot="1">
      <c r="A11" s="73" t="inlineStr">
        <is>
          <t>EXPENSES PER ACRE</t>
        </is>
      </c>
      <c r="B11" s="119" t="n"/>
      <c r="C11" s="362" t="n"/>
      <c r="D11" s="31" t="n"/>
      <c r="I11" s="367" t="n"/>
    </row>
    <row r="12" ht="16" customFormat="1" customHeight="1" s="196">
      <c r="A12" s="96" t="inlineStr">
        <is>
          <t>Variable Expenses/acre</t>
        </is>
      </c>
      <c r="B12" s="123" t="n"/>
      <c r="C12" s="363" t="n"/>
      <c r="D12" s="31" t="n"/>
      <c r="I12" s="367" t="n"/>
    </row>
    <row r="13" ht="16" customFormat="1" customHeight="1" s="196">
      <c r="A13" s="689" t="inlineStr">
        <is>
          <t>Seed</t>
        </is>
      </c>
      <c r="B13" s="124" t="n"/>
      <c r="C13" s="851" t="n">
        <v>49.4</v>
      </c>
      <c r="D13" s="31" t="n"/>
      <c r="I13" s="851">
        <f>C13</f>
        <v/>
      </c>
    </row>
    <row r="14" ht="16" customFormat="1" customHeight="1" s="196">
      <c r="A14" s="689" t="inlineStr">
        <is>
          <t xml:space="preserve">                     -Seed Treatments/Inoculants</t>
        </is>
      </c>
      <c r="B14" s="124" t="n"/>
      <c r="C14" s="851" t="n">
        <v>0</v>
      </c>
      <c r="D14" s="31" t="n"/>
      <c r="I14" s="851">
        <f>C14</f>
        <v/>
      </c>
    </row>
    <row r="15" ht="16" customFormat="1" customHeight="1" s="196">
      <c r="A15" s="689" t="inlineStr">
        <is>
          <t>Fertilizer -Nitrogen (N)</t>
        </is>
      </c>
      <c r="B15" s="124" t="n"/>
      <c r="C15" s="852" t="n">
        <v>61.4002209421605</v>
      </c>
      <c r="D15" s="31" t="n"/>
      <c r="I15" s="851">
        <f>C15</f>
        <v/>
      </c>
    </row>
    <row r="16" ht="16" customFormat="1" customHeight="1" s="196">
      <c r="A16" s="689" t="inlineStr">
        <is>
          <t xml:space="preserve">               -Phosphorous (P2O5)</t>
        </is>
      </c>
      <c r="B16" s="124" t="n"/>
      <c r="C16" s="852" t="n">
        <v>28.83363480203218</v>
      </c>
      <c r="D16" s="31" t="n"/>
      <c r="I16" s="851">
        <f>C16</f>
        <v/>
      </c>
    </row>
    <row r="17" ht="16" customFormat="1" customHeight="1" s="196">
      <c r="A17" s="689" t="inlineStr">
        <is>
          <t xml:space="preserve">               -Sulphur and Other</t>
        </is>
      </c>
      <c r="B17" s="125" t="n"/>
      <c r="C17" s="853" t="n">
        <v>41.48</v>
      </c>
      <c r="D17" s="31" t="n"/>
      <c r="I17" s="851">
        <f>C17</f>
        <v/>
      </c>
    </row>
    <row r="18" ht="16" customFormat="1" customHeight="1" s="196">
      <c r="A18" s="689" t="inlineStr">
        <is>
          <t>Plant Protection -Herbicides</t>
        </is>
      </c>
      <c r="B18" s="124" t="n"/>
      <c r="C18" s="851" t="n">
        <v>71.25914559199434</v>
      </c>
      <c r="D18" s="31" t="n"/>
      <c r="I18" s="851">
        <f>C18</f>
        <v/>
      </c>
    </row>
    <row r="19" ht="16" customFormat="1" customHeight="1" s="196">
      <c r="A19" s="689" t="inlineStr">
        <is>
          <t xml:space="preserve">                     -Insecticides</t>
        </is>
      </c>
      <c r="B19" s="124" t="n"/>
      <c r="C19" s="851" t="n">
        <v>22.626525</v>
      </c>
      <c r="D19" s="31" t="n"/>
      <c r="I19" s="851">
        <f>C19</f>
        <v/>
      </c>
    </row>
    <row r="20" ht="16" customFormat="1" customHeight="1" s="196">
      <c r="A20" s="689" t="inlineStr">
        <is>
          <t xml:space="preserve">                     -Fungicides</t>
        </is>
      </c>
      <c r="B20" s="124" t="n"/>
      <c r="C20" s="851" t="n">
        <v>0</v>
      </c>
      <c r="D20" s="31" t="n"/>
      <c r="I20" s="851">
        <f>C20</f>
        <v/>
      </c>
    </row>
    <row r="21" ht="16" customFormat="1" customHeight="1" s="196">
      <c r="A21" s="689" t="inlineStr">
        <is>
          <t>Machinery Operating -Fuel</t>
        </is>
      </c>
      <c r="B21" s="125" t="n"/>
      <c r="C21" s="854" t="n">
        <v>25.98231881666667</v>
      </c>
      <c r="D21" s="31" t="n"/>
      <c r="I21" s="851">
        <f>C21</f>
        <v/>
      </c>
    </row>
    <row r="22" ht="16" customFormat="1" customHeight="1" s="196">
      <c r="A22" s="689" t="inlineStr">
        <is>
          <t xml:space="preserve">                                  -Repair</t>
        </is>
      </c>
      <c r="B22" s="124" t="n"/>
      <c r="C22" s="851" t="n">
        <v>13.03949744699887</v>
      </c>
      <c r="D22" s="31" t="n"/>
      <c r="I22" s="851">
        <f>C22</f>
        <v/>
      </c>
    </row>
    <row r="23" ht="16" customFormat="1" customHeight="1" s="196">
      <c r="A23" s="689" t="inlineStr">
        <is>
          <t>Custom Work and Hired Labour</t>
        </is>
      </c>
      <c r="B23" s="124" t="n"/>
      <c r="C23" s="851" t="n">
        <v>22</v>
      </c>
      <c r="D23" s="31" t="n"/>
      <c r="I23" s="851">
        <f>C23</f>
        <v/>
      </c>
    </row>
    <row r="24" ht="16" customFormat="1" customHeight="1" s="196">
      <c r="A24" s="689" t="inlineStr">
        <is>
          <t>Crop Insurance Premium</t>
        </is>
      </c>
      <c r="B24" s="126" t="n"/>
      <c r="C24" s="855" t="n">
        <v>6.672379514534544</v>
      </c>
      <c r="D24" s="31" t="n"/>
      <c r="I24" s="851">
        <f>C24</f>
        <v/>
      </c>
    </row>
    <row r="25" ht="16" customFormat="1" customHeight="1" s="196">
      <c r="A25" s="689" t="inlineStr">
        <is>
          <t>Hail Insurance Premium</t>
        </is>
      </c>
      <c r="B25" s="126" t="n"/>
      <c r="C25" s="855" t="n">
        <v>14</v>
      </c>
      <c r="D25" s="31" t="n"/>
      <c r="I25" s="851">
        <f>C25</f>
        <v/>
      </c>
    </row>
    <row r="26" ht="16" customFormat="1" customHeight="1" s="196">
      <c r="A26" s="689" t="inlineStr">
        <is>
          <t>Utilities and Miscellaneous</t>
        </is>
      </c>
      <c r="B26" s="125" t="n"/>
      <c r="C26" s="854" t="n">
        <v>5.215957852186004</v>
      </c>
      <c r="D26" s="31" t="n"/>
      <c r="I26" s="851">
        <f>C26</f>
        <v/>
      </c>
    </row>
    <row r="27" ht="16" customFormat="1" customHeight="1" s="196" thickBot="1">
      <c r="A27" s="689" t="inlineStr">
        <is>
          <t>Interest on Variable Expenses</t>
        </is>
      </c>
      <c r="B27" s="124" t="n"/>
      <c r="C27" s="851" t="n">
        <v>13.70431321473424</v>
      </c>
      <c r="D27" s="31" t="n"/>
      <c r="I27" s="851">
        <f>C27</f>
        <v/>
      </c>
    </row>
    <row r="28" ht="16" customFormat="1" customHeight="1" s="196" thickBot="1">
      <c r="A28" s="70" t="inlineStr">
        <is>
          <t>Total Variable Expenses (D)</t>
        </is>
      </c>
      <c r="B28" s="133">
        <f>SUM(B13:B27)</f>
        <v/>
      </c>
      <c r="C28" s="133">
        <f>SUM(C13:C27)</f>
        <v/>
      </c>
      <c r="D28" s="31" t="n"/>
      <c r="I28" s="199">
        <f>SUM(I13:I27)</f>
        <v/>
      </c>
    </row>
    <row r="29" ht="16" customFormat="1" customHeight="1" s="196" thickBot="1">
      <c r="A29" s="67" t="n"/>
      <c r="B29" s="119" t="n"/>
      <c r="C29" s="119" t="n"/>
      <c r="D29" s="31" t="n"/>
      <c r="I29" s="534" t="n"/>
    </row>
    <row r="30" ht="16" customFormat="1" customHeight="1" s="196">
      <c r="A30" s="96" t="inlineStr">
        <is>
          <t>Other Expenses/acre</t>
        </is>
      </c>
      <c r="B30" s="123" t="n"/>
      <c r="C30" s="363" t="n"/>
      <c r="D30" s="31" t="n"/>
      <c r="I30" s="534" t="n"/>
    </row>
    <row r="31" ht="16" customFormat="1" customHeight="1" s="196">
      <c r="A31" s="689" t="inlineStr">
        <is>
          <t>Building Repair</t>
        </is>
      </c>
      <c r="B31" s="866" t="n"/>
      <c r="C31" s="857" t="n">
        <v>0.9756414253534748</v>
      </c>
      <c r="D31" s="31" t="n"/>
      <c r="I31" s="867">
        <f>C31</f>
        <v/>
      </c>
    </row>
    <row r="32" ht="16" customFormat="1" customHeight="1" s="196">
      <c r="A32" s="689" t="inlineStr">
        <is>
          <t>Property Taxes</t>
        </is>
      </c>
      <c r="B32" s="868" t="n"/>
      <c r="C32" s="858" t="n">
        <v>6.642698188180902</v>
      </c>
      <c r="D32" s="31" t="n"/>
      <c r="I32" s="867">
        <f>C32</f>
        <v/>
      </c>
    </row>
    <row r="33" ht="16" customFormat="1" customHeight="1" s="196">
      <c r="A33" s="689" t="inlineStr">
        <is>
          <t>Business Overhead</t>
        </is>
      </c>
      <c r="B33" s="869" t="n"/>
      <c r="C33" s="857" t="n">
        <v>3.986427684117127</v>
      </c>
      <c r="D33" s="31" t="n"/>
      <c r="I33" s="867">
        <f>C33</f>
        <v/>
      </c>
    </row>
    <row r="34" ht="16" customFormat="1" customHeight="1" s="196">
      <c r="A34" s="689" t="inlineStr">
        <is>
          <t>Machinery Depreciation</t>
        </is>
      </c>
      <c r="B34" s="870" t="n"/>
      <c r="C34" s="858" t="n">
        <v>53.66254718572614</v>
      </c>
      <c r="D34" s="31" t="n"/>
      <c r="I34" s="867">
        <f>C34</f>
        <v/>
      </c>
    </row>
    <row r="35" ht="16" customFormat="1" customHeight="1" s="196">
      <c r="A35" s="689" t="inlineStr">
        <is>
          <t>Building Depreciation</t>
        </is>
      </c>
      <c r="B35" s="866" t="n"/>
      <c r="C35" s="857" t="n">
        <v>1.9</v>
      </c>
      <c r="D35" s="31" t="n"/>
      <c r="I35" s="867">
        <f>C35</f>
        <v/>
      </c>
    </row>
    <row r="36" ht="16" customFormat="1" customHeight="1" s="196">
      <c r="A36" s="689" t="inlineStr">
        <is>
          <t>Machinery Investment</t>
        </is>
      </c>
      <c r="B36" s="870" t="n"/>
      <c r="C36" s="858" t="n">
        <v>33.85254144893939</v>
      </c>
      <c r="D36" s="31" t="n"/>
      <c r="I36" s="867">
        <f>C36</f>
        <v/>
      </c>
    </row>
    <row r="37" ht="16" customFormat="1" customHeight="1" s="196">
      <c r="A37" s="689" t="inlineStr">
        <is>
          <t>Building Investment</t>
        </is>
      </c>
      <c r="B37" s="866" t="n"/>
      <c r="C37" s="857" t="n">
        <v>1.737866666666666</v>
      </c>
      <c r="D37" s="31" t="n"/>
      <c r="I37" s="867">
        <f>C37</f>
        <v/>
      </c>
    </row>
    <row r="38" ht="16" customFormat="1" customHeight="1" s="196" thickBot="1">
      <c r="A38" s="871" t="inlineStr">
        <is>
          <t>Land Investment</t>
        </is>
      </c>
      <c r="B38" s="872" t="n"/>
      <c r="C38" s="859" t="n">
        <v>80.65649999999999</v>
      </c>
      <c r="D38" s="31" t="n"/>
      <c r="I38" s="867">
        <f>C38</f>
        <v/>
      </c>
    </row>
    <row r="39" ht="16" customHeight="1" thickBot="1">
      <c r="A39" s="70" t="inlineStr">
        <is>
          <t>Total Other Expenses (E)</t>
        </is>
      </c>
      <c r="B39" s="133">
        <f>SUM(B31:B38)</f>
        <v/>
      </c>
      <c r="C39" s="106">
        <f>SUM(C31:C38)</f>
        <v/>
      </c>
      <c r="D39" s="31" t="n"/>
      <c r="I39" s="43">
        <f>SUM(I31:I38)</f>
        <v/>
      </c>
    </row>
    <row r="40" ht="16" customHeight="1" thickBot="1">
      <c r="A40" s="764" t="inlineStr">
        <is>
          <t>Labour and Management (F)*</t>
        </is>
      </c>
      <c r="B40" s="125" t="n"/>
      <c r="C40" s="364" t="n"/>
      <c r="D40" s="31" t="n"/>
      <c r="I40" s="410" t="n"/>
    </row>
    <row r="41" ht="16" customHeight="1" thickBot="1">
      <c r="A41" s="89" t="inlineStr">
        <is>
          <t xml:space="preserve">Total Expenses (D+E+F)=(G) </t>
        </is>
      </c>
      <c r="B41" s="133">
        <f>B28+B39+B40</f>
        <v/>
      </c>
      <c r="C41" s="106">
        <f>C28+C39+C40</f>
        <v/>
      </c>
      <c r="D41" s="31" t="n"/>
      <c r="I41" s="43">
        <f>I28+I39+I40</f>
        <v/>
      </c>
    </row>
    <row r="42" ht="16" customHeight="1" thickBot="1">
      <c r="A42" s="90" t="n"/>
      <c r="B42" s="159" t="n"/>
      <c r="C42" s="365" t="n"/>
      <c r="D42" s="31" t="n"/>
      <c r="I42" s="410" t="n"/>
    </row>
    <row r="43" ht="16" customHeight="1">
      <c r="A43" s="93" t="inlineStr">
        <is>
          <t>RETURNS PER ACRE</t>
        </is>
      </c>
      <c r="B43" s="123" t="n"/>
      <c r="C43" s="366" t="n"/>
      <c r="D43" s="31" t="n"/>
      <c r="I43" s="411" t="n"/>
    </row>
    <row r="44" ht="16" customHeight="1">
      <c r="A44" s="49" t="inlineStr">
        <is>
          <t xml:space="preserve"> Return over Variable Expenses (C-D) </t>
        </is>
      </c>
      <c r="B44" s="105">
        <f>B9-B28</f>
        <v/>
      </c>
      <c r="C44" s="99">
        <f>C9-C28</f>
        <v/>
      </c>
      <c r="D44" s="31" t="n"/>
      <c r="I44" s="99">
        <f>I9-I28</f>
        <v/>
      </c>
    </row>
    <row r="45" ht="16" customHeight="1" thickBot="1">
      <c r="A45" s="737" t="inlineStr">
        <is>
          <t xml:space="preserve"> Return over Total Expenses (C-G)</t>
        </is>
      </c>
      <c r="B45" s="160">
        <f>B9-B41</f>
        <v/>
      </c>
      <c r="C45" s="100">
        <f>C9-C41</f>
        <v/>
      </c>
      <c r="D45" s="31" t="n"/>
      <c r="I45" s="100">
        <f>I9-I41</f>
        <v/>
      </c>
    </row>
    <row r="46" ht="16" customHeight="1" thickBot="1">
      <c r="A46" s="73" t="n"/>
      <c r="B46" s="159" t="n"/>
      <c r="C46" s="135" t="n"/>
      <c r="D46" s="31" t="n"/>
      <c r="I46" s="410" t="n"/>
    </row>
    <row r="47" ht="16" customHeight="1">
      <c r="A47" s="96" t="inlineStr">
        <is>
          <t>BREAK-EVEN YIELD (lbs./ac.)</t>
        </is>
      </c>
      <c r="B47" s="161" t="n"/>
      <c r="C47" s="137" t="n"/>
      <c r="D47" s="31" t="n"/>
      <c r="I47" s="411" t="n"/>
    </row>
    <row r="48" ht="16" customHeight="1">
      <c r="A48" s="73" t="inlineStr">
        <is>
          <t>To Cover Variable Expenses</t>
        </is>
      </c>
      <c r="B48" s="163">
        <f>ROUND((B28)/B8,2)</f>
        <v/>
      </c>
      <c r="C48" s="163">
        <f>ROUND((C28)/C8,2)</f>
        <v/>
      </c>
      <c r="D48" s="31" t="n"/>
      <c r="I48" s="163">
        <f>ROUND((I28)/I8,2)</f>
        <v/>
      </c>
    </row>
    <row r="49" ht="16" customHeight="1" thickBot="1">
      <c r="A49" s="164" t="inlineStr">
        <is>
          <t>To Cover Total Expenses</t>
        </is>
      </c>
      <c r="B49" s="166">
        <f>ROUND(B41/B8,2)</f>
        <v/>
      </c>
      <c r="C49" s="166">
        <f>ROUND(C41/C8,2)</f>
        <v/>
      </c>
      <c r="D49" s="31" t="n"/>
      <c r="I49" s="166">
        <f>ROUND(I41/I8,2)</f>
        <v/>
      </c>
    </row>
    <row r="50" ht="16" customHeight="1" thickBot="1">
      <c r="A50" s="73" t="n"/>
      <c r="B50" s="873" t="n"/>
      <c r="C50" s="860" t="n"/>
      <c r="D50" s="31" t="n"/>
      <c r="I50" s="410" t="n"/>
    </row>
    <row r="51" ht="16" customHeight="1">
      <c r="A51" s="96" t="inlineStr">
        <is>
          <t>BREAK-EVEN PRICE ($/lb.)</t>
        </is>
      </c>
      <c r="B51" s="161" t="n"/>
      <c r="C51" s="137" t="n"/>
      <c r="D51" s="31" t="n"/>
      <c r="I51" s="411" t="n"/>
    </row>
    <row r="52" ht="16" customHeight="1">
      <c r="A52" s="73" t="inlineStr">
        <is>
          <t>To Cover Variable Expenses</t>
        </is>
      </c>
      <c r="B52" s="99">
        <f>ROUND((B28)/B7,2)</f>
        <v/>
      </c>
      <c r="C52" s="99">
        <f>ROUND((C28)/C7,2)</f>
        <v/>
      </c>
      <c r="D52" s="31" t="n"/>
      <c r="I52" s="99">
        <f>ROUND((I28)/I7,2)</f>
        <v/>
      </c>
    </row>
    <row r="53" ht="16" customHeight="1" thickBot="1">
      <c r="A53" s="164" t="inlineStr">
        <is>
          <t>To Cover Total Expenses</t>
        </is>
      </c>
      <c r="B53" s="100">
        <f>ROUND(B41/B7,2)</f>
        <v/>
      </c>
      <c r="C53" s="100">
        <f>ROUND(C41/C7,2)</f>
        <v/>
      </c>
      <c r="D53" s="31" t="n"/>
      <c r="I53" s="100">
        <f>ROUND(I41/I7,2)</f>
        <v/>
      </c>
    </row>
    <row r="54" ht="16" customHeight="1" thickBot="1">
      <c r="A54" s="168" t="n"/>
      <c r="B54" s="17" t="n"/>
      <c r="C54" s="17" t="n"/>
      <c r="D54" s="31" t="n"/>
    </row>
    <row r="55" ht="16" customHeight="1">
      <c r="A55" s="47" t="inlineStr">
        <is>
          <t>YIELD SENSITIVITY (same expenses but average yield)</t>
        </is>
      </c>
      <c r="B55" s="169" t="n"/>
      <c r="C55" s="107" t="n"/>
      <c r="D55" s="31" t="n"/>
    </row>
    <row r="56" ht="16" customHeight="1">
      <c r="A56" s="170" t="inlineStr">
        <is>
          <t>Provincial average yield (lb./ac)</t>
        </is>
      </c>
      <c r="B56" s="171" t="n"/>
      <c r="C56" s="533">
        <f>I7</f>
        <v/>
      </c>
      <c r="D56" s="31" t="n"/>
    </row>
    <row r="57" ht="16" customHeight="1">
      <c r="A57" s="170" t="inlineStr">
        <is>
          <t xml:space="preserve"> Return over Variable Expenses </t>
        </is>
      </c>
      <c r="B57" s="171" t="n"/>
      <c r="C57" s="92">
        <f>I44</f>
        <v/>
      </c>
      <c r="D57" s="31" t="n"/>
    </row>
    <row r="58" ht="16" customHeight="1" thickBot="1">
      <c r="A58" s="845" t="inlineStr">
        <is>
          <t xml:space="preserve"> Return over Total Expenses </t>
        </is>
      </c>
      <c r="B58" s="173" t="n"/>
      <c r="C58" s="102">
        <f>I45</f>
        <v/>
      </c>
      <c r="D58" s="750" t="n"/>
    </row>
    <row r="59" ht="16" customHeight="1">
      <c r="A59" s="22" t="inlineStr">
        <is>
          <t>*Farm managers need to determine their own actual labour and management costs and add it to total expenses.</t>
        </is>
      </c>
      <c r="B59" s="17" t="n"/>
      <c r="C59" s="17" t="n"/>
    </row>
    <row r="60">
      <c r="A60" s="874" t="n"/>
      <c r="B60" s="17" t="n"/>
      <c r="C60" s="17" t="n"/>
    </row>
    <row r="61">
      <c r="A61" s="22" t="n"/>
      <c r="B61" s="175" t="n"/>
      <c r="C61" s="532" t="n"/>
    </row>
    <row r="62">
      <c r="A62" s="22" t="n"/>
      <c r="B62" s="24" t="n"/>
      <c r="C62" s="24" t="n"/>
    </row>
    <row r="63">
      <c r="A63" s="24" t="n"/>
      <c r="B63" s="24" t="n"/>
      <c r="C63" s="24" t="n"/>
    </row>
    <row r="64">
      <c r="A64" s="24" t="n"/>
      <c r="B64" s="24" t="n"/>
      <c r="C64" s="24" t="n"/>
    </row>
    <row r="65">
      <c r="A65" s="176" t="n"/>
      <c r="B65" s="177" t="n"/>
      <c r="C65" s="177" t="n"/>
    </row>
    <row r="66">
      <c r="A66" s="176" t="n"/>
      <c r="B66" s="178" t="n"/>
      <c r="C66" s="178" t="n"/>
    </row>
  </sheetData>
  <mergeCells count="2">
    <mergeCell ref="D4:D58"/>
    <mergeCell ref="C3:D3"/>
  </mergeCells>
  <pageMargins left="0.7" right="0.7" top="0.75" bottom="0.75" header="0.3" footer="0.3"/>
  <pageSetup orientation="portrait"/>
</worksheet>
</file>

<file path=xl/worksheets/sheet20.xml><?xml version="1.0" encoding="utf-8"?>
<worksheet xmlns="http://schemas.openxmlformats.org/spreadsheetml/2006/main">
  <sheetPr>
    <outlinePr summaryBelow="1" summaryRight="1"/>
    <pageSetUpPr/>
  </sheetPr>
  <dimension ref="A1:K63"/>
  <sheetViews>
    <sheetView showGridLines="0" topLeftCell="A28" workbookViewId="0">
      <selection activeCell="E28" sqref="E28"/>
    </sheetView>
  </sheetViews>
  <sheetFormatPr baseColWidth="8" defaultRowHeight="16" customHeight="1"/>
  <cols>
    <col width="55.7109375" customWidth="1" min="1" max="1"/>
    <col width="13.85546875" bestFit="1" customWidth="1" min="2" max="2"/>
    <col width="11.42578125" customWidth="1" min="3" max="3"/>
    <col width="13.85546875" bestFit="1" customWidth="1" min="4" max="5"/>
    <col width="49.85546875" customWidth="1" min="6" max="6"/>
    <col width="13.42578125" customWidth="1" min="9" max="11"/>
  </cols>
  <sheetData>
    <row r="1" ht="16" customHeight="1">
      <c r="A1" s="23" t="inlineStr">
        <is>
          <t>SOYBEAN PRODUCTION COSTS ($/ACRE) FOR SASKATCHEWAN 2026</t>
        </is>
      </c>
      <c r="B1" s="23" t="n"/>
      <c r="C1" s="23" t="n"/>
      <c r="D1" s="23" t="n"/>
      <c r="E1" s="23" t="n"/>
      <c r="F1" s="24" t="n"/>
    </row>
    <row r="2" ht="16" customHeight="1" thickBot="1">
      <c r="A2" s="25" t="n"/>
      <c r="B2" s="25" t="n"/>
      <c r="C2" s="25" t="inlineStr">
        <is>
          <t>Economics</t>
        </is>
      </c>
      <c r="D2" s="25" t="n"/>
      <c r="E2" s="25" t="n"/>
      <c r="F2" s="25" t="inlineStr">
        <is>
          <t>Agronomics</t>
        </is>
      </c>
    </row>
    <row r="3" ht="16" customHeight="1" thickBot="1">
      <c r="A3" s="179" t="inlineStr">
        <is>
          <t>CROP</t>
        </is>
      </c>
      <c r="B3" s="279" t="n"/>
      <c r="C3" s="634" t="n"/>
      <c r="D3" s="675" t="inlineStr">
        <is>
          <t>SOYBEAN</t>
        </is>
      </c>
      <c r="E3" s="635" t="n"/>
      <c r="F3" s="676" t="inlineStr">
        <is>
          <t xml:space="preserve">Seeding: A plant population of four to five plants per square foot is recommended. This corresponds to 150,000 to 200,000 plants per acre. Seed survivability averages 75 per cent, which is usually achieved when using a drill. Solid seeded soybeans with narrow rows (eight to 10 in.) improve crop yields, raise the height of bottom pods and reduce the need for multiple in-crop herbicide applications for weed control.
Fertilization: Fertility costs are based on nutrient removal rates given the targeted crop yield. These are: 5.3 lb./ac. N and 25 lb./ ac. P2O5 for the black soil zone, 4.9 lb./ac. N and 23 lb./ac. P2O5 for the dark brown soil zone and 4 lb./ac. N and 19 lb./ac. P2O5 for the brown soil zone. Producers are encouraged to use their own rates based on soil tests. Soybean requires a specific species of rhizobia not native to Saskatchewan soil. Double inoculation is recommended on new fields. Most varieties come pre-treated and pre-liquid inoculated. Addition of a second inoculant of granular or peat is recommended. 
Crop Rotation: Crop rotation will help to reduce disease pressure by reducing or maintaining low pathogen levels in the field. Soybeans are not competitive with weeds. 
Crop Protection                                                          Insect control: Wireworms, seedcorn maggot, cutworms, soybean aphid, leafhoppers, lygus bugs, spider mites, armyworms, corn earworm and grasshoppers might require control. Seed treatments are available for wireworm and seedcorn maggot control. 
Disease control: The cost of fungicide is not included in this estimate. Disease risk assessment is encouraged to guide fungicide application decisions. 
Weed control: Soybeans need to be kept free of weeds from the first trifoliate leaf to the third trifoliate leaf to minimize yield losses. Herbicide costs are based on the following herbicide timings. Please refer to general assumptions for details. Please insert herbicide application window.
</t>
        </is>
      </c>
    </row>
    <row r="4" ht="16" customHeight="1" thickBot="1">
      <c r="A4" s="26" t="n"/>
      <c r="B4" s="677" t="inlineStr">
        <is>
          <t>My Farm</t>
        </is>
      </c>
      <c r="C4" s="211" t="n"/>
      <c r="D4" s="678" t="inlineStr">
        <is>
          <t>80th percentile</t>
        </is>
      </c>
      <c r="E4" s="212" t="n"/>
      <c r="F4" s="31" t="n"/>
      <c r="I4" s="679" t="inlineStr">
        <is>
          <t xml:space="preserve">Average Yield </t>
        </is>
      </c>
      <c r="J4" s="680" t="n"/>
      <c r="K4" s="681" t="n"/>
    </row>
    <row r="5" ht="16" customHeight="1" thickBot="1">
      <c r="A5" s="838" t="inlineStr">
        <is>
          <t>Soil Zone</t>
        </is>
      </c>
      <c r="B5" s="251" t="n"/>
      <c r="C5" s="875" t="inlineStr">
        <is>
          <t>Brown</t>
        </is>
      </c>
      <c r="D5" s="876" t="inlineStr">
        <is>
          <t>Dark Brown</t>
        </is>
      </c>
      <c r="E5" s="877" t="inlineStr">
        <is>
          <t>Black</t>
        </is>
      </c>
      <c r="F5" s="31" t="n"/>
      <c r="I5" s="686" t="inlineStr">
        <is>
          <t>Brown</t>
        </is>
      </c>
      <c r="J5" s="687" t="inlineStr">
        <is>
          <t>Dark Brown</t>
        </is>
      </c>
      <c r="K5" s="688" t="inlineStr">
        <is>
          <t>Black</t>
        </is>
      </c>
    </row>
    <row r="6" ht="16" customHeight="1">
      <c r="A6" s="73" t="inlineStr">
        <is>
          <t>REVENUE PER ACRE</t>
        </is>
      </c>
      <c r="B6" s="72" t="n"/>
      <c r="C6" s="350" t="n"/>
      <c r="D6" s="345" t="n"/>
      <c r="E6" s="346" t="n"/>
      <c r="F6" s="31" t="n"/>
      <c r="I6" s="31" t="n"/>
      <c r="J6" s="31" t="n"/>
      <c r="K6" s="31" t="n"/>
    </row>
    <row r="7" ht="16" customHeight="1">
      <c r="A7" s="689" t="inlineStr">
        <is>
          <t>Estimated Yield (bu./ac) (A)</t>
        </is>
      </c>
      <c r="B7" s="68" t="n"/>
      <c r="C7" s="823" t="n">
        <v>24.7454374497362</v>
      </c>
      <c r="D7" s="789" t="n">
        <v>29.983104</v>
      </c>
      <c r="E7" s="790" t="n">
        <v>33.30525152</v>
      </c>
      <c r="F7" s="31" t="n"/>
      <c r="G7" s="37" t="n"/>
      <c r="I7" s="769" t="n">
        <v>17.67976927376209</v>
      </c>
      <c r="J7" s="769" t="n">
        <v>21.2231063825524</v>
      </c>
      <c r="K7" s="769" t="n">
        <v>28.26974917131858</v>
      </c>
    </row>
    <row r="8" ht="16" customHeight="1" thickBot="1">
      <c r="A8" s="689" t="inlineStr">
        <is>
          <t>Est. On Farm Market Price $/bu. (B)</t>
        </is>
      </c>
      <c r="B8" s="69" t="n"/>
      <c r="C8" s="756" t="n">
        <v>13.93</v>
      </c>
      <c r="D8" s="694" t="n">
        <v>13.93</v>
      </c>
      <c r="E8" s="695" t="n">
        <v>13.93</v>
      </c>
      <c r="F8" s="31" t="n"/>
      <c r="G8" s="37" t="n"/>
      <c r="I8" s="696">
        <f>C8</f>
        <v/>
      </c>
      <c r="J8" s="696">
        <f>D8</f>
        <v/>
      </c>
      <c r="K8" s="696">
        <f>E8</f>
        <v/>
      </c>
    </row>
    <row r="9" ht="16" customHeight="1" thickBot="1">
      <c r="A9" s="70" t="inlineStr">
        <is>
          <t>Estimated Gross Revenue/ac (AxB)=C</t>
        </is>
      </c>
      <c r="B9" s="71">
        <f>ROUND((B8*B7),2)</f>
        <v/>
      </c>
      <c r="C9" s="95">
        <f>ROUND((C8*C7),2)</f>
        <v/>
      </c>
      <c r="D9" s="92">
        <f>ROUND((D8*D7),2)</f>
        <v/>
      </c>
      <c r="E9" s="412">
        <f>ROUND((E8*E7),2)</f>
        <v/>
      </c>
      <c r="F9" s="31" t="n"/>
      <c r="G9" s="37" t="n"/>
      <c r="I9" s="40">
        <f>ROUND((I8*I7),2)</f>
        <v/>
      </c>
      <c r="J9" s="40">
        <f>ROUND((J8*J7),2)</f>
        <v/>
      </c>
      <c r="K9" s="40">
        <f>ROUND((K8*K7),2)</f>
        <v/>
      </c>
    </row>
    <row r="10">
      <c r="A10" s="67" t="n"/>
      <c r="B10" s="72" t="n"/>
      <c r="C10" s="697" t="n"/>
      <c r="D10" s="698" t="n"/>
      <c r="E10" s="699" t="n"/>
      <c r="F10" s="31" t="n"/>
      <c r="G10" s="37" t="n"/>
      <c r="I10" s="332" t="n"/>
      <c r="J10" s="332" t="n"/>
      <c r="K10" s="332" t="n"/>
    </row>
    <row r="11" ht="16" customHeight="1">
      <c r="A11" s="73" t="inlineStr">
        <is>
          <t>EXPENSES PER ACRE</t>
        </is>
      </c>
      <c r="B11" s="72" t="n"/>
      <c r="C11" s="296" t="n"/>
      <c r="D11" s="700" t="n"/>
      <c r="E11" s="701" t="n"/>
      <c r="F11" s="31" t="n"/>
      <c r="G11" s="37" t="n"/>
      <c r="I11" s="410" t="n"/>
      <c r="J11" s="410" t="n"/>
      <c r="K11" s="410" t="n"/>
    </row>
    <row r="12" ht="16" customHeight="1">
      <c r="A12" s="73" t="inlineStr">
        <is>
          <t>Variable Expenses/acre</t>
        </is>
      </c>
      <c r="B12" s="72" t="n"/>
      <c r="C12" s="296" t="n"/>
      <c r="D12" s="700" t="n"/>
      <c r="E12" s="702" t="n"/>
      <c r="F12" s="31" t="n"/>
      <c r="G12" s="37" t="n"/>
      <c r="I12" s="410" t="n"/>
      <c r="J12" s="410" t="n"/>
      <c r="K12" s="410" t="n"/>
    </row>
    <row r="13" ht="16" customHeight="1">
      <c r="A13" s="689" t="inlineStr">
        <is>
          <t>Seed</t>
        </is>
      </c>
      <c r="B13" s="74" t="n"/>
      <c r="C13" s="703" t="n">
        <v>114.1</v>
      </c>
      <c r="D13" s="704" t="n">
        <v>114.1</v>
      </c>
      <c r="E13" s="705" t="n">
        <v>114.1</v>
      </c>
      <c r="F13" s="31" t="n"/>
      <c r="G13" s="37" t="n"/>
      <c r="I13" s="696">
        <f>C13</f>
        <v/>
      </c>
      <c r="J13" s="696">
        <f>D13</f>
        <v/>
      </c>
      <c r="K13" s="696">
        <f>E13</f>
        <v/>
      </c>
    </row>
    <row r="14" ht="16" customHeight="1">
      <c r="A14" s="689" t="inlineStr">
        <is>
          <t xml:space="preserve">                     -Seed Treatments/Inoculants</t>
        </is>
      </c>
      <c r="B14" s="74" t="n"/>
      <c r="C14" s="703" t="n">
        <v>14</v>
      </c>
      <c r="D14" s="704" t="n">
        <v>14</v>
      </c>
      <c r="E14" s="705" t="n">
        <v>14</v>
      </c>
      <c r="F14" s="31" t="n"/>
      <c r="G14" s="37" t="n"/>
      <c r="I14" s="696">
        <f>C14</f>
        <v/>
      </c>
      <c r="J14" s="696">
        <f>D14</f>
        <v/>
      </c>
      <c r="K14" s="696">
        <f>E14</f>
        <v/>
      </c>
    </row>
    <row r="15" ht="16" customHeight="1">
      <c r="A15" s="689" t="inlineStr">
        <is>
          <t>Fertilizer -Nitrogen (N)</t>
        </is>
      </c>
      <c r="B15" s="74" t="n"/>
      <c r="C15" s="709" t="n">
        <v>3.27467845024856</v>
      </c>
      <c r="D15" s="710" t="n">
        <v>4.011481101554486</v>
      </c>
      <c r="E15" s="711" t="n">
        <v>4.338948946579341</v>
      </c>
      <c r="F15" s="31" t="n"/>
      <c r="G15" s="37" t="n"/>
      <c r="I15" s="696">
        <f>C15</f>
        <v/>
      </c>
      <c r="J15" s="696">
        <f>D15</f>
        <v/>
      </c>
      <c r="K15" s="696">
        <f>E15</f>
        <v/>
      </c>
    </row>
    <row r="16" ht="16" customHeight="1">
      <c r="A16" s="689" t="inlineStr">
        <is>
          <t xml:space="preserve">               -Phosphorous (P2O5)</t>
        </is>
      </c>
      <c r="B16" s="74" t="n"/>
      <c r="C16" s="706" t="n">
        <v>18.26130204128705</v>
      </c>
      <c r="D16" s="707" t="n">
        <v>22.105786681558</v>
      </c>
      <c r="E16" s="708" t="n">
        <v>24.02802900169349</v>
      </c>
      <c r="F16" s="31" t="n"/>
      <c r="G16" s="37" t="n"/>
      <c r="I16" s="696">
        <f>C16</f>
        <v/>
      </c>
      <c r="J16" s="696">
        <f>D16</f>
        <v/>
      </c>
      <c r="K16" s="696">
        <f>E16</f>
        <v/>
      </c>
    </row>
    <row r="17" ht="16" customHeight="1">
      <c r="A17" s="689" t="inlineStr">
        <is>
          <t xml:space="preserve">               -Sulphur and Other</t>
        </is>
      </c>
      <c r="B17" s="75" t="n"/>
      <c r="C17" s="709" t="n">
        <v>0</v>
      </c>
      <c r="D17" s="710" t="n">
        <v>0</v>
      </c>
      <c r="E17" s="711" t="n">
        <v>0</v>
      </c>
      <c r="F17" s="31" t="n"/>
      <c r="G17" s="37" t="n"/>
      <c r="I17" s="696">
        <f>C17</f>
        <v/>
      </c>
      <c r="J17" s="696">
        <f>D17</f>
        <v/>
      </c>
      <c r="K17" s="696">
        <f>E17</f>
        <v/>
      </c>
    </row>
    <row r="18" ht="16" customHeight="1">
      <c r="A18" s="689" t="inlineStr">
        <is>
          <t>Plant Protection -Herbicides</t>
        </is>
      </c>
      <c r="B18" s="74" t="n"/>
      <c r="C18" s="703" t="n">
        <v>71.08882852696738</v>
      </c>
      <c r="D18" s="704" t="n">
        <v>71.08882852696738</v>
      </c>
      <c r="E18" s="705" t="n">
        <v>71.08882852696738</v>
      </c>
      <c r="F18" s="31" t="n"/>
      <c r="G18" s="37" t="n"/>
      <c r="I18" s="696">
        <f>C18</f>
        <v/>
      </c>
      <c r="J18" s="696">
        <f>D18</f>
        <v/>
      </c>
      <c r="K18" s="696">
        <f>E18</f>
        <v/>
      </c>
    </row>
    <row r="19" ht="16" customHeight="1">
      <c r="A19" s="689" t="inlineStr">
        <is>
          <t xml:space="preserve">                     -Insecticides</t>
        </is>
      </c>
      <c r="B19" s="74" t="n"/>
      <c r="C19" s="712" t="n">
        <v>6.476190476190477</v>
      </c>
      <c r="D19" s="713" t="n">
        <v>6.476190476190477</v>
      </c>
      <c r="E19" s="714" t="n">
        <v>6.476190476190477</v>
      </c>
      <c r="F19" s="31" t="n"/>
      <c r="G19" s="37" t="n"/>
      <c r="I19" s="696">
        <f>C19</f>
        <v/>
      </c>
      <c r="J19" s="696">
        <f>D19</f>
        <v/>
      </c>
      <c r="K19" s="696">
        <f>E19</f>
        <v/>
      </c>
    </row>
    <row r="20" ht="16" customHeight="1">
      <c r="A20" s="689" t="inlineStr">
        <is>
          <t xml:space="preserve">                     -Fungicides</t>
        </is>
      </c>
      <c r="B20" s="74" t="n"/>
      <c r="C20" s="703" t="n">
        <v>0</v>
      </c>
      <c r="D20" s="704" t="n">
        <v>0</v>
      </c>
      <c r="E20" s="705" t="n">
        <v>0</v>
      </c>
      <c r="F20" s="31" t="n"/>
      <c r="G20" s="37" t="n"/>
      <c r="I20" s="696">
        <f>C20</f>
        <v/>
      </c>
      <c r="J20" s="696">
        <f>D20</f>
        <v/>
      </c>
      <c r="K20" s="696">
        <f>E20</f>
        <v/>
      </c>
    </row>
    <row r="21" ht="16" customHeight="1">
      <c r="A21" s="689" t="inlineStr">
        <is>
          <t>Machinery Operating -Fuel</t>
        </is>
      </c>
      <c r="B21" s="75" t="n"/>
      <c r="C21" s="712" t="n">
        <v>17.95142027333333</v>
      </c>
      <c r="D21" s="713" t="n">
        <v>22.43927534166667</v>
      </c>
      <c r="E21" s="714" t="n">
        <v>28.04909417708333</v>
      </c>
      <c r="F21" s="31" t="n"/>
      <c r="G21" s="37" t="n"/>
      <c r="I21" s="696">
        <f>C21</f>
        <v/>
      </c>
      <c r="J21" s="696">
        <f>D21</f>
        <v/>
      </c>
      <c r="K21" s="696">
        <f>E21</f>
        <v/>
      </c>
    </row>
    <row r="22" ht="16" customHeight="1">
      <c r="A22" s="689" t="inlineStr">
        <is>
          <t xml:space="preserve">                                  -Repair</t>
        </is>
      </c>
      <c r="B22" s="74" t="n"/>
      <c r="C22" s="703" t="n">
        <v>11.56328841689489</v>
      </c>
      <c r="D22" s="704" t="n">
        <v>13.03949744699887</v>
      </c>
      <c r="E22" s="705" t="n">
        <v>14.75790247400408</v>
      </c>
      <c r="F22" s="31" t="n"/>
      <c r="G22" s="37" t="n"/>
      <c r="I22" s="696">
        <f>C22</f>
        <v/>
      </c>
      <c r="J22" s="696">
        <f>D22</f>
        <v/>
      </c>
      <c r="K22" s="696">
        <f>E22</f>
        <v/>
      </c>
    </row>
    <row r="23" ht="16" customHeight="1">
      <c r="A23" s="689" t="inlineStr">
        <is>
          <t>Custom Work and Hired Labour</t>
        </is>
      </c>
      <c r="B23" s="74" t="n"/>
      <c r="C23" s="703" t="n">
        <v>23.5</v>
      </c>
      <c r="D23" s="704" t="n">
        <v>23.25</v>
      </c>
      <c r="E23" s="705" t="n">
        <v>24.25</v>
      </c>
      <c r="F23" s="31" t="n"/>
      <c r="G23" s="37" t="n"/>
      <c r="I23" s="696">
        <f>C23</f>
        <v/>
      </c>
      <c r="J23" s="696">
        <f>D23</f>
        <v/>
      </c>
      <c r="K23" s="696">
        <f>E23</f>
        <v/>
      </c>
    </row>
    <row r="24" ht="16" customHeight="1">
      <c r="A24" s="689" t="inlineStr">
        <is>
          <t>Crop Insurance Premium</t>
        </is>
      </c>
      <c r="B24" s="77" t="n"/>
      <c r="C24" s="703" t="n">
        <v>6.381380027555421</v>
      </c>
      <c r="D24" s="704" t="n">
        <v>3.656642730615701</v>
      </c>
      <c r="E24" s="705" t="n">
        <v>3.277354651080762</v>
      </c>
      <c r="F24" s="31" t="n"/>
      <c r="G24" s="37" t="n"/>
      <c r="I24" s="696">
        <f>C24</f>
        <v/>
      </c>
      <c r="J24" s="696">
        <f>D24</f>
        <v/>
      </c>
      <c r="K24" s="696">
        <f>E24</f>
        <v/>
      </c>
    </row>
    <row r="25" ht="16" customHeight="1">
      <c r="A25" s="689" t="inlineStr">
        <is>
          <t>Hail Insurance Premium</t>
        </is>
      </c>
      <c r="B25" s="77" t="n"/>
      <c r="C25" s="703" t="n">
        <v>14</v>
      </c>
      <c r="D25" s="704" t="n">
        <v>14</v>
      </c>
      <c r="E25" s="705" t="n">
        <v>14</v>
      </c>
      <c r="F25" s="31" t="n"/>
      <c r="G25" s="37" t="n"/>
      <c r="I25" s="696">
        <f>C25</f>
        <v/>
      </c>
      <c r="J25" s="696">
        <f>D25</f>
        <v/>
      </c>
      <c r="K25" s="696">
        <f>E25</f>
        <v/>
      </c>
    </row>
    <row r="26" ht="16" customHeight="1">
      <c r="A26" s="689" t="inlineStr">
        <is>
          <t>Utilities and Miscellaneous</t>
        </is>
      </c>
      <c r="B26" s="75" t="n"/>
      <c r="C26" s="703" t="n">
        <v>4.395974170413743</v>
      </c>
      <c r="D26" s="704" t="n">
        <v>5.768849384517721</v>
      </c>
      <c r="E26" s="705" t="n">
        <v>6.656364674443524</v>
      </c>
      <c r="F26" s="31" t="n"/>
      <c r="G26" s="37" t="n"/>
      <c r="I26" s="696">
        <f>C26</f>
        <v/>
      </c>
      <c r="J26" s="696">
        <f>D26</f>
        <v/>
      </c>
      <c r="K26" s="696">
        <f>E26</f>
        <v/>
      </c>
    </row>
    <row r="27" ht="16" customHeight="1" thickBot="1">
      <c r="A27" s="689" t="inlineStr">
        <is>
          <t>Interest on Variable Expenses</t>
        </is>
      </c>
      <c r="B27" s="74" t="n"/>
      <c r="C27" s="878" t="n">
        <v>11.5490706288988</v>
      </c>
      <c r="D27" s="879" t="n">
        <v>11.88773075733063</v>
      </c>
      <c r="E27" s="880" t="n">
        <v>12.30752672954187</v>
      </c>
      <c r="F27" s="31" t="n"/>
      <c r="G27" s="37" t="n"/>
      <c r="I27" s="696">
        <f>C27</f>
        <v/>
      </c>
      <c r="J27" s="696">
        <f>D27</f>
        <v/>
      </c>
      <c r="K27" s="696">
        <f>E27</f>
        <v/>
      </c>
    </row>
    <row r="28" ht="16" customHeight="1" thickBot="1">
      <c r="A28" s="70" t="inlineStr">
        <is>
          <t>Total Variable Expenses (D)</t>
        </is>
      </c>
      <c r="B28" s="78">
        <f>SUM(B13:B27)</f>
        <v/>
      </c>
      <c r="C28" s="539">
        <f>SUM(C13:C27)</f>
        <v/>
      </c>
      <c r="D28" s="102">
        <f>SUM(D13:D27)</f>
        <v/>
      </c>
      <c r="E28" s="540">
        <f>SUM(E13:E27)</f>
        <v/>
      </c>
      <c r="F28" s="31" t="n"/>
      <c r="G28" s="37" t="n"/>
      <c r="I28" s="43">
        <f>SUM(I13:I27)</f>
        <v/>
      </c>
      <c r="J28" s="43">
        <f>SUM(J13:J27)</f>
        <v/>
      </c>
      <c r="K28" s="43">
        <f>SUM(K13:K27)</f>
        <v/>
      </c>
    </row>
    <row r="29">
      <c r="A29" s="67" t="n"/>
      <c r="B29" s="72" t="n"/>
      <c r="C29" s="721" t="n"/>
      <c r="D29" s="700" t="n"/>
      <c r="E29" s="701" t="n"/>
      <c r="F29" s="31" t="n"/>
      <c r="G29" s="37" t="n"/>
      <c r="I29" s="410" t="n"/>
      <c r="J29" s="410" t="n"/>
      <c r="K29" s="410" t="n"/>
    </row>
    <row r="30" ht="16" customHeight="1">
      <c r="A30" s="73" t="inlineStr">
        <is>
          <t>Other Expenses/acre</t>
        </is>
      </c>
      <c r="B30" s="72" t="n"/>
      <c r="C30" s="721" t="n"/>
      <c r="D30" s="700" t="n"/>
      <c r="E30" s="701" t="n"/>
      <c r="F30" s="31" t="n"/>
      <c r="G30" s="37" t="n"/>
      <c r="I30" s="410" t="n"/>
      <c r="J30" s="410" t="n"/>
      <c r="K30" s="410" t="n"/>
    </row>
    <row r="31" ht="16" customHeight="1">
      <c r="A31" s="689" t="inlineStr">
        <is>
          <t>Building Repair</t>
        </is>
      </c>
      <c r="B31" s="722" t="n"/>
      <c r="C31" s="723" t="n">
        <v>0.7445684561908097</v>
      </c>
      <c r="D31" s="724" t="n">
        <v>0.9756414253534748</v>
      </c>
      <c r="E31" s="725" t="n">
        <v>1.335088266273176</v>
      </c>
      <c r="F31" s="31" t="n"/>
      <c r="G31" s="37" t="n"/>
      <c r="I31" s="726">
        <f>C31</f>
        <v/>
      </c>
      <c r="J31" s="726">
        <f>D31</f>
        <v/>
      </c>
      <c r="K31" s="726">
        <f>E31</f>
        <v/>
      </c>
    </row>
    <row r="32" ht="16" customHeight="1">
      <c r="A32" s="689" t="inlineStr">
        <is>
          <t>Property Taxes</t>
        </is>
      </c>
      <c r="B32" s="727" t="n"/>
      <c r="C32" s="728" t="n">
        <v>5.076533574707355</v>
      </c>
      <c r="D32" s="729" t="n">
        <v>6.642698188180902</v>
      </c>
      <c r="E32" s="730" t="n">
        <v>10.0720586349247</v>
      </c>
      <c r="F32" s="31" t="n"/>
      <c r="G32" s="37" t="n"/>
      <c r="I32" s="726">
        <f>C32</f>
        <v/>
      </c>
      <c r="J32" s="726">
        <f>D32</f>
        <v/>
      </c>
      <c r="K32" s="726">
        <f>E32</f>
        <v/>
      </c>
    </row>
    <row r="33" ht="16" customHeight="1">
      <c r="A33" s="689" t="inlineStr">
        <is>
          <t>Business Overhead</t>
        </is>
      </c>
      <c r="B33" s="731" t="n"/>
      <c r="C33" s="723" t="n">
        <v>2.607474711623781</v>
      </c>
      <c r="D33" s="724" t="n">
        <v>3.986427684117127</v>
      </c>
      <c r="E33" s="725" t="n">
        <v>4.675904170363799</v>
      </c>
      <c r="F33" s="31" t="n"/>
      <c r="G33" s="37" t="n"/>
      <c r="I33" s="726">
        <f>C33</f>
        <v/>
      </c>
      <c r="J33" s="726">
        <f>D33</f>
        <v/>
      </c>
      <c r="K33" s="726">
        <f>E33</f>
        <v/>
      </c>
    </row>
    <row r="34" ht="16" customHeight="1">
      <c r="A34" s="689" t="inlineStr">
        <is>
          <t>Machinery Depreciation</t>
        </is>
      </c>
      <c r="B34" s="732" t="n"/>
      <c r="C34" s="728" t="n">
        <v>47.58737925414436</v>
      </c>
      <c r="D34" s="729" t="n">
        <v>53.66254718572614</v>
      </c>
      <c r="E34" s="730" t="n">
        <v>60.73444479686295</v>
      </c>
      <c r="F34" s="31" t="n"/>
      <c r="G34" s="37" t="n"/>
      <c r="I34" s="726">
        <f>C34</f>
        <v/>
      </c>
      <c r="J34" s="726">
        <f>D34</f>
        <v/>
      </c>
      <c r="K34" s="726">
        <f>E34</f>
        <v/>
      </c>
    </row>
    <row r="35" ht="16" customHeight="1">
      <c r="A35" s="689" t="inlineStr">
        <is>
          <t>Building Depreciation</t>
        </is>
      </c>
      <c r="B35" s="722" t="n"/>
      <c r="C35" s="723" t="n">
        <v>1.45</v>
      </c>
      <c r="D35" s="724" t="n">
        <v>1.9</v>
      </c>
      <c r="E35" s="725" t="n">
        <v>2.6</v>
      </c>
      <c r="F35" s="31" t="n"/>
      <c r="G35" s="37" t="n"/>
      <c r="I35" s="726">
        <f>C35</f>
        <v/>
      </c>
      <c r="J35" s="726">
        <f>D35</f>
        <v/>
      </c>
      <c r="K35" s="726">
        <f>E35</f>
        <v/>
      </c>
    </row>
    <row r="36" ht="16" customHeight="1">
      <c r="A36" s="689" t="inlineStr">
        <is>
          <t>Machinery Investment</t>
        </is>
      </c>
      <c r="B36" s="732" t="n"/>
      <c r="C36" s="728" t="n">
        <v>30.02007569770789</v>
      </c>
      <c r="D36" s="729" t="n">
        <v>33.85254144893939</v>
      </c>
      <c r="E36" s="730" t="n">
        <v>38.31378526904906</v>
      </c>
      <c r="F36" s="31" t="n"/>
      <c r="G36" s="37" t="n"/>
      <c r="I36" s="726">
        <f>C36</f>
        <v/>
      </c>
      <c r="J36" s="726">
        <f>D36</f>
        <v/>
      </c>
      <c r="K36" s="726">
        <f>E36</f>
        <v/>
      </c>
    </row>
    <row r="37" ht="16" customHeight="1">
      <c r="A37" s="689" t="inlineStr">
        <is>
          <t>Building Investment</t>
        </is>
      </c>
      <c r="B37" s="722" t="n"/>
      <c r="C37" s="723" t="n">
        <v>1.326266666666666</v>
      </c>
      <c r="D37" s="724" t="n">
        <v>1.737866666666666</v>
      </c>
      <c r="E37" s="725" t="n">
        <v>2.378133333333333</v>
      </c>
      <c r="F37" s="31" t="n"/>
      <c r="G37" s="37" t="n"/>
      <c r="I37" s="726">
        <f>C37</f>
        <v/>
      </c>
      <c r="J37" s="726">
        <f>D37</f>
        <v/>
      </c>
      <c r="K37" s="726">
        <f>E37</f>
        <v/>
      </c>
    </row>
    <row r="38" ht="16" customHeight="1" thickBot="1">
      <c r="A38" s="689" t="inlineStr">
        <is>
          <t>Land Investment</t>
        </is>
      </c>
      <c r="B38" s="727" t="n"/>
      <c r="C38" s="728" t="n">
        <v>70.10399999999998</v>
      </c>
      <c r="D38" s="729" t="n">
        <v>80.65649999999999</v>
      </c>
      <c r="E38" s="730" t="n">
        <v>75.38025</v>
      </c>
      <c r="F38" s="31" t="n"/>
      <c r="G38" s="37" t="n"/>
      <c r="I38" s="726">
        <f>C38</f>
        <v/>
      </c>
      <c r="J38" s="726">
        <f>D38</f>
        <v/>
      </c>
      <c r="K38" s="726">
        <f>E38</f>
        <v/>
      </c>
    </row>
    <row r="39" ht="16" customHeight="1" thickBot="1">
      <c r="A39" s="70" t="inlineStr">
        <is>
          <t>Total Other Expenses (E)</t>
        </is>
      </c>
      <c r="B39" s="78">
        <f>SUM(B31:B38)</f>
        <v/>
      </c>
      <c r="C39" s="78">
        <f>SUM(C31:C38)</f>
        <v/>
      </c>
      <c r="D39" s="380">
        <f>SUM(D31:D38)</f>
        <v/>
      </c>
      <c r="E39" s="381">
        <f>SUM(E31:E38)</f>
        <v/>
      </c>
      <c r="F39" s="31" t="n"/>
      <c r="G39" s="37" t="n"/>
      <c r="I39" s="43">
        <f>SUM(I31:I38)</f>
        <v/>
      </c>
      <c r="J39" s="43">
        <f>SUM(J31:J38)</f>
        <v/>
      </c>
      <c r="K39" s="43">
        <f>SUM(K31:K38)</f>
        <v/>
      </c>
    </row>
    <row r="40" ht="16" customHeight="1" thickBot="1">
      <c r="A40" s="764" t="inlineStr">
        <is>
          <t>Labour and Management (F)*</t>
        </is>
      </c>
      <c r="B40" s="41" t="n"/>
      <c r="C40" s="881" t="n"/>
      <c r="D40" s="882" t="n"/>
      <c r="E40" s="883" t="n"/>
      <c r="F40" s="31" t="n"/>
      <c r="G40" s="37" t="n"/>
      <c r="I40" s="410" t="n"/>
      <c r="J40" s="410" t="n"/>
      <c r="K40" s="410" t="n"/>
    </row>
    <row r="41" ht="16" customHeight="1" thickBot="1">
      <c r="A41" s="45" t="inlineStr">
        <is>
          <t xml:space="preserve">Total Expenses (D+E+F)=(G) </t>
        </is>
      </c>
      <c r="B41" s="42">
        <f>B28+B39+B40</f>
        <v/>
      </c>
      <c r="C41" s="42">
        <f>C28+C39+C40</f>
        <v/>
      </c>
      <c r="D41" s="398">
        <f>D28+D39+D40</f>
        <v/>
      </c>
      <c r="E41" s="399">
        <f>E28+E39+E40</f>
        <v/>
      </c>
      <c r="F41" s="31" t="n"/>
      <c r="G41" s="37" t="n"/>
      <c r="I41" s="43">
        <f>I28+I39+I40</f>
        <v/>
      </c>
      <c r="J41" s="43">
        <f>J28+J39+J40</f>
        <v/>
      </c>
      <c r="K41" s="43">
        <f>K28+K39+K40</f>
        <v/>
      </c>
    </row>
    <row r="42" ht="16" customHeight="1" thickBot="1">
      <c r="A42" s="46" t="n"/>
      <c r="B42" s="19" t="n"/>
      <c r="C42" s="19" t="n"/>
      <c r="D42" s="17" t="n"/>
      <c r="E42" s="544" t="n"/>
      <c r="F42" s="31" t="n"/>
      <c r="G42" s="37" t="n"/>
      <c r="I42" s="410" t="n"/>
      <c r="J42" s="410" t="n"/>
      <c r="K42" s="410" t="n"/>
    </row>
    <row r="43" ht="16" customHeight="1">
      <c r="A43" s="47" t="inlineStr">
        <is>
          <t>RETURNS PER ACRE</t>
        </is>
      </c>
      <c r="B43" s="48" t="n"/>
      <c r="C43" s="884" t="n"/>
      <c r="D43" s="742" t="n"/>
      <c r="E43" s="885" t="n"/>
      <c r="F43" s="31" t="n"/>
      <c r="G43" s="37" t="n"/>
      <c r="I43" s="411" t="n"/>
      <c r="J43" s="411" t="n"/>
      <c r="K43" s="413" t="n"/>
    </row>
    <row r="44" ht="16" customHeight="1">
      <c r="A44" s="49" t="inlineStr">
        <is>
          <t xml:space="preserve"> Return over Variable Expenses (C-D) </t>
        </is>
      </c>
      <c r="B44" s="20">
        <f>B9-B28</f>
        <v/>
      </c>
      <c r="C44" s="20">
        <f>C9-C28</f>
        <v/>
      </c>
      <c r="D44" s="400">
        <f>D9-D28</f>
        <v/>
      </c>
      <c r="E44" s="16">
        <f>E9-E28</f>
        <v/>
      </c>
      <c r="F44" s="31" t="n"/>
      <c r="G44" s="37" t="n"/>
      <c r="I44" s="99">
        <f>I9-I28</f>
        <v/>
      </c>
      <c r="J44" s="99">
        <f>J9-J28</f>
        <v/>
      </c>
      <c r="K44" s="16">
        <f>K9-K28</f>
        <v/>
      </c>
    </row>
    <row r="45" ht="16" customHeight="1" thickBot="1">
      <c r="A45" s="737" t="inlineStr">
        <is>
          <t xml:space="preserve"> Return over Total Expenses (C-G)</t>
        </is>
      </c>
      <c r="B45" s="21">
        <f>B9-B41</f>
        <v/>
      </c>
      <c r="C45" s="21">
        <f>C9-C41</f>
        <v/>
      </c>
      <c r="D45" s="401">
        <f>D9-D41</f>
        <v/>
      </c>
      <c r="E45" s="18">
        <f>E9-E41</f>
        <v/>
      </c>
      <c r="F45" s="31" t="n"/>
      <c r="G45" s="37" t="n"/>
      <c r="I45" s="100">
        <f>I9-I41</f>
        <v/>
      </c>
      <c r="J45" s="100">
        <f>J9-J41</f>
        <v/>
      </c>
      <c r="K45" s="18">
        <f>K9-K41</f>
        <v/>
      </c>
    </row>
    <row r="46" ht="16" customHeight="1" thickBot="1">
      <c r="A46" s="32" t="n"/>
      <c r="B46" s="19" t="n"/>
      <c r="C46" s="738" t="n"/>
      <c r="D46" s="739" t="n"/>
      <c r="E46" s="740" t="n"/>
      <c r="F46" s="31" t="n"/>
      <c r="G46" s="37" t="n"/>
      <c r="I46" s="410" t="n"/>
      <c r="J46" s="410" t="n"/>
      <c r="K46" s="410" t="n"/>
    </row>
    <row r="47" ht="16" customHeight="1">
      <c r="A47" s="51" t="inlineStr">
        <is>
          <t>BREAK-EVEN YIELD (bu./ac.)</t>
        </is>
      </c>
      <c r="B47" s="52" t="n"/>
      <c r="C47" s="741" t="n"/>
      <c r="D47" s="742" t="n"/>
      <c r="E47" s="743" t="n"/>
      <c r="F47" s="31" t="n"/>
      <c r="G47" s="37" t="n"/>
      <c r="I47" s="547" t="n"/>
      <c r="J47" s="411" t="n"/>
      <c r="K47" s="413" t="n"/>
    </row>
    <row r="48" ht="16" customHeight="1">
      <c r="A48" s="32" t="inlineStr">
        <is>
          <t>To Cover Variable Expenses</t>
        </is>
      </c>
      <c r="B48" s="20">
        <f>ROUND((B28)/B8,2)</f>
        <v/>
      </c>
      <c r="C48" s="20">
        <f>ROUND((C28)/C8,2)</f>
        <v/>
      </c>
      <c r="D48" s="400">
        <f>ROUND((D28)/D8,2)</f>
        <v/>
      </c>
      <c r="E48" s="16">
        <f>ROUND((E28)/E8,2)</f>
        <v/>
      </c>
      <c r="F48" s="31" t="n"/>
      <c r="G48" s="37" t="n"/>
      <c r="I48" s="20">
        <f>ROUND((I28)/I8,2)</f>
        <v/>
      </c>
      <c r="J48" s="99">
        <f>ROUND((J28)/J8,2)</f>
        <v/>
      </c>
      <c r="K48" s="16">
        <f>ROUND((K28)/K8,2)</f>
        <v/>
      </c>
    </row>
    <row r="49" ht="16" customHeight="1" thickBot="1">
      <c r="A49" s="53" t="inlineStr">
        <is>
          <t>To Cover Total Expenses</t>
        </is>
      </c>
      <c r="B49" s="21">
        <f>ROUND(B41/B8,2)</f>
        <v/>
      </c>
      <c r="C49" s="21">
        <f>ROUND(C41/C8,2)</f>
        <v/>
      </c>
      <c r="D49" s="401">
        <f>ROUND(D41/D8,2)</f>
        <v/>
      </c>
      <c r="E49" s="18">
        <f>ROUND(E41/E8,2)</f>
        <v/>
      </c>
      <c r="F49" s="31" t="n"/>
      <c r="G49" s="37" t="n"/>
      <c r="I49" s="21">
        <f>ROUND(I41/I8,2)</f>
        <v/>
      </c>
      <c r="J49" s="100">
        <f>ROUND(J41/J8,2)</f>
        <v/>
      </c>
      <c r="K49" s="18">
        <f>ROUND(K41/K8,2)</f>
        <v/>
      </c>
    </row>
    <row r="50" ht="16" customHeight="1" thickBot="1">
      <c r="A50" s="32" t="n"/>
      <c r="B50" s="744" t="n"/>
      <c r="C50" s="738" t="n"/>
      <c r="D50" s="739" t="n"/>
      <c r="E50" s="740" t="n"/>
      <c r="F50" s="31" t="n"/>
      <c r="G50" s="37" t="n"/>
      <c r="I50" s="410" t="n"/>
      <c r="J50" s="410" t="n"/>
      <c r="K50" s="410" t="n"/>
    </row>
    <row r="51" ht="16" customHeight="1">
      <c r="A51" s="51" t="inlineStr">
        <is>
          <t>BREAK-EVEN PRICE ($ per bu.)</t>
        </is>
      </c>
      <c r="B51" s="52" t="n"/>
      <c r="C51" s="741" t="n"/>
      <c r="D51" s="742" t="n"/>
      <c r="E51" s="743" t="n"/>
      <c r="F51" s="31" t="n"/>
      <c r="G51" s="37" t="n"/>
      <c r="I51" s="547" t="n"/>
      <c r="J51" s="411" t="n"/>
      <c r="K51" s="413" t="n"/>
    </row>
    <row r="52" ht="16" customHeight="1">
      <c r="A52" s="32" t="inlineStr">
        <is>
          <t>To Cover Variable Expenses</t>
        </is>
      </c>
      <c r="B52" s="20">
        <f>ROUND((B28)/B7,2)</f>
        <v/>
      </c>
      <c r="C52" s="20">
        <f>ROUND((C28)/C7,2)</f>
        <v/>
      </c>
      <c r="D52" s="400">
        <f>ROUND((D28)/D7,2)</f>
        <v/>
      </c>
      <c r="E52" s="16">
        <f>ROUND((E28)/E7,2)</f>
        <v/>
      </c>
      <c r="F52" s="31" t="n"/>
      <c r="G52" s="37" t="n"/>
      <c r="I52" s="20">
        <f>ROUND((I28)/I7,2)</f>
        <v/>
      </c>
      <c r="J52" s="99">
        <f>ROUND((J28)/J7,2)</f>
        <v/>
      </c>
      <c r="K52" s="16">
        <f>ROUND((K28)/K7,2)</f>
        <v/>
      </c>
    </row>
    <row r="53" ht="16" customHeight="1" thickBot="1">
      <c r="A53" s="53" t="inlineStr">
        <is>
          <t>To Cover Total Expenses</t>
        </is>
      </c>
      <c r="B53" s="21">
        <f>ROUND(B41/B7,2)</f>
        <v/>
      </c>
      <c r="C53" s="21">
        <f>ROUND(C41/C7,2)</f>
        <v/>
      </c>
      <c r="D53" s="401">
        <f>ROUND(D41/D7,2)</f>
        <v/>
      </c>
      <c r="E53" s="18">
        <f>ROUND(E41/E7,2)</f>
        <v/>
      </c>
      <c r="F53" s="31" t="n"/>
      <c r="G53" s="37" t="n"/>
      <c r="I53" s="21">
        <f>ROUND(I41/I7,2)</f>
        <v/>
      </c>
      <c r="J53" s="100">
        <f>ROUND(J41/J7,2)</f>
        <v/>
      </c>
      <c r="K53" s="18">
        <f>ROUND(K41/K7,2)</f>
        <v/>
      </c>
    </row>
    <row r="54" ht="16" customHeight="1" thickBot="1">
      <c r="A54" s="55" t="n"/>
      <c r="B54" s="17" t="n"/>
      <c r="C54" s="17" t="n"/>
      <c r="D54" s="17" t="n"/>
      <c r="E54" s="17" t="n"/>
      <c r="F54" s="31" t="n"/>
    </row>
    <row r="55" ht="16" customHeight="1">
      <c r="A55" s="47" t="inlineStr">
        <is>
          <t>YIELD SENSITIVITY (same expenses but average yield)</t>
        </is>
      </c>
      <c r="B55" s="64" t="n"/>
      <c r="C55" s="408" t="n"/>
      <c r="D55" s="408" t="n"/>
      <c r="E55" s="408" t="n"/>
      <c r="F55" s="31" t="n"/>
    </row>
    <row r="56" ht="16" customHeight="1">
      <c r="A56" s="49" t="inlineStr">
        <is>
          <t>Provincial Average Yield (bu./ac)</t>
        </is>
      </c>
      <c r="B56" s="65" t="n"/>
      <c r="C56" s="17">
        <f>I7</f>
        <v/>
      </c>
      <c r="D56" s="17">
        <f>J7</f>
        <v/>
      </c>
      <c r="E56" s="17">
        <f>K7</f>
        <v/>
      </c>
      <c r="F56" s="31" t="n"/>
    </row>
    <row r="57" ht="16" customHeight="1">
      <c r="A57" s="49" t="inlineStr">
        <is>
          <t xml:space="preserve"> Return over Variable Expenses </t>
        </is>
      </c>
      <c r="B57" s="65" t="n"/>
      <c r="C57" s="17">
        <f>I44</f>
        <v/>
      </c>
      <c r="D57" s="17">
        <f>J44</f>
        <v/>
      </c>
      <c r="E57" s="17">
        <f>K44</f>
        <v/>
      </c>
      <c r="F57" s="31" t="n"/>
    </row>
    <row r="58" ht="16" customHeight="1" thickBot="1">
      <c r="A58" s="737" t="inlineStr">
        <is>
          <t xml:space="preserve"> Return over Total Expenses </t>
        </is>
      </c>
      <c r="B58" s="66" t="n"/>
      <c r="C58" s="409">
        <f>I45</f>
        <v/>
      </c>
      <c r="D58" s="409">
        <f>J45</f>
        <v/>
      </c>
      <c r="E58" s="409">
        <f>K45</f>
        <v/>
      </c>
      <c r="F58" s="750" t="n"/>
    </row>
    <row r="59" ht="16" customHeight="1">
      <c r="A59" s="22" t="inlineStr">
        <is>
          <t>*Farm managers need to determine their own actual labour and management costs and add it to total expenses.</t>
        </is>
      </c>
      <c r="B59" s="24" t="n"/>
      <c r="C59" s="24" t="n"/>
      <c r="D59" s="24" t="n"/>
      <c r="E59" s="24" t="n"/>
    </row>
    <row r="60">
      <c r="A60" s="24" t="n"/>
      <c r="B60" s="24" t="n"/>
      <c r="C60" s="24" t="n"/>
      <c r="D60" s="24" t="n"/>
      <c r="E60" s="24" t="n"/>
    </row>
    <row r="61">
      <c r="A61" s="24" t="n"/>
      <c r="B61" s="24" t="n"/>
      <c r="C61" s="419" t="n"/>
      <c r="D61" s="419" t="n"/>
      <c r="E61" s="419" t="n"/>
    </row>
    <row r="62" ht="16" customHeight="1">
      <c r="A62" s="57" t="n"/>
      <c r="B62" s="56" t="n"/>
      <c r="C62" s="429" t="n"/>
      <c r="D62" s="429" t="n"/>
      <c r="E62" s="429" t="n"/>
    </row>
    <row r="63" ht="16" customHeight="1">
      <c r="A63" s="57" t="n"/>
      <c r="B63" s="56" t="n"/>
      <c r="C63" s="56" t="n"/>
      <c r="D63" s="56" t="n"/>
      <c r="E63" s="56" t="n"/>
    </row>
  </sheetData>
  <mergeCells count="2">
    <mergeCell ref="F3:F58"/>
    <mergeCell ref="I4:K4"/>
  </mergeCells>
  <pageMargins left="0.7" right="0.7" top="0.75" bottom="0.75" header="0.3" footer="0.3"/>
  <pageSetup orientation="portrait"/>
</worksheet>
</file>

<file path=xl/worksheets/sheet21.xml><?xml version="1.0" encoding="utf-8"?>
<worksheet xmlns="http://schemas.openxmlformats.org/spreadsheetml/2006/main">
  <sheetPr>
    <outlinePr summaryBelow="1" summaryRight="1"/>
    <pageSetUpPr/>
  </sheetPr>
  <dimension ref="A1:G63"/>
  <sheetViews>
    <sheetView showGridLines="0" topLeftCell="A27" workbookViewId="0">
      <selection activeCell="C28" sqref="C28"/>
    </sheetView>
  </sheetViews>
  <sheetFormatPr baseColWidth="8" defaultRowHeight="16" customHeight="1"/>
  <cols>
    <col width="55.7109375" customWidth="1" min="1" max="1"/>
    <col width="13.85546875" bestFit="1" customWidth="1" min="2" max="2"/>
    <col width="17.140625" customWidth="1" min="3" max="3"/>
    <col width="50.140625" customWidth="1" min="4" max="4"/>
    <col width="12.28515625" customWidth="1" min="7" max="7"/>
  </cols>
  <sheetData>
    <row r="1" ht="16" customHeight="1">
      <c r="A1" s="23" t="inlineStr">
        <is>
          <t>CHICKPEAS PRODUCTION COSTS ($/ACRE) FOR SASKATCHEWAN 2026</t>
        </is>
      </c>
      <c r="B1" s="23" t="n"/>
      <c r="C1" s="23" t="n"/>
      <c r="D1" s="24" t="n"/>
    </row>
    <row r="2" ht="16" customHeight="1" thickBot="1">
      <c r="A2" s="25" t="n"/>
      <c r="B2" s="25" t="n"/>
      <c r="C2" s="25" t="inlineStr">
        <is>
          <t>Economics</t>
        </is>
      </c>
      <c r="D2" s="25" t="inlineStr">
        <is>
          <t>Agronomics</t>
        </is>
      </c>
    </row>
    <row r="3" ht="16" customHeight="1" thickBot="1">
      <c r="A3" s="179" t="inlineStr">
        <is>
          <t>CROP</t>
        </is>
      </c>
      <c r="B3" s="279" t="n"/>
      <c r="C3" s="835" t="inlineStr">
        <is>
          <t>#1 Desi Chickpea</t>
        </is>
      </c>
      <c r="D3" s="836" t="inlineStr">
        <is>
          <t xml:space="preserve">Seeding: Seed rates for the Desi Chickpea is 93 lb./ac. The brown soil zone is recommended. 
Fertilization: Inoculant with the correct strains of rhizobium should be applied. Fertility cost is based on nutrient removal rates given the targeted crop yield. These are 7 lb./ac. N and 36 lb./ac. P2O5. Producers are encouraged to use their own rates based on soil tests. 
Crop Rotation: Diverse crop rotations are recommended to help reduce disease pressure and suppress weed growth. 
Crop Protection                                                            Insect control: Wireworms, cutworms, pea aphid, potato leafhopper and grasshoppers might require control. Seed treatments are available for wireworm control. 
Disease control: Ascochyta blight is a foliar disease that can result in yield losses when environmental conditions favour disease development. When disease pressure is high more than one fungicide application may be required. One fungicide application is included in this estimate. Fungicide application decisions should be based on disease risk during the growing season. 
Weed control: Herbicide costs are based on the following herbicide timings. Please refer to general assumptions for details.  Please insert Herbicide application window. </t>
        </is>
      </c>
    </row>
    <row r="4" ht="16" customHeight="1" thickBot="1">
      <c r="A4" s="180" t="n"/>
      <c r="B4" s="677" t="inlineStr">
        <is>
          <t>My Farm</t>
        </is>
      </c>
      <c r="C4" s="678" t="inlineStr">
        <is>
          <t>80th percentile</t>
        </is>
      </c>
      <c r="D4" s="31" t="n"/>
      <c r="G4" s="262" t="inlineStr">
        <is>
          <t>Average Yield</t>
        </is>
      </c>
    </row>
    <row r="5" ht="16" customHeight="1" thickBot="1">
      <c r="A5" s="886" t="inlineStr">
        <is>
          <t>Soil Zone</t>
        </is>
      </c>
      <c r="B5" s="887" t="inlineStr">
        <is>
          <t>Brown</t>
        </is>
      </c>
      <c r="C5" s="888" t="inlineStr">
        <is>
          <t>Brown</t>
        </is>
      </c>
      <c r="D5" s="31" t="n"/>
      <c r="G5" s="889" t="inlineStr">
        <is>
          <t>Brown</t>
        </is>
      </c>
    </row>
    <row r="6" ht="16" customHeight="1">
      <c r="A6" s="96" t="inlineStr">
        <is>
          <t>REVENUE PER ACRE</t>
        </is>
      </c>
      <c r="B6" s="123" t="n"/>
      <c r="C6" s="86" t="n"/>
      <c r="D6" s="31" t="n"/>
      <c r="G6" s="332" t="n"/>
    </row>
    <row r="7" ht="16" customHeight="1">
      <c r="A7" s="689" t="inlineStr">
        <is>
          <t>Target Yield (lb./ac.) (A)</t>
        </is>
      </c>
      <c r="B7" s="120" t="n"/>
      <c r="C7" s="842" t="n">
        <v>2190.821195593049</v>
      </c>
      <c r="D7" s="31" t="n"/>
      <c r="E7" s="37" t="n"/>
      <c r="G7" s="890" t="n">
        <v>1468.225146048222</v>
      </c>
    </row>
    <row r="8" ht="16" customHeight="1" thickBot="1">
      <c r="A8" s="689" t="inlineStr">
        <is>
          <t>Est. Farm Gate Price $/lb. (B)</t>
        </is>
      </c>
      <c r="B8" s="121" t="n"/>
      <c r="C8" s="712" t="n">
        <v>0.25</v>
      </c>
      <c r="D8" s="31" t="n"/>
      <c r="E8" s="37" t="n"/>
      <c r="G8" s="696">
        <f>C8</f>
        <v/>
      </c>
    </row>
    <row r="9" ht="16" customHeight="1" thickBot="1">
      <c r="A9" s="70" t="inlineStr">
        <is>
          <t>Estimated Gross Revenue/ac (AxB)=C</t>
        </is>
      </c>
      <c r="B9" s="158">
        <f>ROUND((B8*B7),2)</f>
        <v/>
      </c>
      <c r="C9" s="71">
        <f>ROUND((C8*C7),2)</f>
        <v/>
      </c>
      <c r="D9" s="31" t="n"/>
      <c r="E9" s="37" t="n"/>
      <c r="G9" s="40">
        <f>ROUND((G8*G7),2)</f>
        <v/>
      </c>
    </row>
    <row r="10">
      <c r="A10" s="67" t="n"/>
      <c r="B10" s="119" t="n"/>
      <c r="C10" s="295" t="n"/>
      <c r="D10" s="31" t="n"/>
      <c r="E10" s="37" t="n"/>
      <c r="G10" s="332" t="n"/>
    </row>
    <row r="11" ht="16" customHeight="1" thickBot="1">
      <c r="A11" s="73" t="inlineStr">
        <is>
          <t>EXPENSES PER ACRE</t>
        </is>
      </c>
      <c r="B11" s="119" t="n"/>
      <c r="C11" s="295" t="n"/>
      <c r="D11" s="31" t="n"/>
      <c r="E11" s="37" t="n"/>
      <c r="G11" s="410" t="n"/>
    </row>
    <row r="12" ht="16" customHeight="1">
      <c r="A12" s="96" t="inlineStr">
        <is>
          <t>Variable Expenses/acre</t>
        </is>
      </c>
      <c r="B12" s="86" t="n"/>
      <c r="C12" s="350" t="n"/>
      <c r="D12" s="31" t="n"/>
      <c r="E12" s="37" t="n"/>
      <c r="G12" s="410" t="n"/>
    </row>
    <row r="13" ht="16" customHeight="1">
      <c r="A13" s="689" t="inlineStr">
        <is>
          <t>Seed</t>
        </is>
      </c>
      <c r="B13" s="74" t="n"/>
      <c r="C13" s="703" t="n">
        <v>31.806</v>
      </c>
      <c r="D13" s="31" t="n"/>
      <c r="E13" s="37" t="n"/>
      <c r="G13" s="696">
        <f>C13</f>
        <v/>
      </c>
    </row>
    <row r="14" ht="16" customHeight="1">
      <c r="A14" s="689" t="inlineStr">
        <is>
          <t xml:space="preserve">                     -Seed Treatments/Inoculants</t>
        </is>
      </c>
      <c r="B14" s="74" t="n"/>
      <c r="C14" s="703" t="n">
        <v>5.530551750415038</v>
      </c>
      <c r="D14" s="31" t="n"/>
      <c r="E14" s="37" t="n"/>
      <c r="G14" s="696">
        <f>C14</f>
        <v/>
      </c>
    </row>
    <row r="15" ht="16" customHeight="1">
      <c r="A15" s="689" t="inlineStr">
        <is>
          <t>Fertilizer -Nitrogen (N)</t>
        </is>
      </c>
      <c r="B15" s="74" t="n"/>
      <c r="C15" s="706" t="n">
        <v>5.73068728793498</v>
      </c>
      <c r="D15" s="31" t="n"/>
      <c r="E15" s="37" t="n"/>
      <c r="G15" s="696">
        <f>C15</f>
        <v/>
      </c>
    </row>
    <row r="16" ht="16" customHeight="1">
      <c r="A16" s="689" t="inlineStr">
        <is>
          <t xml:space="preserve">               -Phosphorous (P2O5)</t>
        </is>
      </c>
      <c r="B16" s="74" t="n"/>
      <c r="C16" s="706" t="n">
        <v>34.60036176243862</v>
      </c>
      <c r="D16" s="31" t="n"/>
      <c r="E16" s="37" t="n"/>
      <c r="G16" s="696">
        <f>C16</f>
        <v/>
      </c>
    </row>
    <row r="17" ht="16" customHeight="1">
      <c r="A17" s="689" t="inlineStr">
        <is>
          <t xml:space="preserve">               -Sulphur and Other</t>
        </is>
      </c>
      <c r="B17" s="75" t="n"/>
      <c r="C17" s="709" t="n">
        <v>0</v>
      </c>
      <c r="D17" s="31" t="n"/>
      <c r="E17" s="37" t="n"/>
      <c r="G17" s="696">
        <f>C17</f>
        <v/>
      </c>
    </row>
    <row r="18" ht="16" customHeight="1">
      <c r="A18" s="689" t="inlineStr">
        <is>
          <t>Plant Protection -Herbicides</t>
        </is>
      </c>
      <c r="B18" s="74" t="n"/>
      <c r="C18" s="703" t="n">
        <v>96.42602619292596</v>
      </c>
      <c r="D18" s="31" t="n"/>
      <c r="E18" s="37" t="n"/>
      <c r="G18" s="696">
        <f>C18</f>
        <v/>
      </c>
    </row>
    <row r="19" ht="16" customHeight="1">
      <c r="A19" s="689" t="inlineStr">
        <is>
          <t xml:space="preserve">                     -Insecticides</t>
        </is>
      </c>
      <c r="B19" s="74" t="n"/>
      <c r="C19" s="703" t="n">
        <v>6.4684</v>
      </c>
      <c r="D19" s="31" t="n"/>
      <c r="E19" s="37" t="n"/>
      <c r="G19" s="696">
        <f>C19</f>
        <v/>
      </c>
    </row>
    <row r="20" ht="16" customHeight="1">
      <c r="A20" s="689" t="inlineStr">
        <is>
          <t xml:space="preserve">                     -Fungicides</t>
        </is>
      </c>
      <c r="B20" s="74" t="n"/>
      <c r="C20" s="703" t="n">
        <v>22.41</v>
      </c>
      <c r="D20" s="31" t="n"/>
      <c r="E20" s="37" t="n"/>
      <c r="G20" s="696">
        <f>C20</f>
        <v/>
      </c>
    </row>
    <row r="21" ht="16" customHeight="1">
      <c r="A21" s="689" t="inlineStr">
        <is>
          <t>Machinery Operating -Fuel</t>
        </is>
      </c>
      <c r="B21" s="75" t="n"/>
      <c r="C21" s="712" t="n">
        <v>25.98231881666667</v>
      </c>
      <c r="D21" s="31" t="n"/>
      <c r="E21" s="37" t="n"/>
      <c r="G21" s="696">
        <f>C21</f>
        <v/>
      </c>
    </row>
    <row r="22" ht="16" customHeight="1">
      <c r="A22" s="689" t="inlineStr">
        <is>
          <t xml:space="preserve">                                  -Repair</t>
        </is>
      </c>
      <c r="B22" s="74" t="n"/>
      <c r="C22" s="703" t="n">
        <v>11.56328841689489</v>
      </c>
      <c r="D22" s="31" t="n"/>
      <c r="E22" s="37" t="n"/>
      <c r="G22" s="696">
        <f>C22</f>
        <v/>
      </c>
    </row>
    <row r="23" ht="16" customHeight="1">
      <c r="A23" s="689" t="inlineStr">
        <is>
          <t>Custom Work and Hired Labour</t>
        </is>
      </c>
      <c r="B23" s="74" t="n"/>
      <c r="C23" s="703" t="n">
        <v>21</v>
      </c>
      <c r="D23" s="31" t="n"/>
      <c r="E23" s="37" t="n"/>
      <c r="G23" s="696">
        <f>C23</f>
        <v/>
      </c>
    </row>
    <row r="24" ht="16" customHeight="1">
      <c r="A24" s="689" t="inlineStr">
        <is>
          <t>Crop Insurance Premium</t>
        </is>
      </c>
      <c r="B24" s="77" t="n"/>
      <c r="C24" s="891" t="n">
        <v>10.93624635765752</v>
      </c>
      <c r="D24" s="31" t="n"/>
      <c r="E24" s="37" t="n"/>
      <c r="G24" s="696">
        <f>C24</f>
        <v/>
      </c>
    </row>
    <row r="25" ht="16" customHeight="1">
      <c r="A25" s="689" t="inlineStr">
        <is>
          <t>Hail Insurance Premium</t>
        </is>
      </c>
      <c r="B25" s="77" t="n"/>
      <c r="C25" s="891" t="n">
        <v>14</v>
      </c>
      <c r="D25" s="31" t="n"/>
      <c r="E25" s="37" t="n"/>
      <c r="G25" s="696">
        <f>C25</f>
        <v/>
      </c>
    </row>
    <row r="26" ht="16" customHeight="1">
      <c r="A26" s="689" t="inlineStr">
        <is>
          <t>Utilities and Miscellaneous</t>
        </is>
      </c>
      <c r="B26" s="75" t="n"/>
      <c r="C26" s="712" t="n">
        <v>4.395974170413743</v>
      </c>
      <c r="D26" s="31" t="n"/>
      <c r="E26" s="37" t="n"/>
      <c r="G26" s="696">
        <f>C26</f>
        <v/>
      </c>
    </row>
    <row r="27" ht="16" customHeight="1" thickBot="1">
      <c r="A27" s="689" t="inlineStr">
        <is>
          <t>Interest on Variable Expenses</t>
        </is>
      </c>
      <c r="B27" s="74" t="n"/>
      <c r="C27" s="878" t="n">
        <v>11.01351450006915</v>
      </c>
      <c r="D27" s="31" t="n"/>
      <c r="E27" s="37" t="n"/>
      <c r="G27" s="696">
        <f>C27</f>
        <v/>
      </c>
    </row>
    <row r="28" ht="16" customHeight="1" thickBot="1">
      <c r="A28" s="70" t="inlineStr">
        <is>
          <t>Total Variable Expenses (D)</t>
        </is>
      </c>
      <c r="B28" s="133">
        <f>SUM(B13:B27)</f>
        <v/>
      </c>
      <c r="C28" s="91">
        <f>SUM(C13:C27)</f>
        <v/>
      </c>
      <c r="D28" s="31" t="n"/>
      <c r="E28" s="37" t="n"/>
      <c r="G28" s="43">
        <f>SUM(G13:G27)</f>
        <v/>
      </c>
    </row>
    <row r="29">
      <c r="A29" s="67" t="n"/>
      <c r="B29" s="72" t="n"/>
      <c r="C29" s="350" t="n"/>
      <c r="D29" s="31" t="n"/>
      <c r="E29" s="37" t="n"/>
      <c r="G29" s="410" t="n"/>
    </row>
    <row r="30" ht="16" customHeight="1">
      <c r="A30" s="73" t="inlineStr">
        <is>
          <t>Other Expenses/acre</t>
        </is>
      </c>
      <c r="B30" s="72" t="n"/>
      <c r="C30" s="295" t="n"/>
      <c r="D30" s="31" t="n"/>
      <c r="E30" s="37" t="n"/>
      <c r="G30" s="410" t="n"/>
    </row>
    <row r="31" ht="16" customHeight="1">
      <c r="A31" s="689" t="inlineStr">
        <is>
          <t>Building Repair</t>
        </is>
      </c>
      <c r="B31" s="722" t="n"/>
      <c r="C31" s="723" t="n">
        <v>0.7445684561908097</v>
      </c>
      <c r="D31" s="31" t="n"/>
      <c r="E31" s="37" t="n"/>
      <c r="G31" s="726">
        <f>C31</f>
        <v/>
      </c>
    </row>
    <row r="32" ht="16" customHeight="1">
      <c r="A32" s="689" t="inlineStr">
        <is>
          <t>Property Taxes</t>
        </is>
      </c>
      <c r="B32" s="727" t="n"/>
      <c r="C32" s="728" t="n">
        <v>5.076533574707355</v>
      </c>
      <c r="D32" s="31" t="n"/>
      <c r="E32" s="37" t="n"/>
      <c r="G32" s="726">
        <f>C32</f>
        <v/>
      </c>
    </row>
    <row r="33" ht="16" customHeight="1">
      <c r="A33" s="689" t="inlineStr">
        <is>
          <t>Business Overhead</t>
        </is>
      </c>
      <c r="B33" s="731" t="n"/>
      <c r="C33" s="723" t="n">
        <v>2.607474711623781</v>
      </c>
      <c r="D33" s="31" t="n"/>
      <c r="E33" s="37" t="n"/>
      <c r="G33" s="726">
        <f>C33</f>
        <v/>
      </c>
    </row>
    <row r="34" ht="16" customHeight="1">
      <c r="A34" s="689" t="inlineStr">
        <is>
          <t>Machinery Depreciation</t>
        </is>
      </c>
      <c r="B34" s="732" t="n"/>
      <c r="C34" s="728" t="n">
        <v>47.58737925414436</v>
      </c>
      <c r="D34" s="31" t="n"/>
      <c r="E34" s="37" t="n"/>
      <c r="G34" s="726">
        <f>C34</f>
        <v/>
      </c>
    </row>
    <row r="35" ht="16" customHeight="1">
      <c r="A35" s="689" t="inlineStr">
        <is>
          <t>Building Depreciation</t>
        </is>
      </c>
      <c r="B35" s="722" t="n"/>
      <c r="C35" s="723" t="n">
        <v>1.45</v>
      </c>
      <c r="D35" s="31" t="n"/>
      <c r="E35" s="37" t="n"/>
      <c r="G35" s="726">
        <f>C35</f>
        <v/>
      </c>
    </row>
    <row r="36" ht="16" customHeight="1">
      <c r="A36" s="689" t="inlineStr">
        <is>
          <t>Machinery Investment</t>
        </is>
      </c>
      <c r="B36" s="732" t="n"/>
      <c r="C36" s="728" t="n">
        <v>30.02007569770789</v>
      </c>
      <c r="D36" s="31" t="n"/>
      <c r="E36" s="37" t="n"/>
      <c r="G36" s="726">
        <f>C36</f>
        <v/>
      </c>
    </row>
    <row r="37" ht="16" customHeight="1">
      <c r="A37" s="689" t="inlineStr">
        <is>
          <t>Building Investment</t>
        </is>
      </c>
      <c r="B37" s="722" t="n"/>
      <c r="C37" s="723" t="n">
        <v>1.326266666666666</v>
      </c>
      <c r="D37" s="31" t="n"/>
      <c r="E37" s="37" t="n"/>
      <c r="G37" s="726">
        <f>C37</f>
        <v/>
      </c>
    </row>
    <row r="38" ht="16" customHeight="1" thickBot="1">
      <c r="A38" s="689" t="inlineStr">
        <is>
          <t>Land Investment</t>
        </is>
      </c>
      <c r="B38" s="727" t="n"/>
      <c r="C38" s="892" t="n">
        <v>70.10399999999998</v>
      </c>
      <c r="D38" s="31" t="n"/>
      <c r="E38" s="37" t="n"/>
      <c r="G38" s="726">
        <f>C38</f>
        <v/>
      </c>
    </row>
    <row r="39" ht="16" customHeight="1" thickBot="1">
      <c r="A39" s="70" t="inlineStr">
        <is>
          <t>Total Other Expenses (E)</t>
        </is>
      </c>
      <c r="B39" s="133">
        <f>SUM(B31:B38)</f>
        <v/>
      </c>
      <c r="C39" s="539">
        <f>SUM(C31:C38)</f>
        <v/>
      </c>
      <c r="D39" s="31" t="n"/>
      <c r="E39" s="37" t="n"/>
      <c r="G39" s="43">
        <f>SUM(G31:G38)</f>
        <v/>
      </c>
    </row>
    <row r="40" ht="16" customHeight="1" thickBot="1">
      <c r="A40" s="689" t="inlineStr">
        <is>
          <t>Labour and Management (F)*</t>
        </is>
      </c>
      <c r="B40" s="125" t="n"/>
      <c r="C40" s="75" t="n"/>
      <c r="D40" s="31" t="n"/>
      <c r="E40" s="37" t="n"/>
      <c r="G40" s="410" t="n"/>
    </row>
    <row r="41" ht="16" customHeight="1" thickBot="1">
      <c r="A41" s="89" t="inlineStr">
        <is>
          <t xml:space="preserve">Total Expenses (D+E+F)=(G) </t>
        </is>
      </c>
      <c r="B41" s="133">
        <f>B28+B39+B40</f>
        <v/>
      </c>
      <c r="C41" s="78">
        <f>C28+C39+C40</f>
        <v/>
      </c>
      <c r="D41" s="31" t="n"/>
      <c r="E41" s="37" t="n"/>
      <c r="G41" s="43">
        <f>G28+G39+G40</f>
        <v/>
      </c>
    </row>
    <row r="42" ht="16" customHeight="1" thickBot="1">
      <c r="A42" s="46" t="n"/>
      <c r="B42" s="135" t="n"/>
      <c r="C42" s="19" t="n"/>
      <c r="D42" s="31" t="n"/>
      <c r="E42" s="37" t="n"/>
      <c r="G42" s="410" t="n"/>
    </row>
    <row r="43" ht="16" customHeight="1">
      <c r="A43" s="47" t="inlineStr">
        <is>
          <t>RETURNS PER ACRE</t>
        </is>
      </c>
      <c r="B43" s="136" t="n"/>
      <c r="C43" s="48" t="n"/>
      <c r="D43" s="31" t="n"/>
      <c r="E43" s="37" t="n"/>
      <c r="G43" s="411" t="n"/>
    </row>
    <row r="44" ht="16" customHeight="1">
      <c r="A44" s="49" t="inlineStr">
        <is>
          <t xml:space="preserve"> Return over Variable Expenses (C-D) </t>
        </is>
      </c>
      <c r="B44" s="99">
        <f>B9-B28</f>
        <v/>
      </c>
      <c r="C44" s="20">
        <f>C9-C28</f>
        <v/>
      </c>
      <c r="D44" s="31" t="n"/>
      <c r="E44" s="37" t="n"/>
      <c r="G44" s="99">
        <f>G9-G28</f>
        <v/>
      </c>
    </row>
    <row r="45" ht="16" customHeight="1" thickBot="1">
      <c r="A45" s="737" t="inlineStr">
        <is>
          <t xml:space="preserve"> Return over Total Expenses (C-G)</t>
        </is>
      </c>
      <c r="B45" s="100">
        <f>B9-B41</f>
        <v/>
      </c>
      <c r="C45" s="21">
        <f>C9-C41</f>
        <v/>
      </c>
      <c r="D45" s="31" t="n"/>
      <c r="E45" s="37" t="n"/>
      <c r="G45" s="100">
        <f>G9-G41</f>
        <v/>
      </c>
    </row>
    <row r="46" ht="16" customHeight="1" thickBot="1">
      <c r="A46" s="32" t="n"/>
      <c r="B46" s="135" t="n"/>
      <c r="C46" s="19" t="n"/>
      <c r="D46" s="31" t="n"/>
      <c r="E46" s="37" t="n"/>
      <c r="G46" s="410" t="n"/>
    </row>
    <row r="47" ht="16" customHeight="1">
      <c r="A47" s="96" t="inlineStr">
        <is>
          <t>BREAK-EVEN YIELD (lbs./ac.)</t>
        </is>
      </c>
      <c r="B47" s="137" t="n"/>
      <c r="C47" s="52" t="n"/>
      <c r="D47" s="31" t="n"/>
      <c r="E47" s="37" t="n"/>
      <c r="G47" s="411" t="n"/>
    </row>
    <row r="48" ht="16" customHeight="1">
      <c r="A48" s="73" t="inlineStr">
        <is>
          <t>To Cover Variable Expenses</t>
        </is>
      </c>
      <c r="B48" s="183">
        <f>ROUND((B28)/B8,2)</f>
        <v/>
      </c>
      <c r="C48" s="183">
        <f>ROUND((C28)/C8,2)</f>
        <v/>
      </c>
      <c r="D48" s="31" t="n"/>
      <c r="E48" s="37" t="n"/>
      <c r="G48" s="163">
        <f>ROUND((G28)/G8,2)</f>
        <v/>
      </c>
    </row>
    <row r="49" ht="16" customHeight="1" thickBot="1">
      <c r="A49" s="164" t="inlineStr">
        <is>
          <t>To Cover Total Expenses</t>
        </is>
      </c>
      <c r="B49" s="184">
        <f>ROUND(B41/B8,2)</f>
        <v/>
      </c>
      <c r="C49" s="184">
        <f>ROUND(C41/C8,2)</f>
        <v/>
      </c>
      <c r="D49" s="31" t="n"/>
      <c r="E49" s="37" t="n"/>
      <c r="G49" s="166">
        <f>ROUND(G41/G8,2)</f>
        <v/>
      </c>
    </row>
    <row r="50" ht="16" customHeight="1" thickBot="1">
      <c r="A50" s="73" t="n"/>
      <c r="B50" s="860" t="n"/>
      <c r="C50" s="744" t="n"/>
      <c r="D50" s="31" t="n"/>
      <c r="E50" s="37" t="n"/>
      <c r="G50" s="410" t="n"/>
    </row>
    <row r="51" ht="16" customHeight="1">
      <c r="A51" s="96" t="inlineStr">
        <is>
          <t>BREAK-EVEN PRICE ($/lb.)</t>
        </is>
      </c>
      <c r="B51" s="137" t="n"/>
      <c r="C51" s="52" t="n"/>
      <c r="D51" s="31" t="n"/>
      <c r="E51" s="37" t="n"/>
      <c r="G51" s="411" t="n"/>
    </row>
    <row r="52" ht="16" customHeight="1">
      <c r="A52" s="73" t="inlineStr">
        <is>
          <t>To Cover Variable Expenses</t>
        </is>
      </c>
      <c r="B52" s="20">
        <f>ROUND((B28)/B7,2)</f>
        <v/>
      </c>
      <c r="C52" s="20">
        <f>ROUND((C28)/C7,2)</f>
        <v/>
      </c>
      <c r="D52" s="31" t="n"/>
      <c r="E52" s="37" t="n"/>
      <c r="G52" s="99">
        <f>ROUND((G28)/G7,2)</f>
        <v/>
      </c>
    </row>
    <row r="53" ht="16" customHeight="1" thickBot="1">
      <c r="A53" s="164" t="inlineStr">
        <is>
          <t>To Cover Total Expenses</t>
        </is>
      </c>
      <c r="B53" s="21">
        <f>ROUND(B41/B7,2)</f>
        <v/>
      </c>
      <c r="C53" s="21">
        <f>ROUND(C41/C7,2)</f>
        <v/>
      </c>
      <c r="D53" s="31" t="n"/>
      <c r="E53" s="37" t="n"/>
      <c r="G53" s="100">
        <f>ROUND(G41/G7,2)</f>
        <v/>
      </c>
    </row>
    <row r="54" ht="16" customHeight="1" thickBot="1">
      <c r="A54" s="168" t="n"/>
      <c r="B54" s="17" t="n"/>
      <c r="C54" s="17" t="n"/>
      <c r="D54" s="31" t="n"/>
    </row>
    <row r="55" ht="16" customHeight="1">
      <c r="A55" s="47" t="inlineStr">
        <is>
          <t>YIELD SENSITIVITY (same expenses but average yield)</t>
        </is>
      </c>
      <c r="B55" s="64" t="n"/>
      <c r="C55" s="408" t="n"/>
      <c r="D55" s="31" t="n"/>
    </row>
    <row r="56" ht="16" customHeight="1">
      <c r="A56" s="170" t="inlineStr">
        <is>
          <t>Provincial average yield (lb./ac)</t>
        </is>
      </c>
      <c r="B56" s="65" t="n"/>
      <c r="C56" s="549">
        <f>G7</f>
        <v/>
      </c>
      <c r="D56" s="31" t="n"/>
    </row>
    <row r="57" ht="16" customHeight="1">
      <c r="A57" s="170" t="inlineStr">
        <is>
          <t xml:space="preserve"> Return over Variable Expenses </t>
        </is>
      </c>
      <c r="B57" s="65" t="n"/>
      <c r="C57" s="17">
        <f>G44</f>
        <v/>
      </c>
      <c r="D57" s="31" t="n"/>
    </row>
    <row r="58" ht="16" customHeight="1" thickBot="1">
      <c r="A58" s="845" t="inlineStr">
        <is>
          <t xml:space="preserve"> Return over Total Expenses </t>
        </is>
      </c>
      <c r="B58" s="66" t="n"/>
      <c r="C58" s="409">
        <f>G45</f>
        <v/>
      </c>
      <c r="D58" s="750" t="n"/>
    </row>
    <row r="59" ht="16" customHeight="1">
      <c r="A59" s="22" t="inlineStr">
        <is>
          <t>*Farm managers need to determine their own actual labour and management costs and add it to total expenses.</t>
        </is>
      </c>
      <c r="B59" s="24" t="n"/>
      <c r="C59" s="24" t="n"/>
    </row>
    <row r="60">
      <c r="A60" s="24" t="n"/>
      <c r="B60" s="24" t="n"/>
      <c r="C60" s="24" t="n"/>
    </row>
    <row r="61">
      <c r="A61" s="24" t="n"/>
      <c r="B61" s="24" t="n"/>
      <c r="C61" s="419" t="n"/>
    </row>
    <row r="62" ht="16" customHeight="1">
      <c r="A62" s="57" t="n"/>
      <c r="B62" s="56" t="n"/>
      <c r="C62" s="56" t="n"/>
    </row>
    <row r="63" ht="16" customHeight="1">
      <c r="A63" s="57" t="n"/>
      <c r="B63" s="56" t="n"/>
      <c r="C63" s="56" t="n"/>
    </row>
  </sheetData>
  <mergeCells count="1">
    <mergeCell ref="D3:D58"/>
  </mergeCells>
  <pageMargins left="0.7" right="0.7" top="0.75" bottom="0.75" header="0.3" footer="0.3"/>
  <pageSetup orientation="portrait"/>
</worksheet>
</file>

<file path=xl/worksheets/sheet22.xml><?xml version="1.0" encoding="utf-8"?>
<worksheet xmlns="http://schemas.openxmlformats.org/spreadsheetml/2006/main">
  <sheetPr>
    <outlinePr summaryBelow="1" summaryRight="1"/>
    <pageSetUpPr/>
  </sheetPr>
  <dimension ref="A1:G63"/>
  <sheetViews>
    <sheetView showGridLines="0" topLeftCell="A33" workbookViewId="0">
      <selection activeCell="N17" sqref="N17"/>
    </sheetView>
  </sheetViews>
  <sheetFormatPr baseColWidth="8" defaultRowHeight="16" customHeight="1"/>
  <cols>
    <col width="55.7109375" customWidth="1" min="1" max="1"/>
    <col width="13.85546875" bestFit="1" customWidth="1" min="2" max="2"/>
    <col width="25.42578125" customWidth="1" min="3" max="3"/>
    <col width="50.140625" customWidth="1" min="4" max="4"/>
    <col width="13" customWidth="1" min="7" max="7"/>
  </cols>
  <sheetData>
    <row r="1" ht="16" customHeight="1">
      <c r="A1" s="23" t="inlineStr">
        <is>
          <t>CHICKPEAS PRODUCTION COSTS ($/ACRE) FOR SASKATCHEWAN 2026</t>
        </is>
      </c>
      <c r="B1" s="23" t="n"/>
      <c r="C1" s="23" t="n"/>
      <c r="D1" s="24" t="n"/>
    </row>
    <row r="2" ht="16" customHeight="1" thickBot="1">
      <c r="A2" s="25" t="n"/>
      <c r="B2" s="25" t="n"/>
      <c r="C2" s="25" t="inlineStr">
        <is>
          <t>Economics</t>
        </is>
      </c>
      <c r="D2" s="25" t="inlineStr">
        <is>
          <t>Agronomics</t>
        </is>
      </c>
    </row>
    <row r="3" ht="16" customHeight="1" thickBot="1">
      <c r="A3" s="179" t="inlineStr">
        <is>
          <t>CROP</t>
        </is>
      </c>
      <c r="B3" s="279" t="n"/>
      <c r="C3" s="675" t="inlineStr">
        <is>
          <t>#1-9mm Kabuli Chickpea</t>
        </is>
      </c>
      <c r="D3" s="836" t="inlineStr">
        <is>
          <t xml:space="preserve">Seeding: A seed rate of 145 lb./ac. is used. The brown soil zone is recommended.
Fertilization: Inoculant with the correct strains of rhizobium should be applied. Fertility cost is based on nutrient removal rates given the targeted crop yield. These are 6 lb./ac. N and 31 lb./ac. P2O5. Producers are encouraged to use their own rates based on soil tests. 
Crop Rotation: Crop rotation can be used to reduce disease pressure. 
Crop Protection                                                            Insect control: Wireworms, cutworms, pea aphid, potato leafhopper and grasshoppers might require control. Seed treatments are available for wireworm control. 
Disease control: Ascochyta blight is a foliar disease that can result in yield losses when environmental conditions favor disease development. When disease pressure is high more than one fungicide application may be required. Two fungicide applications are included in this estimate. Fungicide application decisions should be based on disease risk during the growing season. 
Weed control: Herbicide costs are based on the following herbicide timings. Please refer to general assumptions for details.  Please insert Herbicide application window. </t>
        </is>
      </c>
    </row>
    <row r="4" ht="16" customHeight="1" thickBot="1">
      <c r="A4" s="180" t="n"/>
      <c r="B4" s="677" t="inlineStr">
        <is>
          <t>My Farm</t>
        </is>
      </c>
      <c r="C4" s="678" t="inlineStr">
        <is>
          <t>80th percentile</t>
        </is>
      </c>
      <c r="D4" s="31" t="n"/>
      <c r="G4" s="262" t="inlineStr">
        <is>
          <t>Average Yield</t>
        </is>
      </c>
    </row>
    <row r="5" ht="16" customHeight="1" thickBot="1">
      <c r="A5" s="886" t="inlineStr">
        <is>
          <t>Soil Zone</t>
        </is>
      </c>
      <c r="B5" s="887" t="inlineStr">
        <is>
          <t>Brown</t>
        </is>
      </c>
      <c r="C5" s="893" t="inlineStr">
        <is>
          <t>Brown</t>
        </is>
      </c>
      <c r="D5" s="31" t="n"/>
      <c r="G5" s="889" t="inlineStr">
        <is>
          <t>Brown</t>
        </is>
      </c>
    </row>
    <row r="6" ht="16" customHeight="1">
      <c r="A6" s="96" t="inlineStr">
        <is>
          <t>REVENUE PER ACRE</t>
        </is>
      </c>
      <c r="B6" s="123" t="n"/>
      <c r="C6" s="345" t="n"/>
      <c r="D6" s="31" t="n"/>
      <c r="G6" s="31" t="n"/>
    </row>
    <row r="7" ht="16" customHeight="1">
      <c r="A7" s="689" t="inlineStr">
        <is>
          <t>Target Yield (lb./ac.) (A)</t>
        </is>
      </c>
      <c r="B7" s="120" t="n"/>
      <c r="C7" s="894" t="n">
        <v>1949.131762864108</v>
      </c>
      <c r="D7" s="31" t="n"/>
      <c r="E7" s="37" t="n"/>
      <c r="G7" s="895" t="n">
        <v>1326.851627716678</v>
      </c>
    </row>
    <row r="8" ht="16" customHeight="1" thickBot="1">
      <c r="A8" s="689" t="inlineStr">
        <is>
          <t>Est. Farm Gate Price $/lb. (B)</t>
        </is>
      </c>
      <c r="B8" s="121" t="n"/>
      <c r="C8" s="713" t="n">
        <v>0.3</v>
      </c>
      <c r="D8" s="31" t="n"/>
      <c r="E8" s="37" t="n"/>
      <c r="G8" s="696">
        <f>C8</f>
        <v/>
      </c>
    </row>
    <row r="9" ht="16" customHeight="1" thickBot="1">
      <c r="A9" s="70" t="inlineStr">
        <is>
          <t>Estimated Gross Revenue/ac (AxB)=C</t>
        </is>
      </c>
      <c r="B9" s="158">
        <f>ROUND((B8*B7),2)</f>
        <v/>
      </c>
      <c r="C9" s="550">
        <f>ROUND((C8*C7),2)</f>
        <v/>
      </c>
      <c r="D9" s="31" t="n"/>
      <c r="E9" s="37" t="n"/>
      <c r="G9" s="40">
        <f>ROUND((G8*G7),2)</f>
        <v/>
      </c>
    </row>
    <row r="10">
      <c r="A10" s="67" t="n"/>
      <c r="B10" s="119" t="n"/>
      <c r="C10" s="359" t="n"/>
      <c r="D10" s="31" t="n"/>
      <c r="E10" s="37" t="n"/>
      <c r="G10" s="332" t="n"/>
    </row>
    <row r="11" ht="16" customHeight="1" thickBot="1">
      <c r="A11" s="73" t="inlineStr">
        <is>
          <t>EXPENSES PER ACRE</t>
        </is>
      </c>
      <c r="B11" s="119" t="n"/>
      <c r="C11" s="359" t="n"/>
      <c r="D11" s="31" t="n"/>
      <c r="E11" s="37" t="n"/>
      <c r="G11" s="332" t="n"/>
    </row>
    <row r="12" ht="16" customHeight="1">
      <c r="A12" s="96" t="inlineStr">
        <is>
          <t>Variable Expenses/acre</t>
        </is>
      </c>
      <c r="B12" s="86" t="n"/>
      <c r="C12" s="350" t="n"/>
      <c r="D12" s="31" t="n"/>
      <c r="E12" s="37" t="n"/>
      <c r="G12" s="332" t="n"/>
    </row>
    <row r="13" ht="16" customHeight="1">
      <c r="A13" s="689" t="inlineStr">
        <is>
          <t>Seed</t>
        </is>
      </c>
      <c r="B13" s="74" t="n"/>
      <c r="C13" s="703" t="n">
        <v>63.8</v>
      </c>
      <c r="D13" s="31" t="n"/>
      <c r="E13" s="37" t="n"/>
      <c r="G13" s="696">
        <f>C13</f>
        <v/>
      </c>
    </row>
    <row r="14" ht="16" customHeight="1">
      <c r="A14" s="689" t="inlineStr">
        <is>
          <t xml:space="preserve">                     -Seed Treatments/Inoculants</t>
        </is>
      </c>
      <c r="B14" s="74" t="n"/>
      <c r="C14" s="703" t="n">
        <v>8.622903266776135</v>
      </c>
      <c r="D14" s="31" t="n"/>
      <c r="E14" s="37" t="n"/>
      <c r="G14" s="696">
        <f>C14</f>
        <v/>
      </c>
    </row>
    <row r="15" ht="16" customHeight="1">
      <c r="A15" s="689" t="inlineStr">
        <is>
          <t>Fertilizer -Nitrogen (N)</t>
        </is>
      </c>
      <c r="B15" s="74" t="n"/>
      <c r="C15" s="706" t="n">
        <v>4.91201767537284</v>
      </c>
      <c r="D15" s="31" t="n"/>
      <c r="E15" s="37" t="n"/>
      <c r="G15" s="696">
        <f>C15</f>
        <v/>
      </c>
    </row>
    <row r="16" ht="16" customHeight="1">
      <c r="A16" s="689" t="inlineStr">
        <is>
          <t xml:space="preserve">               -Phosphorous (P2O5)</t>
        </is>
      </c>
      <c r="B16" s="74" t="n"/>
      <c r="C16" s="706" t="n">
        <v>29.79475596209992</v>
      </c>
      <c r="D16" s="31" t="n"/>
      <c r="E16" s="37" t="n"/>
      <c r="G16" s="696">
        <f>C16</f>
        <v/>
      </c>
    </row>
    <row r="17" ht="16" customHeight="1">
      <c r="A17" s="689" t="inlineStr">
        <is>
          <t xml:space="preserve">               -Sulphur and Other</t>
        </is>
      </c>
      <c r="B17" s="75" t="n"/>
      <c r="C17" s="709" t="n">
        <v>0</v>
      </c>
      <c r="D17" s="31" t="n"/>
      <c r="E17" s="37" t="n"/>
      <c r="G17" s="696">
        <f>C17</f>
        <v/>
      </c>
    </row>
    <row r="18" ht="16" customHeight="1">
      <c r="A18" s="689" t="inlineStr">
        <is>
          <t>Plant Protection -Herbicides</t>
        </is>
      </c>
      <c r="B18" s="74" t="n"/>
      <c r="C18" s="703" t="n">
        <v>96.42602619292596</v>
      </c>
      <c r="D18" s="31" t="n"/>
      <c r="E18" s="37" t="n"/>
      <c r="G18" s="696">
        <f>C18</f>
        <v/>
      </c>
    </row>
    <row r="19" ht="16" customHeight="1">
      <c r="A19" s="689" t="inlineStr">
        <is>
          <t xml:space="preserve">                     -Insecticides</t>
        </is>
      </c>
      <c r="B19" s="74" t="n"/>
      <c r="C19" s="703" t="n">
        <v>6.4684</v>
      </c>
      <c r="D19" s="31" t="n"/>
      <c r="E19" s="37" t="n"/>
      <c r="G19" s="696">
        <f>C19</f>
        <v/>
      </c>
    </row>
    <row r="20" ht="16" customHeight="1">
      <c r="A20" s="689" t="inlineStr">
        <is>
          <t xml:space="preserve">                     -Fungicides</t>
        </is>
      </c>
      <c r="B20" s="74" t="n"/>
      <c r="C20" s="703" t="n">
        <v>44.82792112676056</v>
      </c>
      <c r="D20" s="31" t="n"/>
      <c r="E20" s="37" t="n"/>
      <c r="G20" s="696">
        <f>C20</f>
        <v/>
      </c>
    </row>
    <row r="21" ht="16" customHeight="1">
      <c r="A21" s="689" t="inlineStr">
        <is>
          <t>Machinery Operating -Fuel</t>
        </is>
      </c>
      <c r="B21" s="75" t="n"/>
      <c r="C21" s="712" t="n">
        <v>25.98231881666667</v>
      </c>
      <c r="D21" s="31" t="n"/>
      <c r="E21" s="37" t="n"/>
      <c r="G21" s="696">
        <f>C21</f>
        <v/>
      </c>
    </row>
    <row r="22" ht="16" customHeight="1">
      <c r="A22" s="689" t="inlineStr">
        <is>
          <t xml:space="preserve">                                  -Repair</t>
        </is>
      </c>
      <c r="B22" s="74" t="n"/>
      <c r="C22" s="703" t="n">
        <v>11.56328841689489</v>
      </c>
      <c r="D22" s="31" t="n"/>
      <c r="E22" s="37" t="n"/>
      <c r="G22" s="696">
        <f>C22</f>
        <v/>
      </c>
    </row>
    <row r="23" ht="16" customHeight="1">
      <c r="A23" s="689" t="inlineStr">
        <is>
          <t>Custom Work and Hired Labour</t>
        </is>
      </c>
      <c r="B23" s="74" t="n"/>
      <c r="C23" s="703" t="n">
        <v>21</v>
      </c>
      <c r="D23" s="31" t="n"/>
      <c r="E23" s="37" t="n"/>
      <c r="G23" s="696">
        <f>C23</f>
        <v/>
      </c>
    </row>
    <row r="24" ht="16" customHeight="1">
      <c r="A24" s="689" t="inlineStr">
        <is>
          <t>Crop Insurance Premium</t>
        </is>
      </c>
      <c r="B24" s="77" t="n"/>
      <c r="C24" s="891" t="n">
        <v>10.93624635765752</v>
      </c>
      <c r="D24" s="31" t="n"/>
      <c r="E24" s="37" t="n"/>
      <c r="G24" s="696">
        <f>C24</f>
        <v/>
      </c>
    </row>
    <row r="25" ht="16" customHeight="1">
      <c r="A25" s="689" t="inlineStr">
        <is>
          <t>Hail Insurance Premium</t>
        </is>
      </c>
      <c r="B25" s="77" t="n"/>
      <c r="C25" s="891" t="n">
        <v>14</v>
      </c>
      <c r="D25" s="31" t="n"/>
      <c r="E25" s="37" t="n"/>
      <c r="G25" s="696">
        <f>C25</f>
        <v/>
      </c>
    </row>
    <row r="26" ht="16" customHeight="1">
      <c r="A26" s="689" t="inlineStr">
        <is>
          <t>Utilities and Miscellaneous</t>
        </is>
      </c>
      <c r="B26" s="75" t="n"/>
      <c r="C26" s="712" t="n">
        <v>4.395974170413743</v>
      </c>
      <c r="D26" s="31" t="n"/>
      <c r="E26" s="37" t="n"/>
      <c r="G26" s="696">
        <f>C26</f>
        <v/>
      </c>
    </row>
    <row r="27" ht="16" customHeight="1" thickBot="1">
      <c r="A27" s="689" t="inlineStr">
        <is>
          <t>Interest on Variable Expenses</t>
        </is>
      </c>
      <c r="B27" s="74" t="n"/>
      <c r="C27" s="878" t="n">
        <v>12.97803706185352</v>
      </c>
      <c r="D27" s="31" t="n"/>
      <c r="E27" s="37" t="n"/>
      <c r="G27" s="696">
        <f>C27</f>
        <v/>
      </c>
    </row>
    <row r="28" ht="16" customHeight="1" thickBot="1">
      <c r="A28" s="70" t="inlineStr">
        <is>
          <t>Total Variable Expenses (D)</t>
        </is>
      </c>
      <c r="B28" s="78">
        <f>SUM(B13:B27)</f>
        <v/>
      </c>
      <c r="C28" s="91">
        <f>SUM(C13:C27)</f>
        <v/>
      </c>
      <c r="D28" s="31" t="n"/>
      <c r="E28" s="37" t="n"/>
      <c r="G28" s="43">
        <f>SUM(G13:G27)</f>
        <v/>
      </c>
    </row>
    <row r="29">
      <c r="A29" s="67" t="n"/>
      <c r="B29" s="72" t="n"/>
      <c r="C29" s="350" t="n"/>
      <c r="D29" s="31" t="n"/>
      <c r="E29" s="37" t="n"/>
      <c r="G29" s="410" t="n"/>
    </row>
    <row r="30" ht="16" customHeight="1">
      <c r="A30" s="73" t="inlineStr">
        <is>
          <t>Other Expenses/acre</t>
        </is>
      </c>
      <c r="B30" s="72" t="n"/>
      <c r="C30" s="295" t="n"/>
      <c r="D30" s="31" t="n"/>
      <c r="E30" s="37" t="n"/>
      <c r="G30" s="410" t="n"/>
    </row>
    <row r="31" ht="16" customHeight="1">
      <c r="A31" s="689" t="inlineStr">
        <is>
          <t>Building Repair</t>
        </is>
      </c>
      <c r="B31" s="722" t="n"/>
      <c r="C31" s="723" t="n">
        <v>0.7445684561908097</v>
      </c>
      <c r="D31" s="31" t="n"/>
      <c r="E31" s="37" t="n"/>
      <c r="G31" s="726">
        <f>C31</f>
        <v/>
      </c>
    </row>
    <row r="32" ht="16" customHeight="1">
      <c r="A32" s="689" t="inlineStr">
        <is>
          <t>Property Taxes</t>
        </is>
      </c>
      <c r="B32" s="727" t="n"/>
      <c r="C32" s="728" t="n">
        <v>5.076533574707355</v>
      </c>
      <c r="D32" s="31" t="n"/>
      <c r="E32" s="37" t="n"/>
      <c r="G32" s="726">
        <f>C32</f>
        <v/>
      </c>
    </row>
    <row r="33" ht="16" customHeight="1">
      <c r="A33" s="689" t="inlineStr">
        <is>
          <t>Business Overhead</t>
        </is>
      </c>
      <c r="B33" s="731" t="n"/>
      <c r="C33" s="723" t="n">
        <v>2.607474711623781</v>
      </c>
      <c r="D33" s="31" t="n"/>
      <c r="E33" s="37" t="n"/>
      <c r="G33" s="726">
        <f>C33</f>
        <v/>
      </c>
    </row>
    <row r="34" ht="16" customHeight="1">
      <c r="A34" s="689" t="inlineStr">
        <is>
          <t>Machinery Depreciation</t>
        </is>
      </c>
      <c r="B34" s="732" t="n"/>
      <c r="C34" s="728" t="n">
        <v>47.58737925414436</v>
      </c>
      <c r="D34" s="31" t="n"/>
      <c r="E34" s="37" t="n"/>
      <c r="G34" s="726">
        <f>C34</f>
        <v/>
      </c>
    </row>
    <row r="35" ht="16" customHeight="1">
      <c r="A35" s="689" t="inlineStr">
        <is>
          <t>Building Depreciation</t>
        </is>
      </c>
      <c r="B35" s="722" t="n"/>
      <c r="C35" s="723" t="n">
        <v>1.45</v>
      </c>
      <c r="D35" s="31" t="n"/>
      <c r="E35" s="37" t="n"/>
      <c r="G35" s="726">
        <f>C35</f>
        <v/>
      </c>
    </row>
    <row r="36" ht="16" customHeight="1">
      <c r="A36" s="689" t="inlineStr">
        <is>
          <t>Machinery Investment</t>
        </is>
      </c>
      <c r="B36" s="732" t="n"/>
      <c r="C36" s="728" t="n">
        <v>30.02007569770789</v>
      </c>
      <c r="D36" s="31" t="n"/>
      <c r="E36" s="37" t="n"/>
      <c r="G36" s="726">
        <f>C36</f>
        <v/>
      </c>
    </row>
    <row r="37" ht="16" customHeight="1">
      <c r="A37" s="689" t="inlineStr">
        <is>
          <t>Building Investment</t>
        </is>
      </c>
      <c r="B37" s="722" t="n"/>
      <c r="C37" s="723" t="n">
        <v>1.326266666666666</v>
      </c>
      <c r="D37" s="31" t="n"/>
      <c r="E37" s="37" t="n"/>
      <c r="G37" s="726">
        <f>C37</f>
        <v/>
      </c>
    </row>
    <row r="38" ht="16" customHeight="1" thickBot="1">
      <c r="A38" s="689" t="inlineStr">
        <is>
          <t>Land Investment</t>
        </is>
      </c>
      <c r="B38" s="727" t="n"/>
      <c r="C38" s="892" t="n">
        <v>70.10399999999998</v>
      </c>
      <c r="D38" s="31" t="n"/>
      <c r="E38" s="37" t="n"/>
      <c r="G38" s="726">
        <f>C38</f>
        <v/>
      </c>
    </row>
    <row r="39" ht="16" customHeight="1" thickBot="1">
      <c r="A39" s="70" t="inlineStr">
        <is>
          <t>Total Other Expenses (E)</t>
        </is>
      </c>
      <c r="B39" s="133">
        <f>SUM(B31:B38)</f>
        <v/>
      </c>
      <c r="C39" s="102">
        <f>SUM(C31:C38)</f>
        <v/>
      </c>
      <c r="D39" s="31" t="n"/>
      <c r="E39" s="37" t="n"/>
      <c r="G39" s="43">
        <f>SUM(G31:G38)</f>
        <v/>
      </c>
    </row>
    <row r="40" ht="16" customHeight="1" thickBot="1">
      <c r="A40" s="689" t="inlineStr">
        <is>
          <t>Labour and Management (F)*</t>
        </is>
      </c>
      <c r="B40" s="125" t="n"/>
      <c r="C40" s="390" t="n"/>
      <c r="D40" s="31" t="n"/>
      <c r="E40" s="37" t="n"/>
      <c r="G40" s="410" t="n"/>
    </row>
    <row r="41" ht="16" customHeight="1" thickBot="1">
      <c r="A41" s="89" t="inlineStr">
        <is>
          <t xml:space="preserve">Total Expenses (D+E+F)=(G) </t>
        </is>
      </c>
      <c r="B41" s="133">
        <f>B28+B39+B40</f>
        <v/>
      </c>
      <c r="C41" s="380">
        <f>C28+C39+C40</f>
        <v/>
      </c>
      <c r="D41" s="31" t="n"/>
      <c r="E41" s="37" t="n"/>
      <c r="G41" s="43">
        <f>G28+G39+G40</f>
        <v/>
      </c>
    </row>
    <row r="42" ht="16" customHeight="1" thickBot="1">
      <c r="A42" s="46" t="n"/>
      <c r="B42" s="135" t="n"/>
      <c r="C42" s="17" t="n"/>
      <c r="D42" s="31" t="n"/>
      <c r="E42" s="37" t="n"/>
      <c r="G42" s="410" t="n"/>
    </row>
    <row r="43" ht="16" customHeight="1">
      <c r="A43" s="47" t="inlineStr">
        <is>
          <t>RETURNS PER ACRE</t>
        </is>
      </c>
      <c r="B43" s="136" t="n"/>
      <c r="C43" s="58" t="n"/>
      <c r="D43" s="31" t="n"/>
      <c r="E43" s="37" t="n"/>
      <c r="G43" s="411" t="n"/>
    </row>
    <row r="44" ht="16" customHeight="1">
      <c r="A44" s="49" t="inlineStr">
        <is>
          <t xml:space="preserve"> Return over Variable Expenses (C-D) </t>
        </is>
      </c>
      <c r="B44" s="99">
        <f>B9-B28</f>
        <v/>
      </c>
      <c r="C44" s="400">
        <f>C9-C28</f>
        <v/>
      </c>
      <c r="D44" s="31" t="n"/>
      <c r="E44" s="37" t="n"/>
      <c r="G44" s="99">
        <f>G9-G28</f>
        <v/>
      </c>
    </row>
    <row r="45" ht="16" customHeight="1" thickBot="1">
      <c r="A45" s="737" t="inlineStr">
        <is>
          <t xml:space="preserve"> Return over Total Expenses (C-G)</t>
        </is>
      </c>
      <c r="B45" s="100">
        <f>B9-B41</f>
        <v/>
      </c>
      <c r="C45" s="401">
        <f>C9-C41</f>
        <v/>
      </c>
      <c r="D45" s="31" t="n"/>
      <c r="E45" s="37" t="n"/>
      <c r="G45" s="100">
        <f>G9-G41</f>
        <v/>
      </c>
    </row>
    <row r="46" ht="16" customHeight="1" thickBot="1">
      <c r="A46" s="32" t="n"/>
      <c r="B46" s="135" t="n"/>
      <c r="C46" s="17" t="n"/>
      <c r="D46" s="31" t="n"/>
      <c r="E46" s="37" t="n"/>
      <c r="G46" s="410" t="n"/>
    </row>
    <row r="47" ht="16" customHeight="1">
      <c r="A47" s="96" t="inlineStr">
        <is>
          <t>BREAK-EVEN YIELD (lbs./ac.)</t>
        </is>
      </c>
      <c r="B47" s="137" t="n"/>
      <c r="C47" s="551" t="n"/>
      <c r="D47" s="31" t="n"/>
      <c r="E47" s="37" t="n"/>
      <c r="G47" s="411" t="n"/>
    </row>
    <row r="48" ht="16" customHeight="1">
      <c r="A48" s="73" t="inlineStr">
        <is>
          <t>To Cover Variable Expenses</t>
        </is>
      </c>
      <c r="B48" s="163">
        <f>ROUND((B28)/B8,2)</f>
        <v/>
      </c>
      <c r="C48" s="549">
        <f>ROUND((C28)/C8,2)</f>
        <v/>
      </c>
      <c r="D48" s="31" t="n"/>
      <c r="E48" s="37" t="n"/>
      <c r="G48" s="163">
        <f>ROUND((G28)/G8,2)</f>
        <v/>
      </c>
    </row>
    <row r="49" ht="16" customHeight="1" thickBot="1">
      <c r="A49" s="164" t="inlineStr">
        <is>
          <t>To Cover Total Expenses</t>
        </is>
      </c>
      <c r="B49" s="166">
        <f>ROUND(B41/B8,2)</f>
        <v/>
      </c>
      <c r="C49" s="552">
        <f>ROUND(C41/C8,2)</f>
        <v/>
      </c>
      <c r="D49" s="31" t="n"/>
      <c r="E49" s="37" t="n"/>
      <c r="G49" s="166">
        <f>ROUND(G41/G8,2)</f>
        <v/>
      </c>
    </row>
    <row r="50" ht="16" customHeight="1" thickBot="1">
      <c r="A50" s="73" t="n"/>
      <c r="B50" s="860" t="n"/>
      <c r="C50" s="896" t="n"/>
      <c r="D50" s="31" t="n"/>
      <c r="E50" s="37" t="n"/>
      <c r="G50" s="410" t="n"/>
    </row>
    <row r="51" ht="16" customHeight="1">
      <c r="A51" s="96" t="inlineStr">
        <is>
          <t>BREAK-EVEN PRICE ($/lb.)</t>
        </is>
      </c>
      <c r="B51" s="137" t="n"/>
      <c r="C51" s="551" t="n"/>
      <c r="D51" s="31" t="n"/>
      <c r="E51" s="37" t="n"/>
      <c r="G51" s="411" t="n"/>
    </row>
    <row r="52" ht="16" customHeight="1">
      <c r="A52" s="73" t="inlineStr">
        <is>
          <t>To Cover Variable Expenses</t>
        </is>
      </c>
      <c r="B52" s="99">
        <f>ROUND((B28)/B7,2)</f>
        <v/>
      </c>
      <c r="C52" s="400">
        <f>ROUND((C28)/C7,2)</f>
        <v/>
      </c>
      <c r="D52" s="31" t="n"/>
      <c r="E52" s="37" t="n"/>
      <c r="G52" s="99">
        <f>ROUND((G28)/G7,2)</f>
        <v/>
      </c>
    </row>
    <row r="53" ht="16" customHeight="1" thickBot="1">
      <c r="A53" s="164" t="inlineStr">
        <is>
          <t>To Cover Total Expenses</t>
        </is>
      </c>
      <c r="B53" s="100">
        <f>ROUND(B41/B7,2)</f>
        <v/>
      </c>
      <c r="C53" s="401">
        <f>ROUND(C41/C7,2)</f>
        <v/>
      </c>
      <c r="D53" s="31" t="n"/>
      <c r="E53" s="37" t="n"/>
      <c r="G53" s="100">
        <f>ROUND(G41/G7,2)</f>
        <v/>
      </c>
    </row>
    <row r="54" ht="16" customHeight="1" thickBot="1">
      <c r="A54" s="168" t="n"/>
      <c r="B54" s="17" t="n"/>
      <c r="C54" s="17" t="n"/>
      <c r="D54" s="31" t="n"/>
    </row>
    <row r="55" ht="16" customHeight="1">
      <c r="A55" s="47" t="inlineStr">
        <is>
          <t>YIELD SENSITIVITY (same expenses but average yield)</t>
        </is>
      </c>
      <c r="B55" s="64" t="n"/>
      <c r="C55" s="408" t="n"/>
      <c r="D55" s="31" t="n"/>
    </row>
    <row r="56" ht="16" customHeight="1">
      <c r="A56" s="170" t="inlineStr">
        <is>
          <t>Provincial average yield (lb./ac)</t>
        </is>
      </c>
      <c r="B56" s="65" t="n"/>
      <c r="C56" s="549">
        <f>G7</f>
        <v/>
      </c>
      <c r="D56" s="31" t="n"/>
    </row>
    <row r="57" ht="16" customHeight="1">
      <c r="A57" s="170" t="inlineStr">
        <is>
          <t xml:space="preserve"> Return over Variable Expenses </t>
        </is>
      </c>
      <c r="B57" s="65" t="n"/>
      <c r="C57" s="17">
        <f>G44</f>
        <v/>
      </c>
      <c r="D57" s="31" t="n"/>
    </row>
    <row r="58" ht="16" customHeight="1" thickBot="1">
      <c r="A58" s="845" t="inlineStr">
        <is>
          <t xml:space="preserve"> Return over Total Expenses </t>
        </is>
      </c>
      <c r="B58" s="66" t="n"/>
      <c r="C58" s="409">
        <f>G45</f>
        <v/>
      </c>
      <c r="D58" s="750" t="n"/>
    </row>
    <row r="59" ht="16" customHeight="1">
      <c r="A59" s="22" t="inlineStr">
        <is>
          <t>*Farm managers need to determine their own actual labour and management costs and add it to total expenses.</t>
        </is>
      </c>
      <c r="B59" s="24" t="n"/>
      <c r="C59" s="24" t="n"/>
    </row>
    <row r="60">
      <c r="A60" s="24" t="n"/>
      <c r="B60" s="24" t="n"/>
      <c r="C60" s="24" t="n"/>
    </row>
    <row r="61" ht="16" customHeight="1">
      <c r="A61" s="24" t="n"/>
      <c r="B61" s="24" t="n"/>
      <c r="C61" s="429" t="n"/>
    </row>
    <row r="62" ht="16" customHeight="1">
      <c r="A62" s="57" t="n"/>
      <c r="B62" s="56" t="n"/>
    </row>
    <row r="63" ht="16" customHeight="1">
      <c r="A63" s="57" t="n"/>
      <c r="B63" s="56" t="n"/>
      <c r="C63" s="56" t="n"/>
    </row>
  </sheetData>
  <mergeCells count="1">
    <mergeCell ref="D3:D58"/>
  </mergeCells>
  <pageMargins left="0.7" right="0.7" top="0.75" bottom="0.75" header="0.3" footer="0.3"/>
  <pageSetup orientation="portrait"/>
</worksheet>
</file>

<file path=xl/worksheets/sheet23.xml><?xml version="1.0" encoding="utf-8"?>
<worksheet xmlns="http://schemas.openxmlformats.org/spreadsheetml/2006/main">
  <sheetPr>
    <outlinePr summaryBelow="1" summaryRight="1"/>
    <pageSetUpPr/>
  </sheetPr>
  <dimension ref="A1:G63"/>
  <sheetViews>
    <sheetView showGridLines="0" topLeftCell="A30" workbookViewId="0">
      <selection activeCell="C28" sqref="C28"/>
    </sheetView>
  </sheetViews>
  <sheetFormatPr baseColWidth="8" defaultRowHeight="16" customHeight="1"/>
  <cols>
    <col width="55.7109375" customWidth="1" min="1" max="1"/>
    <col width="13.85546875" bestFit="1" customWidth="1" min="2" max="2"/>
    <col width="25.28515625" customWidth="1" min="3" max="3"/>
    <col width="50.140625" customWidth="1" min="4" max="4"/>
    <col width="12.28515625" customWidth="1" min="7" max="7"/>
  </cols>
  <sheetData>
    <row r="1" ht="16" customHeight="1">
      <c r="A1" s="23" t="inlineStr">
        <is>
          <t>CHICKPEAS PRODUCTION COSTS ($/ACRE) FOR SASKATCHEWAN 2026</t>
        </is>
      </c>
      <c r="B1" s="23" t="n"/>
      <c r="C1" s="23" t="n"/>
      <c r="D1" s="24" t="n"/>
    </row>
    <row r="2" ht="16" customHeight="1" thickBot="1">
      <c r="A2" s="25" t="n"/>
      <c r="B2" s="25" t="n"/>
      <c r="C2" s="25" t="inlineStr">
        <is>
          <t>Economics</t>
        </is>
      </c>
      <c r="D2" s="25" t="inlineStr">
        <is>
          <t>Agronomics</t>
        </is>
      </c>
    </row>
    <row r="3" ht="16" customHeight="1" thickBot="1">
      <c r="A3" s="179" t="inlineStr">
        <is>
          <t>CROP</t>
        </is>
      </c>
      <c r="B3" s="279" t="n"/>
      <c r="C3" s="675" t="inlineStr">
        <is>
          <t>#1-7mm Kabuli Chickpea</t>
        </is>
      </c>
      <c r="D3" s="836" t="inlineStr">
        <is>
          <t xml:space="preserve">Seeding: A seed rate of 109 lb./ac. is used. The brown soil zone is recommended.
Fertilization: Inoculant with the correct strains of rhizobium should be applied. Fertility cost is based on nutrient removal rates given the targeted crop yield. These are 6 lb./ac. N and 28 lb./ac. P2O5. Producers are encouraged to use their own rates based on soil tests. 
Crop Rotation: Crop rotation can be used to reduce disease pressure. 
Crop Protection                                                      Insect control: Wireworms, cutworms, pea aphid, potato leafhopper and grasshoppers might require control. Seed treatments are available for wireworm control. 
Disease control: Ascochyta blight is a foliar disease that can result in yield losses when environmental conditions favour disease development. When disease pressure is high, more than one fungicide application may be required. Two fungicide applications are included in this estimate. Fungicide application decisions should be based on disease risk during the growing season. 
Weed control: Herbicide costs are based on the following herbicide timings. Please refer to general assumptions for details.  Please insert Herbicide application window. 
</t>
        </is>
      </c>
    </row>
    <row r="4" ht="16" customHeight="1" thickBot="1">
      <c r="A4" s="180" t="n"/>
      <c r="B4" s="677" t="inlineStr">
        <is>
          <t>My Farm</t>
        </is>
      </c>
      <c r="C4" s="678" t="inlineStr">
        <is>
          <t>80th percentile</t>
        </is>
      </c>
      <c r="D4" s="31" t="n"/>
      <c r="G4" s="262" t="inlineStr">
        <is>
          <t>Average Yield</t>
        </is>
      </c>
    </row>
    <row r="5" ht="16" customHeight="1" thickBot="1">
      <c r="A5" s="886" t="inlineStr">
        <is>
          <t>Soil Zone</t>
        </is>
      </c>
      <c r="B5" s="887" t="inlineStr">
        <is>
          <t>Brown</t>
        </is>
      </c>
      <c r="C5" s="893" t="inlineStr">
        <is>
          <t>Brown</t>
        </is>
      </c>
      <c r="D5" s="31" t="n"/>
      <c r="G5" s="889" t="inlineStr">
        <is>
          <t>Brown</t>
        </is>
      </c>
    </row>
    <row r="6" ht="16" customHeight="1">
      <c r="A6" s="96" t="inlineStr">
        <is>
          <t>REVENUE PER ACRE</t>
        </is>
      </c>
      <c r="B6" s="123" t="n"/>
      <c r="C6" s="345" t="n"/>
      <c r="D6" s="31" t="n"/>
      <c r="G6" s="31" t="n"/>
    </row>
    <row r="7" ht="16" customHeight="1">
      <c r="A7" s="689" t="inlineStr">
        <is>
          <t>Target Yield (lb./ac.) (A)</t>
        </is>
      </c>
      <c r="B7" s="120" t="n"/>
      <c r="C7" s="897" t="n">
        <v>1860.7014744</v>
      </c>
      <c r="D7" s="31" t="n"/>
      <c r="E7" s="37" t="n"/>
      <c r="G7" s="865" t="n">
        <v>1448.641200306041</v>
      </c>
    </row>
    <row r="8" ht="16" customHeight="1" thickBot="1">
      <c r="A8" s="689" t="inlineStr">
        <is>
          <t>Est. Farm Gate Price $/lb. (B)</t>
        </is>
      </c>
      <c r="B8" s="121" t="n"/>
      <c r="C8" s="713" t="n">
        <v>0.26</v>
      </c>
      <c r="D8" s="31" t="n"/>
      <c r="E8" s="37" t="n"/>
      <c r="G8" s="898">
        <f>C8</f>
        <v/>
      </c>
    </row>
    <row r="9" ht="16" customHeight="1" thickBot="1">
      <c r="A9" s="70" t="inlineStr">
        <is>
          <t>Estimated Gross Revenue/ac (AxB)=C</t>
        </is>
      </c>
      <c r="B9" s="158">
        <f>ROUND((B8*B7),2)</f>
        <v/>
      </c>
      <c r="C9" s="550">
        <f>ROUND((C8*C7),2)</f>
        <v/>
      </c>
      <c r="D9" s="31" t="n"/>
      <c r="E9" s="37" t="n"/>
      <c r="G9" s="40">
        <f>ROUND((G8*G7),2)</f>
        <v/>
      </c>
    </row>
    <row r="10">
      <c r="A10" s="67" t="n"/>
      <c r="B10" s="119" t="n"/>
      <c r="C10" s="359" t="n"/>
      <c r="D10" s="31" t="n"/>
      <c r="E10" s="37" t="n"/>
      <c r="G10" s="332" t="n"/>
    </row>
    <row r="11" ht="16" customHeight="1" thickBot="1">
      <c r="A11" s="73" t="inlineStr">
        <is>
          <t>EXPENSES PER ACRE</t>
        </is>
      </c>
      <c r="B11" s="119" t="n"/>
      <c r="C11" s="359" t="n"/>
      <c r="D11" s="31" t="n"/>
      <c r="E11" s="37" t="n"/>
      <c r="G11" s="332" t="n"/>
    </row>
    <row r="12" ht="16" customHeight="1">
      <c r="A12" s="96" t="inlineStr">
        <is>
          <t>Variable Expenses/acre</t>
        </is>
      </c>
      <c r="B12" s="86" t="n"/>
      <c r="C12" s="350" t="n"/>
      <c r="D12" s="31" t="n"/>
      <c r="E12" s="37" t="n"/>
      <c r="G12" s="410" t="n"/>
    </row>
    <row r="13" ht="16" customHeight="1">
      <c r="A13" s="689" t="inlineStr">
        <is>
          <t>Seed</t>
        </is>
      </c>
      <c r="B13" s="74" t="n"/>
      <c r="C13" s="703" t="n">
        <v>43.6</v>
      </c>
      <c r="D13" s="31" t="n"/>
      <c r="E13" s="37" t="n"/>
      <c r="G13" s="696">
        <f>C13</f>
        <v/>
      </c>
    </row>
    <row r="14" ht="16" customHeight="1">
      <c r="A14" s="689" t="inlineStr">
        <is>
          <t xml:space="preserve">                     -Seed Treatments/Inoculants</t>
        </is>
      </c>
      <c r="B14" s="74" t="n"/>
      <c r="C14" s="703" t="n">
        <v>6.48204452467999</v>
      </c>
      <c r="D14" s="31" t="n"/>
      <c r="E14" s="37" t="n"/>
      <c r="G14" s="696">
        <f>C14</f>
        <v/>
      </c>
    </row>
    <row r="15" ht="16" customHeight="1">
      <c r="A15" s="689" t="inlineStr">
        <is>
          <t>Fertilizer -Nitrogen (N)</t>
        </is>
      </c>
      <c r="B15" s="74" t="n"/>
      <c r="C15" s="706" t="n">
        <v>4.91201767537284</v>
      </c>
      <c r="D15" s="31" t="n"/>
      <c r="E15" s="37" t="n"/>
      <c r="G15" s="696">
        <f>C15</f>
        <v/>
      </c>
    </row>
    <row r="16" ht="16" customHeight="1">
      <c r="A16" s="689" t="inlineStr">
        <is>
          <t xml:space="preserve">               -Phosphorous (P2O5)</t>
        </is>
      </c>
      <c r="B16" s="74" t="n"/>
      <c r="C16" s="706" t="n">
        <v>26.9113924818967</v>
      </c>
      <c r="D16" s="31" t="n"/>
      <c r="E16" s="37" t="n"/>
      <c r="G16" s="696">
        <f>C16</f>
        <v/>
      </c>
    </row>
    <row r="17" ht="16" customHeight="1">
      <c r="A17" s="689" t="inlineStr">
        <is>
          <t xml:space="preserve">               -Sulphur and Other</t>
        </is>
      </c>
      <c r="B17" s="75" t="n"/>
      <c r="C17" s="709" t="n">
        <v>0</v>
      </c>
      <c r="D17" s="31" t="n"/>
      <c r="E17" s="37" t="n"/>
      <c r="G17" s="696">
        <f>C17</f>
        <v/>
      </c>
    </row>
    <row r="18" ht="16" customHeight="1">
      <c r="A18" s="689" t="inlineStr">
        <is>
          <t>Plant Protection -Herbicides</t>
        </is>
      </c>
      <c r="B18" s="74" t="n"/>
      <c r="C18" s="703" t="n">
        <v>96.42602619292596</v>
      </c>
      <c r="D18" s="31" t="n"/>
      <c r="E18" s="37" t="n"/>
      <c r="G18" s="696">
        <f>C18</f>
        <v/>
      </c>
    </row>
    <row r="19" ht="16" customHeight="1">
      <c r="A19" s="689" t="inlineStr">
        <is>
          <t xml:space="preserve">                     -Insecticides</t>
        </is>
      </c>
      <c r="B19" s="74" t="n"/>
      <c r="C19" s="703" t="n">
        <v>6.4684</v>
      </c>
      <c r="D19" s="31" t="n"/>
      <c r="E19" s="37" t="n"/>
      <c r="G19" s="696">
        <f>C19</f>
        <v/>
      </c>
    </row>
    <row r="20" ht="16" customHeight="1">
      <c r="A20" s="689" t="inlineStr">
        <is>
          <t xml:space="preserve">                     -Fungicides</t>
        </is>
      </c>
      <c r="B20" s="74" t="n"/>
      <c r="C20" s="703" t="n">
        <v>22.41</v>
      </c>
      <c r="D20" s="31" t="n"/>
      <c r="E20" s="37" t="n"/>
      <c r="G20" s="696">
        <f>C20</f>
        <v/>
      </c>
    </row>
    <row r="21" ht="16" customHeight="1">
      <c r="A21" s="689" t="inlineStr">
        <is>
          <t>Machinery Operating -Fuel</t>
        </is>
      </c>
      <c r="B21" s="75" t="n"/>
      <c r="C21" s="712" t="n">
        <v>25.98231881666667</v>
      </c>
      <c r="D21" s="31" t="n"/>
      <c r="E21" s="37" t="n"/>
      <c r="G21" s="696">
        <f>C21</f>
        <v/>
      </c>
    </row>
    <row r="22" ht="16" customHeight="1">
      <c r="A22" s="689" t="inlineStr">
        <is>
          <t xml:space="preserve">                                  -Repair</t>
        </is>
      </c>
      <c r="B22" s="74" t="n"/>
      <c r="C22" s="703" t="n">
        <v>11.56328841689489</v>
      </c>
      <c r="D22" s="31" t="n"/>
      <c r="E22" s="37" t="n"/>
      <c r="G22" s="696">
        <f>C22</f>
        <v/>
      </c>
    </row>
    <row r="23" ht="16" customHeight="1">
      <c r="A23" s="689" t="inlineStr">
        <is>
          <t>Custom Work and Hired Labour</t>
        </is>
      </c>
      <c r="B23" s="74" t="n"/>
      <c r="C23" s="703" t="n">
        <v>21</v>
      </c>
      <c r="D23" s="31" t="n"/>
      <c r="E23" s="37" t="n"/>
      <c r="G23" s="696">
        <f>C23</f>
        <v/>
      </c>
    </row>
    <row r="24" ht="16" customHeight="1">
      <c r="A24" s="689" t="inlineStr">
        <is>
          <t>Crop Insurance Premium</t>
        </is>
      </c>
      <c r="B24" s="77" t="n"/>
      <c r="C24" s="891" t="n">
        <v>16.17642038664961</v>
      </c>
      <c r="D24" s="31" t="n"/>
      <c r="E24" s="37" t="n"/>
      <c r="G24" s="696">
        <f>C24</f>
        <v/>
      </c>
    </row>
    <row r="25" ht="16" customHeight="1">
      <c r="A25" s="689" t="inlineStr">
        <is>
          <t>Hail Insurance Premium</t>
        </is>
      </c>
      <c r="B25" s="77" t="n"/>
      <c r="C25" s="891" t="n">
        <v>14</v>
      </c>
      <c r="D25" s="31" t="n"/>
      <c r="E25" s="37" t="n"/>
      <c r="G25" s="696">
        <f>C25</f>
        <v/>
      </c>
    </row>
    <row r="26" ht="16" customHeight="1">
      <c r="A26" s="689" t="inlineStr">
        <is>
          <t>Utilities and Miscellaneous</t>
        </is>
      </c>
      <c r="B26" s="75" t="n"/>
      <c r="C26" s="712" t="n">
        <v>4.395974170413743</v>
      </c>
      <c r="D26" s="31" t="n"/>
      <c r="E26" s="37" t="n"/>
      <c r="G26" s="696">
        <f>C26</f>
        <v/>
      </c>
    </row>
    <row r="27" ht="16" customHeight="1" thickBot="1">
      <c r="A27" s="689" t="inlineStr">
        <is>
          <t>Interest on Variable Expenses</t>
        </is>
      </c>
      <c r="B27" s="74" t="n"/>
      <c r="C27" s="878" t="n">
        <v>11.37241582360028</v>
      </c>
      <c r="D27" s="31" t="n"/>
      <c r="E27" s="37" t="n"/>
      <c r="G27" s="696">
        <f>C27</f>
        <v/>
      </c>
    </row>
    <row r="28" ht="16" customHeight="1" thickBot="1">
      <c r="A28" s="70" t="inlineStr">
        <is>
          <t>Total Variable Expenses (D)</t>
        </is>
      </c>
      <c r="B28" s="78">
        <f>SUM(B13:B27)</f>
        <v/>
      </c>
      <c r="C28" s="91">
        <f>SUM(C13:C27)</f>
        <v/>
      </c>
      <c r="D28" s="31" t="n"/>
      <c r="E28" s="37" t="n"/>
      <c r="G28" s="43">
        <f>SUM(G13:G27)</f>
        <v/>
      </c>
    </row>
    <row r="29">
      <c r="A29" s="67" t="n"/>
      <c r="B29" s="72" t="n"/>
      <c r="C29" s="350" t="n"/>
      <c r="D29" s="31" t="n"/>
      <c r="E29" s="37" t="n"/>
      <c r="G29" s="410" t="n"/>
    </row>
    <row r="30" ht="16" customHeight="1">
      <c r="A30" s="73" t="inlineStr">
        <is>
          <t>Other Expenses/acre</t>
        </is>
      </c>
      <c r="B30" s="72" t="n"/>
      <c r="C30" s="295" t="n"/>
      <c r="D30" s="31" t="n"/>
      <c r="E30" s="37" t="n"/>
      <c r="G30" s="410" t="n"/>
    </row>
    <row r="31" ht="16" customHeight="1">
      <c r="A31" s="689" t="inlineStr">
        <is>
          <t>Building Repair</t>
        </is>
      </c>
      <c r="B31" s="722" t="n"/>
      <c r="C31" s="723" t="n">
        <v>0.7445684561908097</v>
      </c>
      <c r="D31" s="31" t="n"/>
      <c r="E31" s="37" t="n"/>
      <c r="G31" s="726">
        <f>C31</f>
        <v/>
      </c>
    </row>
    <row r="32" ht="16" customHeight="1">
      <c r="A32" s="689" t="inlineStr">
        <is>
          <t>Property Taxes</t>
        </is>
      </c>
      <c r="B32" s="727" t="n"/>
      <c r="C32" s="728" t="n">
        <v>5.076533574707355</v>
      </c>
      <c r="D32" s="31" t="n"/>
      <c r="E32" s="37" t="n"/>
      <c r="G32" s="726">
        <f>C32</f>
        <v/>
      </c>
    </row>
    <row r="33" ht="16" customHeight="1">
      <c r="A33" s="689" t="inlineStr">
        <is>
          <t>Business Overhead</t>
        </is>
      </c>
      <c r="B33" s="731" t="n"/>
      <c r="C33" s="723" t="n">
        <v>2.607474711623781</v>
      </c>
      <c r="D33" s="31" t="n"/>
      <c r="E33" s="37" t="n"/>
      <c r="G33" s="726">
        <f>C33</f>
        <v/>
      </c>
    </row>
    <row r="34" ht="16" customHeight="1">
      <c r="A34" s="689" t="inlineStr">
        <is>
          <t>Machinery Depreciation</t>
        </is>
      </c>
      <c r="B34" s="732" t="n"/>
      <c r="C34" s="728" t="n">
        <v>47.58737925414436</v>
      </c>
      <c r="D34" s="31" t="n"/>
      <c r="E34" s="37" t="n"/>
      <c r="G34" s="726">
        <f>C34</f>
        <v/>
      </c>
    </row>
    <row r="35" ht="16" customHeight="1">
      <c r="A35" s="689" t="inlineStr">
        <is>
          <t>Building Depreciation</t>
        </is>
      </c>
      <c r="B35" s="722" t="n"/>
      <c r="C35" s="723" t="n">
        <v>1.45</v>
      </c>
      <c r="D35" s="31" t="n"/>
      <c r="E35" s="37" t="n"/>
      <c r="G35" s="726">
        <f>C35</f>
        <v/>
      </c>
    </row>
    <row r="36" ht="16" customHeight="1">
      <c r="A36" s="689" t="inlineStr">
        <is>
          <t>Machinery Investment</t>
        </is>
      </c>
      <c r="B36" s="732" t="n"/>
      <c r="C36" s="728" t="n">
        <v>30.02007569770789</v>
      </c>
      <c r="D36" s="31" t="n"/>
      <c r="E36" s="37" t="n"/>
      <c r="G36" s="726">
        <f>C36</f>
        <v/>
      </c>
    </row>
    <row r="37" ht="16" customHeight="1">
      <c r="A37" s="689" t="inlineStr">
        <is>
          <t>Building Investment</t>
        </is>
      </c>
      <c r="B37" s="722" t="n"/>
      <c r="C37" s="723" t="n">
        <v>1.42929</v>
      </c>
      <c r="D37" s="31" t="n"/>
      <c r="E37" s="37" t="n"/>
      <c r="G37" s="726">
        <f>C37</f>
        <v/>
      </c>
    </row>
    <row r="38" ht="16" customHeight="1" thickBot="1">
      <c r="A38" s="689" t="inlineStr">
        <is>
          <t>Land Investment</t>
        </is>
      </c>
      <c r="B38" s="727" t="n"/>
      <c r="C38" s="892" t="n">
        <v>70.10399999999998</v>
      </c>
      <c r="D38" s="31" t="n"/>
      <c r="E38" s="37" t="n"/>
      <c r="G38" s="726">
        <f>C38</f>
        <v/>
      </c>
    </row>
    <row r="39" ht="16" customHeight="1" thickBot="1">
      <c r="A39" s="70" t="inlineStr">
        <is>
          <t>Total Other Expenses (E)</t>
        </is>
      </c>
      <c r="B39" s="78">
        <f>SUM(B31:B38)</f>
        <v/>
      </c>
      <c r="C39" s="539">
        <f>SUM(C31:C38)</f>
        <v/>
      </c>
      <c r="D39" s="31" t="n"/>
      <c r="E39" s="37" t="n"/>
      <c r="G39" s="43">
        <f>SUM(G31:G38)</f>
        <v/>
      </c>
    </row>
    <row r="40" ht="16" customHeight="1" thickBot="1">
      <c r="A40" s="689" t="inlineStr">
        <is>
          <t>Labour and Management (F)*</t>
        </is>
      </c>
      <c r="B40" s="125" t="n"/>
      <c r="C40" s="390" t="n"/>
      <c r="D40" s="31" t="n"/>
      <c r="E40" s="37" t="n"/>
      <c r="G40" s="410" t="n"/>
    </row>
    <row r="41" ht="16" customHeight="1" thickBot="1">
      <c r="A41" s="89" t="inlineStr">
        <is>
          <t xml:space="preserve">Total Expenses (D+E+F)=(G) </t>
        </is>
      </c>
      <c r="B41" s="133">
        <f>B28+B39+B40</f>
        <v/>
      </c>
      <c r="C41" s="380">
        <f>C28+C39+C40</f>
        <v/>
      </c>
      <c r="D41" s="31" t="n"/>
      <c r="E41" s="37" t="n"/>
      <c r="G41" s="43">
        <f>G28+G39+G40</f>
        <v/>
      </c>
    </row>
    <row r="42" ht="16" customHeight="1" thickBot="1">
      <c r="A42" s="46" t="n"/>
      <c r="B42" s="135" t="n"/>
      <c r="C42" s="17" t="n"/>
      <c r="D42" s="31" t="n"/>
      <c r="E42" s="37" t="n"/>
      <c r="G42" s="410" t="n"/>
    </row>
    <row r="43" ht="16" customHeight="1">
      <c r="A43" s="47" t="inlineStr">
        <is>
          <t>RETURNS PER ACRE</t>
        </is>
      </c>
      <c r="B43" s="136" t="n"/>
      <c r="C43" s="58" t="n"/>
      <c r="D43" s="31" t="n"/>
      <c r="E43" s="37" t="n"/>
      <c r="G43" s="411" t="n"/>
    </row>
    <row r="44" ht="16" customHeight="1">
      <c r="A44" s="49" t="inlineStr">
        <is>
          <t xml:space="preserve"> Return over Variable Expenses (C-D) </t>
        </is>
      </c>
      <c r="B44" s="99">
        <f>B9-B28</f>
        <v/>
      </c>
      <c r="C44" s="400">
        <f>C9-C28</f>
        <v/>
      </c>
      <c r="D44" s="31" t="n"/>
      <c r="E44" s="37" t="n"/>
      <c r="G44" s="99">
        <f>G9-G28</f>
        <v/>
      </c>
    </row>
    <row r="45" ht="16" customHeight="1" thickBot="1">
      <c r="A45" s="737" t="inlineStr">
        <is>
          <t xml:space="preserve"> Return over Total Expenses (C-G)</t>
        </is>
      </c>
      <c r="B45" s="100">
        <f>B9-B41</f>
        <v/>
      </c>
      <c r="C45" s="401">
        <f>C9-C41</f>
        <v/>
      </c>
      <c r="D45" s="31" t="n"/>
      <c r="E45" s="37" t="n"/>
      <c r="G45" s="100">
        <f>G9-G41</f>
        <v/>
      </c>
    </row>
    <row r="46" ht="16" customHeight="1" thickBot="1">
      <c r="A46" s="32" t="n"/>
      <c r="B46" s="135" t="n"/>
      <c r="C46" s="17" t="n"/>
      <c r="D46" s="31" t="n"/>
      <c r="E46" s="37" t="n"/>
      <c r="G46" s="410" t="n"/>
    </row>
    <row r="47" ht="16" customHeight="1">
      <c r="A47" s="96" t="inlineStr">
        <is>
          <t>BREAK-EVEN YIELD (lbs./ac.)</t>
        </is>
      </c>
      <c r="B47" s="137" t="n"/>
      <c r="C47" s="551" t="n"/>
      <c r="D47" s="31" t="n"/>
      <c r="E47" s="37" t="n"/>
      <c r="G47" s="411" t="n"/>
    </row>
    <row r="48" ht="16" customHeight="1">
      <c r="A48" s="73" t="inlineStr">
        <is>
          <t>To Cover Variable Expenses</t>
        </is>
      </c>
      <c r="B48" s="162">
        <f>ROUND((B28)/B8,2)</f>
        <v/>
      </c>
      <c r="C48" s="549">
        <f>ROUND((C28)/C8,2)</f>
        <v/>
      </c>
      <c r="D48" s="31" t="n"/>
      <c r="E48" s="37" t="n"/>
      <c r="G48" s="163">
        <f>ROUND((G28)/G8,2)</f>
        <v/>
      </c>
    </row>
    <row r="49" ht="16" customHeight="1" thickBot="1">
      <c r="A49" s="164" t="inlineStr">
        <is>
          <t>To Cover Total Expenses</t>
        </is>
      </c>
      <c r="B49" s="165">
        <f>ROUND(B41/B8,2)</f>
        <v/>
      </c>
      <c r="C49" s="552">
        <f>ROUND(C41/C8,2)</f>
        <v/>
      </c>
      <c r="D49" s="31" t="n"/>
      <c r="E49" s="37" t="n"/>
      <c r="G49" s="166">
        <f>ROUND(G41/G8,2)</f>
        <v/>
      </c>
    </row>
    <row r="50" ht="16" customHeight="1" thickBot="1">
      <c r="A50" s="73" t="n"/>
      <c r="B50" s="860" t="n"/>
      <c r="C50" s="896" t="n"/>
      <c r="D50" s="31" t="n"/>
      <c r="E50" s="37" t="n"/>
      <c r="G50" s="410" t="n"/>
    </row>
    <row r="51" ht="16" customHeight="1">
      <c r="A51" s="96" t="inlineStr">
        <is>
          <t>BREAK-EVEN PRICE ($/lb.)</t>
        </is>
      </c>
      <c r="B51" s="137" t="n"/>
      <c r="C51" s="551" t="n"/>
      <c r="D51" s="31" t="n"/>
      <c r="E51" s="37" t="n"/>
      <c r="G51" s="411" t="n"/>
    </row>
    <row r="52" ht="16" customHeight="1">
      <c r="A52" s="73" t="inlineStr">
        <is>
          <t>To Cover Variable Expenses</t>
        </is>
      </c>
      <c r="B52" s="16">
        <f>ROUND((B28)/B7,2)</f>
        <v/>
      </c>
      <c r="C52" s="400">
        <f>ROUND((C28)/C7,2)</f>
        <v/>
      </c>
      <c r="D52" s="31" t="n"/>
      <c r="E52" s="37" t="n"/>
      <c r="G52" s="99">
        <f>ROUND((G28)/G7,2)</f>
        <v/>
      </c>
    </row>
    <row r="53" ht="16" customHeight="1" thickBot="1">
      <c r="A53" s="164" t="inlineStr">
        <is>
          <t>To Cover Total Expenses</t>
        </is>
      </c>
      <c r="B53" s="18">
        <f>ROUND(B41/B7,2)</f>
        <v/>
      </c>
      <c r="C53" s="401">
        <f>ROUND(C41/C7,2)</f>
        <v/>
      </c>
      <c r="D53" s="31" t="n"/>
      <c r="E53" s="37" t="n"/>
      <c r="G53" s="100">
        <f>ROUND(G41/G7,2)</f>
        <v/>
      </c>
    </row>
    <row r="54" ht="16" customHeight="1" thickBot="1">
      <c r="A54" s="168" t="n"/>
      <c r="B54" s="17" t="n"/>
      <c r="C54" s="17" t="n"/>
      <c r="D54" s="31" t="n"/>
    </row>
    <row r="55" ht="16" customHeight="1">
      <c r="A55" s="47" t="inlineStr">
        <is>
          <t>YIELD SENSITIVITY (same expenses but average yield)</t>
        </is>
      </c>
      <c r="B55" s="64" t="n"/>
      <c r="C55" s="408" t="n"/>
      <c r="D55" s="31" t="n"/>
    </row>
    <row r="56" ht="16" customHeight="1">
      <c r="A56" s="170" t="inlineStr">
        <is>
          <t>Provincial average yield (lb./ac)</t>
        </is>
      </c>
      <c r="B56" s="65" t="n"/>
      <c r="C56" s="549">
        <f>G7</f>
        <v/>
      </c>
      <c r="D56" s="31" t="n"/>
    </row>
    <row r="57" ht="16" customHeight="1">
      <c r="A57" s="170" t="inlineStr">
        <is>
          <t xml:space="preserve"> Return over Variable Expenses </t>
        </is>
      </c>
      <c r="B57" s="65" t="n"/>
      <c r="C57" s="17">
        <f>G44</f>
        <v/>
      </c>
      <c r="D57" s="31" t="n"/>
    </row>
    <row r="58" ht="16" customHeight="1" thickBot="1">
      <c r="A58" s="845" t="inlineStr">
        <is>
          <t xml:space="preserve"> Return over Total Expenses </t>
        </is>
      </c>
      <c r="B58" s="66" t="n"/>
      <c r="C58" s="409">
        <f>G45</f>
        <v/>
      </c>
      <c r="D58" s="750" t="n"/>
    </row>
    <row r="59" ht="16" customHeight="1">
      <c r="A59" s="22" t="inlineStr">
        <is>
          <t>*Farm managers need to determine their own actual labour and management costs and add it to total expenses.</t>
        </is>
      </c>
      <c r="B59" s="24" t="n"/>
      <c r="C59" s="24" t="n"/>
    </row>
    <row r="60">
      <c r="A60" s="24" t="n"/>
      <c r="B60" s="24" t="n"/>
      <c r="C60" s="24" t="n"/>
    </row>
    <row r="61">
      <c r="A61" s="24" t="n"/>
      <c r="B61" s="24" t="n"/>
      <c r="C61" s="419" t="n"/>
    </row>
    <row r="62" ht="16" customHeight="1">
      <c r="A62" s="57" t="n"/>
      <c r="B62" s="56" t="n"/>
      <c r="C62" s="56" t="n"/>
    </row>
    <row r="63" ht="16" customHeight="1">
      <c r="A63" s="57" t="n"/>
      <c r="B63" s="56" t="n"/>
      <c r="C63" s="56" t="n"/>
    </row>
  </sheetData>
  <mergeCells count="1">
    <mergeCell ref="D3:D58"/>
  </mergeCells>
  <pageMargins left="0.7" right="0.7" top="0.75" bottom="0.75" header="0.3" footer="0.3"/>
  <pageSetup orientation="portrait"/>
</worksheet>
</file>

<file path=xl/worksheets/sheet24.xml><?xml version="1.0" encoding="utf-8"?>
<worksheet xmlns="http://schemas.openxmlformats.org/spreadsheetml/2006/main">
  <sheetPr>
    <outlinePr summaryBelow="1" summaryRight="1"/>
    <pageSetUpPr/>
  </sheetPr>
  <dimension ref="A1:K63"/>
  <sheetViews>
    <sheetView showGridLines="0" topLeftCell="A8" workbookViewId="0">
      <selection activeCell="E28" sqref="E28"/>
    </sheetView>
  </sheetViews>
  <sheetFormatPr baseColWidth="8" defaultRowHeight="16" customHeight="1"/>
  <cols>
    <col width="55.7109375" customWidth="1" min="1" max="1"/>
    <col width="13.85546875" bestFit="1" customWidth="1" min="2" max="2"/>
    <col width="11.42578125" customWidth="1" min="3" max="3"/>
    <col width="13.85546875" bestFit="1" customWidth="1" min="4" max="5"/>
    <col width="50.28515625" customWidth="1" min="6" max="6"/>
    <col width="13.42578125" customWidth="1" min="9" max="11"/>
  </cols>
  <sheetData>
    <row r="1" ht="16" customHeight="1">
      <c r="A1" s="23" t="inlineStr">
        <is>
          <t>LARGE GREEN LENTILS PRODUCTION COSTS ($/ACRE) FOR SASKATCHEWAN 2026</t>
        </is>
      </c>
      <c r="B1" s="23" t="n"/>
      <c r="C1" s="23" t="n"/>
      <c r="D1" s="23" t="n"/>
      <c r="E1" s="23" t="n"/>
      <c r="F1" s="24" t="n"/>
    </row>
    <row r="2" ht="16" customHeight="1" thickBot="1">
      <c r="A2" s="25" t="n"/>
      <c r="B2" s="25" t="n"/>
      <c r="C2" s="25" t="inlineStr">
        <is>
          <t>Economics</t>
        </is>
      </c>
      <c r="D2" s="25" t="n"/>
      <c r="E2" s="25" t="n"/>
      <c r="F2" s="25" t="inlineStr">
        <is>
          <t>Agronomics</t>
        </is>
      </c>
    </row>
    <row r="3" ht="16" customHeight="1" thickBot="1">
      <c r="A3" s="179" t="inlineStr">
        <is>
          <t>CROP</t>
        </is>
      </c>
      <c r="B3" s="279" t="n"/>
      <c r="C3" s="280" t="n"/>
      <c r="D3" s="675" t="inlineStr">
        <is>
          <t>LARGE GREEN LENTILS</t>
        </is>
      </c>
      <c r="E3" s="282" t="n"/>
      <c r="F3" s="676" t="inlineStr">
        <is>
          <t>Seeding: A seed rate of 91 lb./ac. is used for all soil zones. 
Fertilization: Inoculant with the correct strains of rhizobium should be applied. Fertility costs are based on nutrient removal rates given the targeted crop yield. These are: 4.2 lb./ac. N and 20 lb./ac. P2O5 for the black soil zone, 3.8 lb./ac. N and 18 lb./ac. P2O5 for the dark brown soil zone and 3.2 lb./ac. N and 15 lb./ac. P2O5 for the brown soil zone. Producers are encouraged to use their own rates based on soil tests. 
Crop Rotation: Crop rotation will help to reduce disease pressure by reducing pathogen levels in the field. Extended rotations are essential in fields with risk of aphanomyces root rot. Lentils are not competitive with weeds. 
Crop Protection                                                          Insect control: Wireworms, cutworms lygus bugs, potato leafhopper, pea aphid and grasshoppers might require control. Seed treatments are available for wireworm control. 
Disease control: Fungicides will offer protection against foliar diseases such as anthracnose. Fungicide application should be based on disease risk. This estimation includes the cost of a single fungicide application. In years with high disease pressure and extended periods of favorable environmental conditions, more than one fungicide application may be required. 
Weed control: Lentils need to be kept weed-free until the 10 node stage to minimize yield losses. Herbicide costs are based on the following herbicide timings. Please refer to general assumptions for details.
Please insert herbicide application window.</t>
        </is>
      </c>
    </row>
    <row r="4" ht="16" customHeight="1" thickBot="1">
      <c r="A4" s="26" t="n"/>
      <c r="B4" s="677" t="inlineStr">
        <is>
          <t>My Farm</t>
        </is>
      </c>
      <c r="C4" s="27" t="n"/>
      <c r="D4" s="678" t="inlineStr">
        <is>
          <t>80th percentile</t>
        </is>
      </c>
      <c r="E4" s="28" t="n"/>
      <c r="F4" s="31" t="n"/>
      <c r="I4" s="679" t="inlineStr">
        <is>
          <t xml:space="preserve">Average Yield </t>
        </is>
      </c>
      <c r="J4" s="680" t="n"/>
      <c r="K4" s="681" t="n"/>
    </row>
    <row r="5" ht="16" customHeight="1" thickBot="1">
      <c r="A5" s="682" t="inlineStr">
        <is>
          <t>Soil Zone</t>
        </is>
      </c>
      <c r="B5" s="264" t="n"/>
      <c r="C5" s="811" t="inlineStr">
        <is>
          <t>Brown</t>
        </is>
      </c>
      <c r="D5" s="899" t="inlineStr">
        <is>
          <t>Dark Brown</t>
        </is>
      </c>
      <c r="E5" s="812" t="inlineStr">
        <is>
          <t>**Black</t>
        </is>
      </c>
      <c r="F5" s="31" t="n"/>
      <c r="I5" s="686" t="inlineStr">
        <is>
          <t>Brown</t>
        </is>
      </c>
      <c r="J5" s="687" t="inlineStr">
        <is>
          <t>Dark Brown</t>
        </is>
      </c>
      <c r="K5" s="688" t="inlineStr">
        <is>
          <t>Black</t>
        </is>
      </c>
    </row>
    <row r="6" ht="16" customHeight="1">
      <c r="A6" s="73" t="inlineStr">
        <is>
          <t>REVENUE PER ACRE</t>
        </is>
      </c>
      <c r="B6" s="72" t="n"/>
      <c r="C6" s="72" t="n"/>
      <c r="D6" s="98" t="n"/>
      <c r="E6" s="85" t="n"/>
      <c r="F6" s="31" t="n"/>
      <c r="I6" s="31" t="n"/>
      <c r="J6" s="31" t="n"/>
      <c r="K6" s="31" t="n"/>
    </row>
    <row r="7" ht="16" customHeight="1">
      <c r="A7" s="689" t="inlineStr">
        <is>
          <t>Estimated Yield (lb./ac) (A)</t>
        </is>
      </c>
      <c r="B7" s="68" t="n"/>
      <c r="C7" s="900" t="n">
        <v>1318.4</v>
      </c>
      <c r="D7" s="901" t="n">
        <v>1657.4</v>
      </c>
      <c r="E7" s="902" t="n">
        <v>1786.6</v>
      </c>
      <c r="F7" s="31" t="n"/>
      <c r="G7" s="37" t="n"/>
      <c r="I7" s="769" t="n">
        <v>854.9</v>
      </c>
      <c r="J7" s="769" t="n">
        <v>1277</v>
      </c>
      <c r="K7" s="769" t="n">
        <v>1205.5</v>
      </c>
    </row>
    <row r="8" ht="16" customHeight="1" thickBot="1">
      <c r="A8" s="689" t="inlineStr">
        <is>
          <t>Est. On Farm Market Price $/lb. (B)</t>
        </is>
      </c>
      <c r="B8" s="69" t="n"/>
      <c r="C8" s="903" t="n">
        <v>0.28</v>
      </c>
      <c r="D8" s="904" t="n">
        <v>0.28</v>
      </c>
      <c r="E8" s="905" t="n">
        <v>0.28</v>
      </c>
      <c r="F8" s="31" t="n"/>
      <c r="G8" s="37" t="n"/>
      <c r="I8" s="696">
        <f>C8</f>
        <v/>
      </c>
      <c r="J8" s="696">
        <f>D8</f>
        <v/>
      </c>
      <c r="K8" s="696">
        <f>E8</f>
        <v/>
      </c>
    </row>
    <row r="9" ht="16" customHeight="1" thickBot="1">
      <c r="A9" s="70" t="inlineStr">
        <is>
          <t>Estimated Gross Revenue/ac (AxB)=C</t>
        </is>
      </c>
      <c r="B9" s="71">
        <f>ROUND((B8*B7),2)</f>
        <v/>
      </c>
      <c r="C9" s="95">
        <f>ROUND((C8*C7),2)</f>
        <v/>
      </c>
      <c r="D9" s="92">
        <f>ROUND((D8*D7),2)</f>
        <v/>
      </c>
      <c r="E9" s="412">
        <f>ROUND((E8*E7),2)</f>
        <v/>
      </c>
      <c r="F9" s="31" t="n"/>
      <c r="G9" s="37" t="n"/>
      <c r="I9" s="40">
        <f>ROUND((I8*I7),2)</f>
        <v/>
      </c>
      <c r="J9" s="40">
        <f>ROUND((J8*J7),2)</f>
        <v/>
      </c>
      <c r="K9" s="40">
        <f>ROUND((K8*K7),2)</f>
        <v/>
      </c>
    </row>
    <row r="10">
      <c r="A10" s="67" t="n"/>
      <c r="B10" s="72" t="n"/>
      <c r="C10" s="697" t="n"/>
      <c r="D10" s="347" t="n"/>
      <c r="E10" s="699" t="n"/>
      <c r="F10" s="31" t="n"/>
      <c r="G10" s="37" t="n"/>
      <c r="I10" s="410" t="n"/>
      <c r="J10" s="410" t="n"/>
      <c r="K10" s="410" t="n"/>
    </row>
    <row r="11" ht="16" customHeight="1">
      <c r="A11" s="73" t="inlineStr">
        <is>
          <t>EXPENSES PER ACRE</t>
        </is>
      </c>
      <c r="B11" s="72" t="n"/>
      <c r="C11" s="296" t="n"/>
      <c r="D11" s="700" t="n"/>
      <c r="E11" s="701" t="n"/>
      <c r="F11" s="31" t="n"/>
      <c r="G11" s="37" t="n"/>
      <c r="I11" s="410" t="n"/>
      <c r="J11" s="410" t="n"/>
      <c r="K11" s="410" t="n"/>
    </row>
    <row r="12" ht="16" customHeight="1">
      <c r="A12" s="73" t="inlineStr">
        <is>
          <t>Variable Expenses/acre</t>
        </is>
      </c>
      <c r="B12" s="72" t="n"/>
      <c r="C12" s="296" t="n"/>
      <c r="D12" s="700" t="n"/>
      <c r="E12" s="702" t="n"/>
      <c r="F12" s="31" t="n"/>
      <c r="G12" s="37" t="n"/>
      <c r="I12" s="410" t="n"/>
      <c r="J12" s="410" t="n"/>
      <c r="K12" s="410" t="n"/>
    </row>
    <row r="13" ht="16" customHeight="1">
      <c r="A13" s="689" t="inlineStr">
        <is>
          <t>Seed</t>
        </is>
      </c>
      <c r="B13" s="74" t="n"/>
      <c r="C13" s="703" t="n">
        <v>36.4</v>
      </c>
      <c r="D13" s="704" t="n">
        <v>36.4</v>
      </c>
      <c r="E13" s="705" t="n">
        <v>36.4</v>
      </c>
      <c r="F13" s="31" t="n"/>
      <c r="G13" s="37" t="n"/>
      <c r="I13" s="696">
        <f>C13</f>
        <v/>
      </c>
      <c r="J13" s="696">
        <f>D13</f>
        <v/>
      </c>
      <c r="K13" s="696">
        <f>E13</f>
        <v/>
      </c>
    </row>
    <row r="14" ht="16" customHeight="1">
      <c r="A14" s="689" t="inlineStr">
        <is>
          <t xml:space="preserve">                     -Seed Treatments/Inoculants</t>
        </is>
      </c>
      <c r="B14" s="74" t="n"/>
      <c r="C14" s="703" t="n">
        <v>5.411615153631918</v>
      </c>
      <c r="D14" s="704" t="n">
        <v>5.411615153631918</v>
      </c>
      <c r="E14" s="705" t="n">
        <v>5.411615153631918</v>
      </c>
      <c r="F14" s="31" t="n"/>
      <c r="G14" s="37" t="n"/>
      <c r="I14" s="696">
        <f>C14</f>
        <v/>
      </c>
      <c r="J14" s="696">
        <f>D14</f>
        <v/>
      </c>
      <c r="K14" s="696">
        <f>E14</f>
        <v/>
      </c>
    </row>
    <row r="15" ht="16" customHeight="1">
      <c r="A15" s="689" t="inlineStr">
        <is>
          <t>Fertilizer -Nitrogen (N)</t>
        </is>
      </c>
      <c r="B15" s="74" t="n"/>
      <c r="C15" s="706" t="n">
        <v>2.619742760198848</v>
      </c>
      <c r="D15" s="707" t="n">
        <v>3.110944527736132</v>
      </c>
      <c r="E15" s="708" t="n">
        <v>3.438412372760988</v>
      </c>
      <c r="F15" s="31" t="n"/>
      <c r="G15" s="37" t="n"/>
      <c r="I15" s="696">
        <f>C15</f>
        <v/>
      </c>
      <c r="J15" s="696">
        <f>D15</f>
        <v/>
      </c>
      <c r="K15" s="696">
        <f>E15</f>
        <v/>
      </c>
    </row>
    <row r="16" ht="16" customHeight="1">
      <c r="A16" s="689" t="inlineStr">
        <is>
          <t xml:space="preserve">               -Phosphorous (P2O5)</t>
        </is>
      </c>
      <c r="B16" s="74" t="n"/>
      <c r="C16" s="706" t="n">
        <v>14.41681740101609</v>
      </c>
      <c r="D16" s="707" t="n">
        <v>17.30018088121931</v>
      </c>
      <c r="E16" s="708" t="n">
        <v>19.22242320135479</v>
      </c>
      <c r="F16" s="31" t="n"/>
      <c r="G16" s="37" t="n"/>
      <c r="I16" s="696">
        <f>C16</f>
        <v/>
      </c>
      <c r="J16" s="696">
        <f>D16</f>
        <v/>
      </c>
      <c r="K16" s="696">
        <f>E16</f>
        <v/>
      </c>
    </row>
    <row r="17" ht="16" customHeight="1">
      <c r="A17" s="689" t="inlineStr">
        <is>
          <t xml:space="preserve">               -Sulphur and Other</t>
        </is>
      </c>
      <c r="B17" s="75" t="n"/>
      <c r="C17" s="709" t="n">
        <v>0</v>
      </c>
      <c r="D17" s="710" t="n">
        <v>0</v>
      </c>
      <c r="E17" s="711" t="n">
        <v>0</v>
      </c>
      <c r="F17" s="31" t="n"/>
      <c r="G17" s="37" t="n"/>
      <c r="I17" s="696">
        <f>C17</f>
        <v/>
      </c>
      <c r="J17" s="696">
        <f>D17</f>
        <v/>
      </c>
      <c r="K17" s="696">
        <f>E17</f>
        <v/>
      </c>
    </row>
    <row r="18" ht="16" customHeight="1">
      <c r="A18" s="689" t="inlineStr">
        <is>
          <t>Plant Protection -Herbicides</t>
        </is>
      </c>
      <c r="B18" s="74" t="n"/>
      <c r="C18" s="703" t="n">
        <v>66.61476960352422</v>
      </c>
      <c r="D18" s="704" t="n">
        <v>66.61476960352422</v>
      </c>
      <c r="E18" s="705" t="n">
        <v>95.25703832599119</v>
      </c>
      <c r="F18" s="31" t="n"/>
      <c r="G18" s="37" t="n"/>
      <c r="I18" s="696">
        <f>C18</f>
        <v/>
      </c>
      <c r="J18" s="696">
        <f>D18</f>
        <v/>
      </c>
      <c r="K18" s="696">
        <f>E18</f>
        <v/>
      </c>
    </row>
    <row r="19" ht="16" customHeight="1">
      <c r="A19" s="689" t="inlineStr">
        <is>
          <t xml:space="preserve">                     -Insecticides</t>
        </is>
      </c>
      <c r="B19" s="74" t="n"/>
      <c r="C19" s="703" t="n">
        <v>14.74480151228734</v>
      </c>
      <c r="D19" s="704" t="n">
        <v>14.74480151228734</v>
      </c>
      <c r="E19" s="705" t="n">
        <v>14.74480151228734</v>
      </c>
      <c r="F19" s="31" t="n"/>
      <c r="G19" s="37" t="n"/>
      <c r="I19" s="696">
        <f>C19</f>
        <v/>
      </c>
      <c r="J19" s="696">
        <f>D19</f>
        <v/>
      </c>
      <c r="K19" s="696">
        <f>E19</f>
        <v/>
      </c>
    </row>
    <row r="20" ht="16" customHeight="1">
      <c r="A20" s="689" t="inlineStr">
        <is>
          <t xml:space="preserve">                     -Fungicides</t>
        </is>
      </c>
      <c r="B20" s="74" t="n"/>
      <c r="C20" s="703" t="n">
        <v>22.41</v>
      </c>
      <c r="D20" s="704" t="n">
        <v>22.41</v>
      </c>
      <c r="E20" s="705" t="n">
        <v>22.41</v>
      </c>
      <c r="F20" s="31" t="n"/>
      <c r="G20" s="37" t="n"/>
      <c r="I20" s="696">
        <f>C20</f>
        <v/>
      </c>
      <c r="J20" s="696">
        <f>D20</f>
        <v/>
      </c>
      <c r="K20" s="696">
        <f>E20</f>
        <v/>
      </c>
    </row>
    <row r="21" ht="16" customHeight="1">
      <c r="A21" s="689" t="inlineStr">
        <is>
          <t>Machinery Operating -Fuel</t>
        </is>
      </c>
      <c r="B21" s="75" t="n"/>
      <c r="C21" s="712" t="n">
        <v>17.95142027333333</v>
      </c>
      <c r="D21" s="713" t="n">
        <v>22.43927534166667</v>
      </c>
      <c r="E21" s="714" t="n">
        <v>28.04909417708333</v>
      </c>
      <c r="F21" s="31" t="n"/>
      <c r="G21" s="37" t="n"/>
      <c r="I21" s="696">
        <f>C21</f>
        <v/>
      </c>
      <c r="J21" s="696">
        <f>D21</f>
        <v/>
      </c>
      <c r="K21" s="696">
        <f>E21</f>
        <v/>
      </c>
    </row>
    <row r="22" ht="16" customHeight="1">
      <c r="A22" s="689" t="inlineStr">
        <is>
          <t xml:space="preserve">                                  -Repair</t>
        </is>
      </c>
      <c r="B22" s="74" t="n"/>
      <c r="C22" s="703" t="n">
        <v>11.56328841689489</v>
      </c>
      <c r="D22" s="704" t="n">
        <v>13.03949744699887</v>
      </c>
      <c r="E22" s="705" t="n">
        <v>14.75790247400408</v>
      </c>
      <c r="F22" s="31" t="n"/>
      <c r="G22" s="37" t="n"/>
      <c r="I22" s="696">
        <f>C22</f>
        <v/>
      </c>
      <c r="J22" s="696">
        <f>D22</f>
        <v/>
      </c>
      <c r="K22" s="696">
        <f>E22</f>
        <v/>
      </c>
    </row>
    <row r="23" ht="16" customHeight="1">
      <c r="A23" s="689" t="inlineStr">
        <is>
          <t>Custom Work and Hired Labour</t>
        </is>
      </c>
      <c r="B23" s="74" t="n"/>
      <c r="C23" s="703" t="n">
        <v>23</v>
      </c>
      <c r="D23" s="704" t="n">
        <v>22.25</v>
      </c>
      <c r="E23" s="705" t="n">
        <v>24</v>
      </c>
      <c r="F23" s="31" t="n"/>
      <c r="G23" s="37" t="n"/>
      <c r="I23" s="696">
        <f>C23</f>
        <v/>
      </c>
      <c r="J23" s="696">
        <f>D23</f>
        <v/>
      </c>
      <c r="K23" s="696">
        <f>E23</f>
        <v/>
      </c>
    </row>
    <row r="24" ht="16" customHeight="1">
      <c r="A24" s="689" t="inlineStr">
        <is>
          <t>Crop Insurance Premium</t>
        </is>
      </c>
      <c r="B24" s="77" t="n"/>
      <c r="C24" s="703" t="n">
        <v>15.10654859997103</v>
      </c>
      <c r="D24" s="704" t="n">
        <v>16.45160221836625</v>
      </c>
      <c r="E24" s="705" t="n">
        <v>15.25787194207061</v>
      </c>
      <c r="F24" s="31" t="n"/>
      <c r="G24" s="37" t="n"/>
      <c r="I24" s="696">
        <f>C24</f>
        <v/>
      </c>
      <c r="J24" s="696">
        <f>D24</f>
        <v/>
      </c>
      <c r="K24" s="696">
        <f>E24</f>
        <v/>
      </c>
    </row>
    <row r="25" ht="16" customHeight="1">
      <c r="A25" s="689" t="inlineStr">
        <is>
          <t>Hail Insurance Premium</t>
        </is>
      </c>
      <c r="B25" s="77" t="n"/>
      <c r="C25" s="703" t="n">
        <v>14</v>
      </c>
      <c r="D25" s="704" t="n">
        <v>14</v>
      </c>
      <c r="E25" s="705" t="n">
        <v>14</v>
      </c>
      <c r="F25" s="31" t="n"/>
      <c r="G25" s="37" t="n"/>
      <c r="I25" s="696">
        <f>C25</f>
        <v/>
      </c>
      <c r="J25" s="696">
        <f>D25</f>
        <v/>
      </c>
      <c r="K25" s="696">
        <f>E25</f>
        <v/>
      </c>
    </row>
    <row r="26" ht="16" customHeight="1">
      <c r="A26" s="689" t="inlineStr">
        <is>
          <t>Utilities and Miscellaneous</t>
        </is>
      </c>
      <c r="B26" s="75" t="n"/>
      <c r="C26" s="703" t="n">
        <v>4.395974170413743</v>
      </c>
      <c r="D26" s="704" t="n">
        <v>5.768849384517721</v>
      </c>
      <c r="E26" s="705" t="n">
        <v>6.656364674443524</v>
      </c>
      <c r="F26" s="31" t="n"/>
      <c r="G26" s="37" t="n"/>
      <c r="I26" s="696">
        <f>C26</f>
        <v/>
      </c>
      <c r="J26" s="696">
        <f>D26</f>
        <v/>
      </c>
      <c r="K26" s="696">
        <f>E26</f>
        <v/>
      </c>
    </row>
    <row r="27" ht="16" customHeight="1" thickBot="1">
      <c r="A27" s="689" t="inlineStr">
        <is>
          <t>Interest on Variable Expenses</t>
        </is>
      </c>
      <c r="B27" s="74" t="n"/>
      <c r="C27" s="878" t="n">
        <v>9.41497782948281</v>
      </c>
      <c r="D27" s="879" t="n">
        <v>9.843119499182047</v>
      </c>
      <c r="E27" s="880" t="n">
        <v>11.34506250250003</v>
      </c>
      <c r="F27" s="31" t="n"/>
      <c r="G27" s="37" t="n"/>
      <c r="I27" s="696">
        <f>C27</f>
        <v/>
      </c>
      <c r="J27" s="696">
        <f>D27</f>
        <v/>
      </c>
      <c r="K27" s="696">
        <f>E27</f>
        <v/>
      </c>
    </row>
    <row r="28" ht="16" customHeight="1" thickBot="1">
      <c r="A28" s="70" t="inlineStr">
        <is>
          <t>Total Variable Expenses (D)</t>
        </is>
      </c>
      <c r="B28" s="78">
        <f>SUM(B13:B27)</f>
        <v/>
      </c>
      <c r="C28" s="539">
        <f>SUM(C13:C27)</f>
        <v/>
      </c>
      <c r="D28" s="102">
        <f>SUM(D13:D27)</f>
        <v/>
      </c>
      <c r="E28" s="540">
        <f>SUM(E13:E27)</f>
        <v/>
      </c>
      <c r="F28" s="31" t="n"/>
      <c r="G28" s="37" t="n"/>
      <c r="I28" s="43">
        <f>SUM(I13:I27)</f>
        <v/>
      </c>
      <c r="J28" s="43">
        <f>SUM(J13:J27)</f>
        <v/>
      </c>
      <c r="K28" s="43">
        <f>SUM(K13:K27)</f>
        <v/>
      </c>
    </row>
    <row r="29">
      <c r="A29" s="67" t="n"/>
      <c r="B29" s="72" t="n"/>
      <c r="C29" s="721" t="n"/>
      <c r="D29" s="700" t="n"/>
      <c r="E29" s="701" t="n"/>
      <c r="F29" s="31" t="n"/>
      <c r="G29" s="37" t="n"/>
      <c r="I29" s="410" t="n"/>
      <c r="J29" s="410" t="n"/>
      <c r="K29" s="410" t="n"/>
    </row>
    <row r="30" ht="16" customHeight="1">
      <c r="A30" s="73" t="inlineStr">
        <is>
          <t>Other Expenses/acre</t>
        </is>
      </c>
      <c r="B30" s="72" t="n"/>
      <c r="C30" s="721" t="n"/>
      <c r="D30" s="700" t="n"/>
      <c r="E30" s="701" t="n"/>
      <c r="F30" s="31" t="n"/>
      <c r="G30" s="37" t="n"/>
      <c r="I30" s="410" t="n"/>
      <c r="J30" s="410" t="n"/>
      <c r="K30" s="410" t="n"/>
    </row>
    <row r="31" ht="16" customHeight="1">
      <c r="A31" s="689" t="inlineStr">
        <is>
          <t>Building Repair</t>
        </is>
      </c>
      <c r="B31" s="722" t="n"/>
      <c r="C31" s="723" t="n">
        <v>0.7445684561908097</v>
      </c>
      <c r="D31" s="724" t="n">
        <v>0.9756414253534748</v>
      </c>
      <c r="E31" s="725" t="n">
        <v>1.335088266273176</v>
      </c>
      <c r="F31" s="31" t="n"/>
      <c r="G31" s="37" t="n"/>
      <c r="I31" s="726">
        <f>C31</f>
        <v/>
      </c>
      <c r="J31" s="726">
        <f>D31</f>
        <v/>
      </c>
      <c r="K31" s="726">
        <f>E31</f>
        <v/>
      </c>
    </row>
    <row r="32" ht="16" customHeight="1">
      <c r="A32" s="689" t="inlineStr">
        <is>
          <t>Property Taxes</t>
        </is>
      </c>
      <c r="B32" s="727" t="n"/>
      <c r="C32" s="728" t="n">
        <v>5.076533574707355</v>
      </c>
      <c r="D32" s="729" t="n">
        <v>6.642698188180902</v>
      </c>
      <c r="E32" s="730" t="n">
        <v>10.0720586349247</v>
      </c>
      <c r="F32" s="31" t="n"/>
      <c r="G32" s="37" t="n"/>
      <c r="I32" s="726">
        <f>C32</f>
        <v/>
      </c>
      <c r="J32" s="726">
        <f>D32</f>
        <v/>
      </c>
      <c r="K32" s="726">
        <f>E32</f>
        <v/>
      </c>
    </row>
    <row r="33" ht="16" customHeight="1">
      <c r="A33" s="689" t="inlineStr">
        <is>
          <t>Business Overhead</t>
        </is>
      </c>
      <c r="B33" s="731" t="n"/>
      <c r="C33" s="723" t="n">
        <v>2.607474711623781</v>
      </c>
      <c r="D33" s="724" t="n">
        <v>3.986427684117127</v>
      </c>
      <c r="E33" s="725" t="n">
        <v>4.675904170363799</v>
      </c>
      <c r="F33" s="31" t="n"/>
      <c r="G33" s="37" t="n"/>
      <c r="I33" s="726">
        <f>C33</f>
        <v/>
      </c>
      <c r="J33" s="726">
        <f>D33</f>
        <v/>
      </c>
      <c r="K33" s="726">
        <f>E33</f>
        <v/>
      </c>
    </row>
    <row r="34" ht="16" customHeight="1">
      <c r="A34" s="689" t="inlineStr">
        <is>
          <t>Machinery Depreciation</t>
        </is>
      </c>
      <c r="B34" s="732" t="n"/>
      <c r="C34" s="728" t="n">
        <v>47.58737925414436</v>
      </c>
      <c r="D34" s="729" t="n">
        <v>53.66254718572614</v>
      </c>
      <c r="E34" s="730" t="n">
        <v>60.73444479686295</v>
      </c>
      <c r="F34" s="31" t="n"/>
      <c r="G34" s="37" t="n"/>
      <c r="I34" s="726">
        <f>C34</f>
        <v/>
      </c>
      <c r="J34" s="726">
        <f>D34</f>
        <v/>
      </c>
      <c r="K34" s="726">
        <f>E34</f>
        <v/>
      </c>
    </row>
    <row r="35" ht="16" customHeight="1">
      <c r="A35" s="689" t="inlineStr">
        <is>
          <t>Building Depreciation</t>
        </is>
      </c>
      <c r="B35" s="722" t="n"/>
      <c r="C35" s="723" t="n">
        <v>1.45</v>
      </c>
      <c r="D35" s="724" t="n">
        <v>1.9</v>
      </c>
      <c r="E35" s="725" t="n">
        <v>2.6</v>
      </c>
      <c r="F35" s="31" t="n"/>
      <c r="G35" s="37" t="n"/>
      <c r="I35" s="726">
        <f>C35</f>
        <v/>
      </c>
      <c r="J35" s="726">
        <f>D35</f>
        <v/>
      </c>
      <c r="K35" s="726">
        <f>E35</f>
        <v/>
      </c>
    </row>
    <row r="36" ht="16" customHeight="1">
      <c r="A36" s="689" t="inlineStr">
        <is>
          <t>Machinery Investment</t>
        </is>
      </c>
      <c r="B36" s="732" t="n"/>
      <c r="C36" s="728" t="n">
        <v>30.02007569770789</v>
      </c>
      <c r="D36" s="729" t="n">
        <v>33.85254144893939</v>
      </c>
      <c r="E36" s="730" t="n">
        <v>38.31378526904906</v>
      </c>
      <c r="F36" s="31" t="n"/>
      <c r="G36" s="37" t="n"/>
      <c r="I36" s="726">
        <f>C36</f>
        <v/>
      </c>
      <c r="J36" s="726">
        <f>D36</f>
        <v/>
      </c>
      <c r="K36" s="726">
        <f>E36</f>
        <v/>
      </c>
    </row>
    <row r="37" ht="16" customHeight="1">
      <c r="A37" s="689" t="inlineStr">
        <is>
          <t>Building Investment</t>
        </is>
      </c>
      <c r="B37" s="722" t="n"/>
      <c r="C37" s="723" t="n">
        <v>1.326266666666666</v>
      </c>
      <c r="D37" s="724" t="n">
        <v>1.737866666666666</v>
      </c>
      <c r="E37" s="725" t="n">
        <v>2.378133333333333</v>
      </c>
      <c r="F37" s="31" t="n"/>
      <c r="G37" s="37" t="n"/>
      <c r="I37" s="726">
        <f>C37</f>
        <v/>
      </c>
      <c r="J37" s="726">
        <f>D37</f>
        <v/>
      </c>
      <c r="K37" s="726">
        <f>E37</f>
        <v/>
      </c>
    </row>
    <row r="38" ht="16" customHeight="1" thickBot="1">
      <c r="A38" s="689" t="inlineStr">
        <is>
          <t>Land Investment</t>
        </is>
      </c>
      <c r="B38" s="727" t="n"/>
      <c r="C38" s="728" t="n">
        <v>70.10399999999998</v>
      </c>
      <c r="D38" s="729" t="n">
        <v>80.65649999999999</v>
      </c>
      <c r="E38" s="730" t="n">
        <v>75.38025</v>
      </c>
      <c r="F38" s="31" t="n"/>
      <c r="G38" s="37" t="n"/>
      <c r="I38" s="726">
        <f>C38</f>
        <v/>
      </c>
      <c r="J38" s="726">
        <f>D38</f>
        <v/>
      </c>
      <c r="K38" s="726">
        <f>E38</f>
        <v/>
      </c>
    </row>
    <row r="39" ht="16" customHeight="1" thickBot="1">
      <c r="A39" s="70" t="inlineStr">
        <is>
          <t>Total Other Expenses (E)</t>
        </is>
      </c>
      <c r="B39" s="78">
        <f>SUM(B31:B38)</f>
        <v/>
      </c>
      <c r="C39" s="78">
        <f>SUM(C31:C38)</f>
        <v/>
      </c>
      <c r="D39" s="380">
        <f>SUM(D31:D38)</f>
        <v/>
      </c>
      <c r="E39" s="381">
        <f>SUM(E31:E38)</f>
        <v/>
      </c>
      <c r="F39" s="31" t="n"/>
      <c r="G39" s="37" t="n"/>
      <c r="I39" s="43">
        <f>SUM(I31:I38)</f>
        <v/>
      </c>
      <c r="J39" s="43">
        <f>SUM(J31:J38)</f>
        <v/>
      </c>
      <c r="K39" s="43">
        <f>SUM(K31:K38)</f>
        <v/>
      </c>
    </row>
    <row r="40" ht="16" customHeight="1" thickBot="1">
      <c r="A40" s="764" t="inlineStr">
        <is>
          <t>Labour and Management (F)*</t>
        </is>
      </c>
      <c r="B40" s="41" t="n"/>
      <c r="C40" s="881" t="n"/>
      <c r="D40" s="882" t="n"/>
      <c r="E40" s="883" t="n"/>
      <c r="F40" s="31" t="n"/>
      <c r="G40" s="37" t="n"/>
      <c r="I40" s="410" t="n"/>
      <c r="J40" s="410" t="n"/>
      <c r="K40" s="410" t="n"/>
    </row>
    <row r="41" ht="16" customHeight="1" thickBot="1">
      <c r="A41" s="45" t="inlineStr">
        <is>
          <t xml:space="preserve">Total Expenses (D+E+F)=(G) </t>
        </is>
      </c>
      <c r="B41" s="42">
        <f>B28+B39+B40</f>
        <v/>
      </c>
      <c r="C41" s="42">
        <f>C28+C39+C40</f>
        <v/>
      </c>
      <c r="D41" s="398">
        <f>D28+D39+D40</f>
        <v/>
      </c>
      <c r="E41" s="399">
        <f>E28+E39+E40</f>
        <v/>
      </c>
      <c r="F41" s="31" t="n"/>
      <c r="G41" s="37" t="n"/>
      <c r="I41" s="43">
        <f>I28+I39+I40</f>
        <v/>
      </c>
      <c r="J41" s="43">
        <f>J28+J39+J40</f>
        <v/>
      </c>
      <c r="K41" s="43">
        <f>K28+K39+K40</f>
        <v/>
      </c>
    </row>
    <row r="42" ht="16" customHeight="1" thickBot="1">
      <c r="A42" s="46" t="n"/>
      <c r="B42" s="19" t="n"/>
      <c r="C42" s="19" t="n"/>
      <c r="D42" s="17" t="n"/>
      <c r="E42" s="544" t="n"/>
      <c r="F42" s="31" t="n"/>
      <c r="G42" s="37" t="n"/>
      <c r="I42" s="410" t="n"/>
      <c r="J42" s="410" t="n"/>
      <c r="K42" s="410" t="n"/>
    </row>
    <row r="43" ht="16" customHeight="1">
      <c r="A43" s="47" t="inlineStr">
        <is>
          <t>RETURNS PER ACRE</t>
        </is>
      </c>
      <c r="B43" s="48" t="n"/>
      <c r="C43" s="884" t="n"/>
      <c r="D43" s="742" t="n"/>
      <c r="E43" s="885" t="n"/>
      <c r="F43" s="31" t="n"/>
      <c r="G43" s="37" t="n"/>
      <c r="I43" s="411" t="n"/>
      <c r="J43" s="559" t="n"/>
      <c r="K43" s="411" t="n"/>
    </row>
    <row r="44" ht="16" customHeight="1">
      <c r="A44" s="49" t="inlineStr">
        <is>
          <t xml:space="preserve"> Return over Variable Expenses (C-D) </t>
        </is>
      </c>
      <c r="B44" s="20">
        <f>B9-B28</f>
        <v/>
      </c>
      <c r="C44" s="20">
        <f>C9-C28</f>
        <v/>
      </c>
      <c r="D44" s="400">
        <f>D9-D28</f>
        <v/>
      </c>
      <c r="E44" s="16">
        <f>E9-E28</f>
        <v/>
      </c>
      <c r="F44" s="31" t="n"/>
      <c r="G44" s="37" t="n"/>
      <c r="I44" s="99">
        <f>I9-I28</f>
        <v/>
      </c>
      <c r="J44" s="400">
        <f>J9-J28</f>
        <v/>
      </c>
      <c r="K44" s="99">
        <f>K9-K28</f>
        <v/>
      </c>
    </row>
    <row r="45" ht="16" customHeight="1" thickBot="1">
      <c r="A45" s="737" t="inlineStr">
        <is>
          <t xml:space="preserve"> Return over Total Expenses (C-G)</t>
        </is>
      </c>
      <c r="B45" s="21">
        <f>B9-B41</f>
        <v/>
      </c>
      <c r="C45" s="21">
        <f>C9-C41</f>
        <v/>
      </c>
      <c r="D45" s="401">
        <f>D9-D41</f>
        <v/>
      </c>
      <c r="E45" s="18">
        <f>E9-E41</f>
        <v/>
      </c>
      <c r="F45" s="31" t="n"/>
      <c r="G45" s="37" t="n"/>
      <c r="I45" s="100">
        <f>I9-I41</f>
        <v/>
      </c>
      <c r="J45" s="401">
        <f>J9-J41</f>
        <v/>
      </c>
      <c r="K45" s="100">
        <f>K9-K41</f>
        <v/>
      </c>
    </row>
    <row r="46" ht="16" customHeight="1" thickBot="1">
      <c r="A46" s="32" t="n"/>
      <c r="B46" s="19" t="n"/>
      <c r="C46" s="738" t="n"/>
      <c r="D46" s="739" t="n"/>
      <c r="E46" s="740" t="n"/>
      <c r="F46" s="31" t="n"/>
      <c r="G46" s="37" t="n"/>
      <c r="I46" s="410" t="n"/>
      <c r="J46" s="410" t="n"/>
      <c r="K46" s="410" t="n"/>
    </row>
    <row r="47" ht="16" customHeight="1">
      <c r="A47" s="51" t="inlineStr">
        <is>
          <t xml:space="preserve">BREAK-EVEN YIELD (lb./ac.) </t>
        </is>
      </c>
      <c r="B47" s="52" t="n"/>
      <c r="C47" s="741" t="n"/>
      <c r="D47" s="742" t="n"/>
      <c r="E47" s="743" t="n"/>
      <c r="F47" s="31" t="n"/>
      <c r="G47" s="37" t="n"/>
      <c r="I47" s="547" t="n"/>
      <c r="J47" s="411" t="n"/>
      <c r="K47" s="413" t="n"/>
    </row>
    <row r="48" ht="16" customHeight="1">
      <c r="A48" s="32" t="inlineStr">
        <is>
          <t>To Cover Variable Expenses</t>
        </is>
      </c>
      <c r="B48" s="20">
        <f>ROUND((B28)/B8,2)</f>
        <v/>
      </c>
      <c r="C48" s="20">
        <f>ROUND((C28)/C8,2)</f>
        <v/>
      </c>
      <c r="D48" s="400">
        <f>ROUND((D28)/D8,2)</f>
        <v/>
      </c>
      <c r="E48" s="16">
        <f>ROUND((E28)/E8,2)</f>
        <v/>
      </c>
      <c r="F48" s="31" t="n"/>
      <c r="G48" s="37" t="n"/>
      <c r="I48" s="20">
        <f>ROUND((I28)/I8,2)</f>
        <v/>
      </c>
      <c r="J48" s="99">
        <f>ROUND((J28)/J8,2)</f>
        <v/>
      </c>
      <c r="K48" s="16">
        <f>ROUND((K28)/K8,2)</f>
        <v/>
      </c>
    </row>
    <row r="49" ht="16" customHeight="1" thickBot="1">
      <c r="A49" s="53" t="inlineStr">
        <is>
          <t>To Cover Total Expenses</t>
        </is>
      </c>
      <c r="B49" s="21">
        <f>ROUND(B41/B8,2)</f>
        <v/>
      </c>
      <c r="C49" s="21">
        <f>ROUND(C41/C8,2)</f>
        <v/>
      </c>
      <c r="D49" s="401">
        <f>ROUND(D41/D8,2)</f>
        <v/>
      </c>
      <c r="E49" s="18">
        <f>ROUND(E41/E8,2)</f>
        <v/>
      </c>
      <c r="F49" s="31" t="n"/>
      <c r="G49" s="37" t="n"/>
      <c r="I49" s="21">
        <f>ROUND(I41/I8,2)</f>
        <v/>
      </c>
      <c r="J49" s="100">
        <f>ROUND(J41/J8,2)</f>
        <v/>
      </c>
      <c r="K49" s="18">
        <f>ROUND(K41/K8,2)</f>
        <v/>
      </c>
    </row>
    <row r="50" ht="16" customHeight="1" thickBot="1">
      <c r="A50" s="32" t="n"/>
      <c r="B50" s="744" t="n"/>
      <c r="C50" s="738" t="n"/>
      <c r="D50" s="739" t="n"/>
      <c r="E50" s="740" t="n"/>
      <c r="F50" s="31" t="n"/>
      <c r="G50" s="37" t="n"/>
      <c r="I50" s="410" t="n"/>
      <c r="J50" s="410" t="n"/>
      <c r="K50" s="410" t="n"/>
    </row>
    <row r="51" ht="16" customHeight="1">
      <c r="A51" s="51" t="inlineStr">
        <is>
          <t>BREAK-EVEN PRICE ($ per lb.)</t>
        </is>
      </c>
      <c r="B51" s="52" t="n"/>
      <c r="C51" s="741" t="n"/>
      <c r="D51" s="742" t="n"/>
      <c r="E51" s="743" t="n"/>
      <c r="F51" s="31" t="n"/>
      <c r="G51" s="37" t="n"/>
      <c r="I51" s="547" t="n"/>
      <c r="J51" s="411" t="n"/>
      <c r="K51" s="413" t="n"/>
    </row>
    <row r="52" ht="16" customHeight="1">
      <c r="A52" s="32" t="inlineStr">
        <is>
          <t>To Cover Variable Expenses</t>
        </is>
      </c>
      <c r="B52" s="20">
        <f>ROUND((B28)/B7,2)</f>
        <v/>
      </c>
      <c r="C52" s="20">
        <f>ROUND((C28)/C7,2)</f>
        <v/>
      </c>
      <c r="D52" s="400">
        <f>ROUND((D28)/D7,2)</f>
        <v/>
      </c>
      <c r="E52" s="16">
        <f>ROUND((E28)/E7,2)</f>
        <v/>
      </c>
      <c r="F52" s="31" t="n"/>
      <c r="G52" s="37" t="n"/>
      <c r="I52" s="20">
        <f>ROUND((I28)/I7,2)</f>
        <v/>
      </c>
      <c r="J52" s="99">
        <f>ROUND((J28)/J7,2)</f>
        <v/>
      </c>
      <c r="K52" s="16">
        <f>ROUND((K28)/K7,2)</f>
        <v/>
      </c>
    </row>
    <row r="53" ht="16" customHeight="1" thickBot="1">
      <c r="A53" s="53" t="inlineStr">
        <is>
          <t>To Cover Total Expenses</t>
        </is>
      </c>
      <c r="B53" s="21">
        <f>ROUND(B41/B7,2)</f>
        <v/>
      </c>
      <c r="C53" s="21">
        <f>ROUND(C41/C7,2)</f>
        <v/>
      </c>
      <c r="D53" s="401">
        <f>ROUND(D41/D7,2)</f>
        <v/>
      </c>
      <c r="E53" s="18">
        <f>ROUND(E41/E7,2)</f>
        <v/>
      </c>
      <c r="F53" s="31" t="n"/>
      <c r="G53" s="37" t="n"/>
      <c r="I53" s="21">
        <f>ROUND(I41/I7,2)</f>
        <v/>
      </c>
      <c r="J53" s="100">
        <f>ROUND(J41/J7,2)</f>
        <v/>
      </c>
      <c r="K53" s="18">
        <f>ROUND(K41/K7,2)</f>
        <v/>
      </c>
    </row>
    <row r="54" ht="16" customHeight="1" thickBot="1">
      <c r="A54" s="55" t="n"/>
      <c r="B54" s="17" t="n"/>
      <c r="C54" s="17" t="n"/>
      <c r="D54" s="17" t="n"/>
      <c r="E54" s="17" t="n"/>
      <c r="F54" s="31" t="n"/>
    </row>
    <row r="55" ht="16" customHeight="1">
      <c r="A55" s="47" t="inlineStr">
        <is>
          <t>YIELD SENSITIVITY (same expenses but average yield)</t>
        </is>
      </c>
      <c r="B55" s="64" t="n"/>
      <c r="C55" s="408" t="n"/>
      <c r="D55" s="408" t="n"/>
      <c r="E55" s="408" t="n"/>
      <c r="F55" s="31" t="n"/>
    </row>
    <row r="56" ht="16" customHeight="1">
      <c r="A56" s="49" t="inlineStr">
        <is>
          <t>Provincial Average Yield (lb./ac)</t>
        </is>
      </c>
      <c r="B56" s="65" t="n"/>
      <c r="C56" s="17">
        <f>I7</f>
        <v/>
      </c>
      <c r="D56" s="17">
        <f>J7</f>
        <v/>
      </c>
      <c r="E56" s="17">
        <f>K7</f>
        <v/>
      </c>
      <c r="F56" s="31" t="n"/>
    </row>
    <row r="57" ht="16" customHeight="1">
      <c r="A57" s="49" t="inlineStr">
        <is>
          <t xml:space="preserve"> Return over Variable Expenses </t>
        </is>
      </c>
      <c r="B57" s="65" t="n"/>
      <c r="C57" s="17">
        <f>I44</f>
        <v/>
      </c>
      <c r="D57" s="17">
        <f>J44</f>
        <v/>
      </c>
      <c r="E57" s="17">
        <f>K44</f>
        <v/>
      </c>
      <c r="F57" s="31" t="n"/>
    </row>
    <row r="58" ht="16" customHeight="1" thickBot="1">
      <c r="A58" s="737" t="inlineStr">
        <is>
          <t xml:space="preserve"> Return over Total Expenses </t>
        </is>
      </c>
      <c r="B58" s="66" t="n"/>
      <c r="C58" s="409">
        <f>I45</f>
        <v/>
      </c>
      <c r="D58" s="409">
        <f>J45</f>
        <v/>
      </c>
      <c r="E58" s="409">
        <f>K45</f>
        <v/>
      </c>
      <c r="F58" s="750" t="n"/>
    </row>
    <row r="59" ht="16" customHeight="1">
      <c r="A59" s="22" t="inlineStr">
        <is>
          <t>*Farm managers need to determine their own actual labour and management costs and add it to total expenses.</t>
        </is>
      </c>
      <c r="B59" s="24" t="n"/>
      <c r="C59" s="24" t="n"/>
      <c r="D59" s="24" t="n"/>
      <c r="E59" s="24" t="n"/>
    </row>
    <row r="60" ht="16" customHeight="1">
      <c r="A60" s="620" t="inlineStr">
        <is>
          <t>**Lentils are grown in the thin black soil zone that is transitional with the dark brown soil zone.  Here, the right amount of moisture coupled with good growing conditions are fitting to obtain higher yields.</t>
        </is>
      </c>
      <c r="B60" s="24" t="n"/>
      <c r="C60" s="24" t="n"/>
      <c r="D60" s="24" t="n"/>
      <c r="E60" s="24" t="n"/>
    </row>
    <row r="61">
      <c r="A61" s="24" t="n"/>
      <c r="B61" s="24" t="n"/>
      <c r="C61" s="24" t="n"/>
      <c r="D61" s="24" t="n"/>
      <c r="E61" s="24" t="n"/>
    </row>
    <row r="62" ht="16" customHeight="1">
      <c r="A62" s="57" t="n"/>
      <c r="B62" s="56" t="n"/>
      <c r="C62" s="429" t="n"/>
      <c r="D62" s="429" t="n"/>
      <c r="E62" s="429" t="n"/>
    </row>
    <row r="63" ht="16" customHeight="1">
      <c r="A63" s="57" t="n"/>
      <c r="B63" s="56" t="n"/>
      <c r="C63" s="56" t="n"/>
      <c r="D63" s="56" t="n"/>
      <c r="E63" s="56" t="n"/>
    </row>
  </sheetData>
  <mergeCells count="2">
    <mergeCell ref="F3:F58"/>
    <mergeCell ref="I4:K4"/>
  </mergeCells>
  <pageMargins left="0.7" right="0.7" top="0.75" bottom="0.75" header="0.3" footer="0.3"/>
  <pageSetup orientation="portrait"/>
</worksheet>
</file>

<file path=xl/worksheets/sheet25.xml><?xml version="1.0" encoding="utf-8"?>
<worksheet xmlns="http://schemas.openxmlformats.org/spreadsheetml/2006/main">
  <sheetPr>
    <outlinePr summaryBelow="1" summaryRight="1"/>
    <pageSetUpPr/>
  </sheetPr>
  <dimension ref="A1:K63"/>
  <sheetViews>
    <sheetView showGridLines="0" topLeftCell="A22" workbookViewId="0">
      <selection activeCell="E28" sqref="E28"/>
    </sheetView>
  </sheetViews>
  <sheetFormatPr baseColWidth="8" defaultRowHeight="16" customHeight="1"/>
  <cols>
    <col width="55.7109375" customWidth="1" min="1" max="1"/>
    <col width="13.85546875" bestFit="1" customWidth="1" min="2" max="2"/>
    <col width="11.42578125" customWidth="1" min="3" max="3"/>
    <col width="13.85546875" bestFit="1" customWidth="1" min="4" max="5"/>
    <col width="50" customWidth="1" min="6" max="6"/>
    <col width="13.42578125" customWidth="1" min="9" max="11"/>
  </cols>
  <sheetData>
    <row r="1" ht="16" customHeight="1">
      <c r="A1" s="23" t="inlineStr">
        <is>
          <t>RED LENTILS PRODUCTION COSTS ($/ACRE) FOR SASKATCHEWAN 2026</t>
        </is>
      </c>
      <c r="B1" s="23" t="n"/>
      <c r="C1" s="23" t="n"/>
      <c r="D1" s="23" t="n"/>
      <c r="E1" s="23" t="n"/>
      <c r="F1" s="24" t="n"/>
    </row>
    <row r="2" ht="16" customHeight="1" thickBot="1">
      <c r="A2" s="25" t="n"/>
      <c r="B2" s="25" t="n"/>
      <c r="C2" s="25" t="inlineStr">
        <is>
          <t>Economics</t>
        </is>
      </c>
      <c r="D2" s="25" t="n"/>
      <c r="E2" s="25" t="n"/>
      <c r="F2" s="25" t="inlineStr">
        <is>
          <t>Agronomics</t>
        </is>
      </c>
    </row>
    <row r="3" ht="16" customHeight="1" thickBot="1">
      <c r="A3" s="179" t="inlineStr">
        <is>
          <t>CROP</t>
        </is>
      </c>
      <c r="B3" s="279" t="n"/>
      <c r="C3" s="287" t="n"/>
      <c r="D3" s="675" t="inlineStr">
        <is>
          <t>RED LENTILS</t>
        </is>
      </c>
      <c r="E3" s="282" t="n"/>
      <c r="F3" s="676" t="inlineStr">
        <is>
          <t>Seeding: A seed rate of 60 lb./ac. is used for all soil zones. 
Fertilization: Inoculant with the correct strains of rhizobium should be applied. Fertility costs are based on nutrient removal rates given the targeted crop yield. These are: 5.3 lb./ac. N and 25 lb./ac. P2O5 for the black soil zone, 4.2 lb./ac. N and 20 lb./ac. P2O5 for the dark brown soil zone and 3.4 lb./ac. N and 16 lb./ac. P2O5 for the brown soil zone. Producers are encouraged to use their own rates based on soil tests.
Crop Rotation: Crop rotation will help to reduce disease pressure by reducing pathogen levels in the field. Extended rotations are essential in fields with risk of aphanomyces root rot. Lentils are not competitive with weeds. 
Crop Protection                                                          Insect control: Wireworms, cutworms, lygus bugs, potato leafhopper, pea aphid and grasshoppers might require control. Seed treatments are available for wireworm control. 
Disease control: Fungicides will offer protection again foliar diseases such as anthracnose. Fungicide application should be based on disease risk. This estimation includes the cost of a single fungicide application. In years with high disease pressure and extended periods of favorable environmental conditions, more than one fungicide application may be required. 
Weed control: Lentils need to be kept weed free until the 10 node stage to minimize yield losses. Herbicide costs are based on the following herbicide timings. Please refer to general assumptions for details.
Please insert herbicide application window.</t>
        </is>
      </c>
    </row>
    <row r="4" ht="16" customHeight="1" thickBot="1">
      <c r="A4" s="26" t="n"/>
      <c r="B4" s="677" t="inlineStr">
        <is>
          <t>My Farm</t>
        </is>
      </c>
      <c r="C4" s="211" t="n"/>
      <c r="D4" s="678" t="inlineStr">
        <is>
          <t>80th percentile</t>
        </is>
      </c>
      <c r="E4" s="212" t="n"/>
      <c r="F4" s="31" t="n"/>
      <c r="I4" s="679" t="inlineStr">
        <is>
          <t xml:space="preserve">Average Yield </t>
        </is>
      </c>
      <c r="J4" s="680" t="n"/>
      <c r="K4" s="681" t="n"/>
    </row>
    <row r="5" ht="16" customHeight="1" thickBot="1">
      <c r="A5" s="682" t="inlineStr">
        <is>
          <t>Soil Zone</t>
        </is>
      </c>
      <c r="B5" s="261" t="n"/>
      <c r="C5" s="683" t="inlineStr">
        <is>
          <t>Brown</t>
        </is>
      </c>
      <c r="D5" s="684" t="inlineStr">
        <is>
          <t>Dark Brown</t>
        </is>
      </c>
      <c r="E5" s="685" t="inlineStr">
        <is>
          <t>**Black</t>
        </is>
      </c>
      <c r="F5" s="31" t="n"/>
      <c r="I5" s="686" t="inlineStr">
        <is>
          <t>Brown</t>
        </is>
      </c>
      <c r="J5" s="687" t="inlineStr">
        <is>
          <t>Dark Brown</t>
        </is>
      </c>
      <c r="K5" s="688" t="inlineStr">
        <is>
          <t>Black</t>
        </is>
      </c>
    </row>
    <row r="6" ht="16" customHeight="1">
      <c r="A6" s="73" t="inlineStr">
        <is>
          <t>REVENUE PER ACRE</t>
        </is>
      </c>
      <c r="B6" s="119" t="n"/>
      <c r="C6" s="345" t="n"/>
      <c r="D6" s="345" t="n"/>
      <c r="E6" s="346" t="n"/>
      <c r="F6" s="31" t="n"/>
      <c r="I6" s="332" t="n"/>
      <c r="J6" s="332" t="n"/>
      <c r="K6" s="332" t="n"/>
    </row>
    <row r="7" ht="16" customHeight="1">
      <c r="A7" s="689" t="inlineStr">
        <is>
          <t>Estimated Yield (lb./ac) (A)</t>
        </is>
      </c>
      <c r="B7" s="120" t="n"/>
      <c r="C7" s="901" t="n">
        <v>1482.4</v>
      </c>
      <c r="D7" s="901" t="n">
        <v>1801.3</v>
      </c>
      <c r="E7" s="902" t="n">
        <v>2247</v>
      </c>
      <c r="F7" s="31" t="n"/>
      <c r="G7" s="37" t="n"/>
      <c r="I7" s="769" t="n">
        <v>1032</v>
      </c>
      <c r="J7" s="769" t="n">
        <v>1336.5</v>
      </c>
      <c r="K7" s="769" t="n">
        <v>1742.4</v>
      </c>
    </row>
    <row r="8" ht="16" customHeight="1" thickBot="1">
      <c r="A8" s="689" t="inlineStr">
        <is>
          <t>Est. On Farm Market Price $/lb. (B)</t>
        </is>
      </c>
      <c r="B8" s="192" t="n"/>
      <c r="C8" s="904" t="n">
        <v>0.22</v>
      </c>
      <c r="D8" s="904" t="n">
        <v>0.22</v>
      </c>
      <c r="E8" s="905" t="n">
        <v>0.22</v>
      </c>
      <c r="F8" s="31" t="n"/>
      <c r="G8" s="37" t="n"/>
      <c r="I8" s="696">
        <f>C8</f>
        <v/>
      </c>
      <c r="J8" s="696">
        <f>D8</f>
        <v/>
      </c>
      <c r="K8" s="696">
        <f>E8</f>
        <v/>
      </c>
    </row>
    <row r="9" ht="16" customHeight="1" thickBot="1">
      <c r="A9" s="70" t="inlineStr">
        <is>
          <t>Estimated Gross Revenue/ac (AxB)=C</t>
        </is>
      </c>
      <c r="B9" s="71">
        <f>ROUND((B8*B7),2)</f>
        <v/>
      </c>
      <c r="C9" s="95">
        <f>ROUND((C8*C7),2)</f>
        <v/>
      </c>
      <c r="D9" s="92">
        <f>ROUND((D8*D7),2)</f>
        <v/>
      </c>
      <c r="E9" s="412">
        <f>ROUND((E8*E7),2)</f>
        <v/>
      </c>
      <c r="F9" s="31" t="n"/>
      <c r="G9" s="37" t="n"/>
      <c r="I9" s="40">
        <f>ROUND((I8*I7),2)</f>
        <v/>
      </c>
      <c r="J9" s="40">
        <f>ROUND((J8*J7),2)</f>
        <v/>
      </c>
      <c r="K9" s="40">
        <f>ROUND((K8*K7),2)</f>
        <v/>
      </c>
    </row>
    <row r="10">
      <c r="A10" s="67" t="n"/>
      <c r="B10" s="72" t="n"/>
      <c r="C10" s="697" t="n"/>
      <c r="D10" s="347" t="n"/>
      <c r="E10" s="699" t="n"/>
      <c r="F10" s="31" t="n"/>
      <c r="G10" s="37" t="n"/>
      <c r="I10" s="410" t="n"/>
      <c r="J10" s="410" t="n"/>
      <c r="K10" s="410" t="n"/>
    </row>
    <row r="11" ht="16" customHeight="1">
      <c r="A11" s="73" t="inlineStr">
        <is>
          <t>EXPENSES PER ACRE</t>
        </is>
      </c>
      <c r="B11" s="72" t="n"/>
      <c r="C11" s="296" t="n"/>
      <c r="D11" s="700" t="n"/>
      <c r="E11" s="701" t="n"/>
      <c r="F11" s="31" t="n"/>
      <c r="G11" s="37" t="n"/>
      <c r="I11" s="332" t="n"/>
      <c r="J11" s="332" t="n"/>
      <c r="K11" s="332" t="n"/>
    </row>
    <row r="12" ht="16" customHeight="1">
      <c r="A12" s="73" t="inlineStr">
        <is>
          <t>Variable Expenses/acre</t>
        </is>
      </c>
      <c r="B12" s="72" t="n"/>
      <c r="C12" s="296" t="n"/>
      <c r="D12" s="700" t="n"/>
      <c r="E12" s="702" t="n"/>
      <c r="F12" s="31" t="n"/>
      <c r="G12" s="37" t="n"/>
      <c r="I12" s="332" t="n"/>
      <c r="J12" s="332" t="n"/>
      <c r="K12" s="332" t="n"/>
    </row>
    <row r="13" ht="16" customHeight="1">
      <c r="A13" s="689" t="inlineStr">
        <is>
          <t>Seed</t>
        </is>
      </c>
      <c r="B13" s="74" t="n"/>
      <c r="C13" s="703" t="n">
        <v>21.6</v>
      </c>
      <c r="D13" s="704" t="n">
        <v>21.6</v>
      </c>
      <c r="E13" s="705" t="n">
        <v>21.6</v>
      </c>
      <c r="F13" s="31" t="n"/>
      <c r="G13" s="37" t="n"/>
      <c r="I13" s="696">
        <f>C13</f>
        <v/>
      </c>
      <c r="J13" s="696">
        <f>D13</f>
        <v/>
      </c>
      <c r="K13" s="696">
        <f>E13</f>
        <v/>
      </c>
    </row>
    <row r="14" ht="16" customHeight="1">
      <c r="A14" s="689" t="inlineStr">
        <is>
          <t xml:space="preserve">                     -Seed Treatments/Inoculants</t>
        </is>
      </c>
      <c r="B14" s="74" t="n"/>
      <c r="C14" s="703" t="n">
        <v>3.568097903493573</v>
      </c>
      <c r="D14" s="704" t="n">
        <v>3.568097903493573</v>
      </c>
      <c r="E14" s="705" t="n">
        <v>3.568097903493573</v>
      </c>
      <c r="F14" s="31" t="n"/>
      <c r="G14" s="37" t="n"/>
      <c r="I14" s="696">
        <f>C14</f>
        <v/>
      </c>
      <c r="J14" s="696">
        <f>D14</f>
        <v/>
      </c>
      <c r="K14" s="696">
        <f>E14</f>
        <v/>
      </c>
    </row>
    <row r="15" ht="16" customHeight="1">
      <c r="A15" s="689" t="inlineStr">
        <is>
          <t>Fertilizer -Nitrogen (N)</t>
        </is>
      </c>
      <c r="B15" s="74" t="n"/>
      <c r="C15" s="706" t="n">
        <v>2.783476682711276</v>
      </c>
      <c r="D15" s="707" t="n">
        <v>3.438412372760988</v>
      </c>
      <c r="E15" s="708" t="n">
        <v>4.338948946579341</v>
      </c>
      <c r="F15" s="31" t="n"/>
      <c r="G15" s="37" t="n"/>
      <c r="I15" s="696">
        <f>C15</f>
        <v/>
      </c>
      <c r="J15" s="696">
        <f>D15</f>
        <v/>
      </c>
      <c r="K15" s="696">
        <f>E15</f>
        <v/>
      </c>
    </row>
    <row r="16" ht="16" customHeight="1">
      <c r="A16" s="689" t="inlineStr">
        <is>
          <t xml:space="preserve">               -Phosphorous (P2O5)</t>
        </is>
      </c>
      <c r="B16" s="74" t="n"/>
      <c r="C16" s="706" t="n">
        <v>15.37793856108383</v>
      </c>
      <c r="D16" s="707" t="n">
        <v>19.22242320135479</v>
      </c>
      <c r="E16" s="708" t="n">
        <v>24.02802900169349</v>
      </c>
      <c r="F16" s="31" t="n"/>
      <c r="G16" s="37" t="n"/>
      <c r="I16" s="696">
        <f>C16</f>
        <v/>
      </c>
      <c r="J16" s="696">
        <f>D16</f>
        <v/>
      </c>
      <c r="K16" s="696">
        <f>E16</f>
        <v/>
      </c>
    </row>
    <row r="17" ht="16" customHeight="1">
      <c r="A17" s="689" t="inlineStr">
        <is>
          <t xml:space="preserve">               -Sulphur and Other</t>
        </is>
      </c>
      <c r="B17" s="75" t="n"/>
      <c r="C17" s="709" t="n">
        <v>0</v>
      </c>
      <c r="D17" s="710" t="n">
        <v>0</v>
      </c>
      <c r="E17" s="711" t="n">
        <v>0</v>
      </c>
      <c r="F17" s="31" t="n"/>
      <c r="G17" s="37" t="n"/>
      <c r="I17" s="696">
        <f>C17</f>
        <v/>
      </c>
      <c r="J17" s="696">
        <f>D17</f>
        <v/>
      </c>
      <c r="K17" s="696">
        <f>E17</f>
        <v/>
      </c>
    </row>
    <row r="18" ht="16" customHeight="1">
      <c r="A18" s="689" t="inlineStr">
        <is>
          <t>Plant Protection -Herbicides</t>
        </is>
      </c>
      <c r="B18" s="74" t="n"/>
      <c r="C18" s="703" t="n">
        <v>66.61476960352422</v>
      </c>
      <c r="D18" s="704" t="n">
        <v>66.61476960352422</v>
      </c>
      <c r="E18" s="705" t="n">
        <v>95.25703832599119</v>
      </c>
      <c r="F18" s="31" t="n"/>
      <c r="G18" s="37" t="n"/>
      <c r="I18" s="696">
        <f>C18</f>
        <v/>
      </c>
      <c r="J18" s="696">
        <f>D18</f>
        <v/>
      </c>
      <c r="K18" s="696">
        <f>E18</f>
        <v/>
      </c>
    </row>
    <row r="19" ht="16" customHeight="1">
      <c r="A19" s="689" t="inlineStr">
        <is>
          <t xml:space="preserve">                     -Insecticides</t>
        </is>
      </c>
      <c r="B19" s="74" t="n"/>
      <c r="C19" s="703" t="n">
        <v>14.74480151228734</v>
      </c>
      <c r="D19" s="704" t="n">
        <v>14.74480151228734</v>
      </c>
      <c r="E19" s="705" t="n">
        <v>14.74480151228734</v>
      </c>
      <c r="F19" s="31" t="n"/>
      <c r="G19" s="37" t="n"/>
      <c r="I19" s="696">
        <f>C19</f>
        <v/>
      </c>
      <c r="J19" s="696">
        <f>D19</f>
        <v/>
      </c>
      <c r="K19" s="696">
        <f>E19</f>
        <v/>
      </c>
    </row>
    <row r="20" ht="16" customHeight="1">
      <c r="A20" s="689" t="inlineStr">
        <is>
          <t xml:space="preserve">                     -Fungicides</t>
        </is>
      </c>
      <c r="B20" s="74" t="n"/>
      <c r="C20" s="703" t="n">
        <v>22.41</v>
      </c>
      <c r="D20" s="704" t="n">
        <v>22.41</v>
      </c>
      <c r="E20" s="705" t="n">
        <v>22.41</v>
      </c>
      <c r="F20" s="31" t="n"/>
      <c r="G20" s="37" t="n"/>
      <c r="I20" s="696">
        <f>C20</f>
        <v/>
      </c>
      <c r="J20" s="696">
        <f>D20</f>
        <v/>
      </c>
      <c r="K20" s="696">
        <f>E20</f>
        <v/>
      </c>
    </row>
    <row r="21" ht="16" customHeight="1">
      <c r="A21" s="689" t="inlineStr">
        <is>
          <t>Machinery Operating -Fuel</t>
        </is>
      </c>
      <c r="B21" s="75" t="n"/>
      <c r="C21" s="712" t="n">
        <v>17.95142027333333</v>
      </c>
      <c r="D21" s="713" t="n">
        <v>22.43927534166667</v>
      </c>
      <c r="E21" s="714" t="n">
        <v>28.04909417708333</v>
      </c>
      <c r="F21" s="31" t="n"/>
      <c r="G21" s="37" t="n"/>
      <c r="I21" s="696">
        <f>C21</f>
        <v/>
      </c>
      <c r="J21" s="696">
        <f>D21</f>
        <v/>
      </c>
      <c r="K21" s="696">
        <f>E21</f>
        <v/>
      </c>
    </row>
    <row r="22" ht="16" customHeight="1">
      <c r="A22" s="689" t="inlineStr">
        <is>
          <t xml:space="preserve">                                  -Repair</t>
        </is>
      </c>
      <c r="B22" s="74" t="n"/>
      <c r="C22" s="703" t="n">
        <v>11.56328841689489</v>
      </c>
      <c r="D22" s="704" t="n">
        <v>13.03949744699887</v>
      </c>
      <c r="E22" s="705" t="n">
        <v>14.75790247400408</v>
      </c>
      <c r="F22" s="31" t="n"/>
      <c r="G22" s="37" t="n"/>
      <c r="I22" s="696">
        <f>C22</f>
        <v/>
      </c>
      <c r="J22" s="696">
        <f>D22</f>
        <v/>
      </c>
      <c r="K22" s="696">
        <f>E22</f>
        <v/>
      </c>
    </row>
    <row r="23" ht="16" customHeight="1">
      <c r="A23" s="689" t="inlineStr">
        <is>
          <t>Custom Work and Hired Labour</t>
        </is>
      </c>
      <c r="B23" s="74" t="n"/>
      <c r="C23" s="703" t="n">
        <v>23</v>
      </c>
      <c r="D23" s="704" t="n">
        <v>22.25</v>
      </c>
      <c r="E23" s="705" t="n">
        <v>24</v>
      </c>
      <c r="F23" s="31" t="n"/>
      <c r="G23" s="37" t="n"/>
      <c r="I23" s="696">
        <f>C23</f>
        <v/>
      </c>
      <c r="J23" s="696">
        <f>D23</f>
        <v/>
      </c>
      <c r="K23" s="696">
        <f>E23</f>
        <v/>
      </c>
    </row>
    <row r="24" ht="16" customHeight="1">
      <c r="A24" s="689" t="inlineStr">
        <is>
          <t>Crop Insurance Premium</t>
        </is>
      </c>
      <c r="B24" s="77" t="n"/>
      <c r="C24" s="703" t="n">
        <v>13.00569208351245</v>
      </c>
      <c r="D24" s="704" t="n">
        <v>12.22220018567935</v>
      </c>
      <c r="E24" s="705" t="n">
        <v>11.46469104813675</v>
      </c>
      <c r="F24" s="31" t="n"/>
      <c r="G24" s="37" t="n"/>
      <c r="I24" s="696">
        <f>C24</f>
        <v/>
      </c>
      <c r="J24" s="696">
        <f>D24</f>
        <v/>
      </c>
      <c r="K24" s="696">
        <f>E24</f>
        <v/>
      </c>
    </row>
    <row r="25" ht="16" customHeight="1">
      <c r="A25" s="689" t="inlineStr">
        <is>
          <t>Hail Insurance Premium</t>
        </is>
      </c>
      <c r="B25" s="77" t="n"/>
      <c r="C25" s="703" t="n">
        <v>14</v>
      </c>
      <c r="D25" s="704" t="n">
        <v>14</v>
      </c>
      <c r="E25" s="705" t="n">
        <v>14</v>
      </c>
      <c r="F25" s="31" t="n"/>
      <c r="G25" s="37" t="n"/>
      <c r="I25" s="696">
        <f>C25</f>
        <v/>
      </c>
      <c r="J25" s="696">
        <f>D25</f>
        <v/>
      </c>
      <c r="K25" s="696">
        <f>E25</f>
        <v/>
      </c>
    </row>
    <row r="26" ht="16" customHeight="1">
      <c r="A26" s="689" t="inlineStr">
        <is>
          <t>Utilities and Miscellaneous</t>
        </is>
      </c>
      <c r="B26" s="75" t="n"/>
      <c r="C26" s="703" t="n">
        <v>4.395974170413743</v>
      </c>
      <c r="D26" s="704" t="n">
        <v>5.768849384517721</v>
      </c>
      <c r="E26" s="705" t="n">
        <v>6.656364674443524</v>
      </c>
      <c r="F26" s="31" t="n"/>
      <c r="G26" s="37" t="n"/>
      <c r="I26" s="696">
        <f>C26</f>
        <v/>
      </c>
      <c r="J26" s="696">
        <f>D26</f>
        <v/>
      </c>
      <c r="K26" s="696">
        <f>E26</f>
        <v/>
      </c>
    </row>
    <row r="27" ht="16" customHeight="1" thickBot="1">
      <c r="A27" s="689" t="inlineStr">
        <is>
          <t>Interest on Variable Expenses</t>
        </is>
      </c>
      <c r="B27" s="74" t="n"/>
      <c r="C27" s="878" t="n">
        <v>8.747785388648044</v>
      </c>
      <c r="D27" s="879" t="n">
        <v>9.137920647259801</v>
      </c>
      <c r="E27" s="880" t="n">
        <v>10.78726545734592</v>
      </c>
      <c r="F27" s="31" t="n"/>
      <c r="G27" s="37" t="n"/>
      <c r="I27" s="696">
        <f>C27</f>
        <v/>
      </c>
      <c r="J27" s="696">
        <f>D27</f>
        <v/>
      </c>
      <c r="K27" s="696">
        <f>E27</f>
        <v/>
      </c>
    </row>
    <row r="28" ht="16" customHeight="1" thickBot="1">
      <c r="A28" s="70" t="inlineStr">
        <is>
          <t>Total Variable Expenses (D)</t>
        </is>
      </c>
      <c r="B28" s="78">
        <f>SUM(B13:B27)</f>
        <v/>
      </c>
      <c r="C28" s="539">
        <f>SUM(C13:C27)</f>
        <v/>
      </c>
      <c r="D28" s="102">
        <f>SUM(D13:D27)</f>
        <v/>
      </c>
      <c r="E28" s="540">
        <f>SUM(E13:E27)</f>
        <v/>
      </c>
      <c r="F28" s="31" t="n"/>
      <c r="G28" s="37" t="n"/>
      <c r="I28" s="43">
        <f>SUM(I13:I27)</f>
        <v/>
      </c>
      <c r="J28" s="43">
        <f>SUM(J13:J27)</f>
        <v/>
      </c>
      <c r="K28" s="43">
        <f>SUM(K13:K27)</f>
        <v/>
      </c>
    </row>
    <row r="29">
      <c r="A29" s="67" t="n"/>
      <c r="B29" s="72" t="n"/>
      <c r="C29" s="721" t="n"/>
      <c r="D29" s="700" t="n"/>
      <c r="E29" s="701" t="n"/>
      <c r="F29" s="31" t="n"/>
      <c r="G29" s="37" t="n"/>
      <c r="I29" s="410" t="n"/>
      <c r="J29" s="410" t="n"/>
      <c r="K29" s="410" t="n"/>
    </row>
    <row r="30" ht="16" customHeight="1">
      <c r="A30" s="73" t="inlineStr">
        <is>
          <t>Other Expenses/acre</t>
        </is>
      </c>
      <c r="B30" s="72" t="n"/>
      <c r="C30" s="721" t="n"/>
      <c r="D30" s="700" t="n"/>
      <c r="E30" s="701" t="n"/>
      <c r="F30" s="31" t="n"/>
      <c r="G30" s="37" t="n"/>
      <c r="I30" s="410" t="n"/>
      <c r="J30" s="410" t="n"/>
      <c r="K30" s="410" t="n"/>
    </row>
    <row r="31" ht="16" customHeight="1">
      <c r="A31" s="689" t="inlineStr">
        <is>
          <t>Building Repair</t>
        </is>
      </c>
      <c r="B31" s="722" t="n"/>
      <c r="C31" s="723" t="n">
        <v>0.7445684561908097</v>
      </c>
      <c r="D31" s="724" t="n">
        <v>0.9756414253534748</v>
      </c>
      <c r="E31" s="725" t="n">
        <v>1.335088266273176</v>
      </c>
      <c r="F31" s="31" t="n"/>
      <c r="G31" s="37" t="n"/>
      <c r="I31" s="726">
        <f>C31</f>
        <v/>
      </c>
      <c r="J31" s="726">
        <f>D31</f>
        <v/>
      </c>
      <c r="K31" s="726">
        <f>E31</f>
        <v/>
      </c>
    </row>
    <row r="32" ht="16" customHeight="1">
      <c r="A32" s="689" t="inlineStr">
        <is>
          <t>Property Taxes</t>
        </is>
      </c>
      <c r="B32" s="727" t="n"/>
      <c r="C32" s="728" t="n">
        <v>5.076533574707355</v>
      </c>
      <c r="D32" s="729" t="n">
        <v>6.642698188180902</v>
      </c>
      <c r="E32" s="730" t="n">
        <v>10.0720586349247</v>
      </c>
      <c r="F32" s="31" t="n"/>
      <c r="G32" s="37" t="n"/>
      <c r="I32" s="726">
        <f>C32</f>
        <v/>
      </c>
      <c r="J32" s="726">
        <f>D32</f>
        <v/>
      </c>
      <c r="K32" s="726">
        <f>E32</f>
        <v/>
      </c>
    </row>
    <row r="33" ht="16" customHeight="1">
      <c r="A33" s="689" t="inlineStr">
        <is>
          <t>Business Overhead</t>
        </is>
      </c>
      <c r="B33" s="731" t="n"/>
      <c r="C33" s="723" t="n">
        <v>2.607474711623781</v>
      </c>
      <c r="D33" s="724" t="n">
        <v>3.986427684117127</v>
      </c>
      <c r="E33" s="725" t="n">
        <v>4.675904170363799</v>
      </c>
      <c r="F33" s="31" t="n"/>
      <c r="G33" s="37" t="n"/>
      <c r="I33" s="726">
        <f>C33</f>
        <v/>
      </c>
      <c r="J33" s="726">
        <f>D33</f>
        <v/>
      </c>
      <c r="K33" s="726">
        <f>E33</f>
        <v/>
      </c>
    </row>
    <row r="34" ht="16" customHeight="1">
      <c r="A34" s="689" t="inlineStr">
        <is>
          <t>Machinery Depreciation</t>
        </is>
      </c>
      <c r="B34" s="732" t="n"/>
      <c r="C34" s="728" t="n">
        <v>47.58737925414436</v>
      </c>
      <c r="D34" s="729" t="n">
        <v>53.66254718572614</v>
      </c>
      <c r="E34" s="730" t="n">
        <v>60.73444479686295</v>
      </c>
      <c r="F34" s="31" t="n"/>
      <c r="G34" s="37" t="n"/>
      <c r="I34" s="726">
        <f>C34</f>
        <v/>
      </c>
      <c r="J34" s="726">
        <f>D34</f>
        <v/>
      </c>
      <c r="K34" s="726">
        <f>E34</f>
        <v/>
      </c>
    </row>
    <row r="35" ht="16" customHeight="1">
      <c r="A35" s="689" t="inlineStr">
        <is>
          <t>Building Depreciation</t>
        </is>
      </c>
      <c r="B35" s="722" t="n"/>
      <c r="C35" s="723" t="n">
        <v>1.45</v>
      </c>
      <c r="D35" s="724" t="n">
        <v>1.9</v>
      </c>
      <c r="E35" s="725" t="n">
        <v>2.6</v>
      </c>
      <c r="F35" s="31" t="n"/>
      <c r="G35" s="37" t="n"/>
      <c r="I35" s="726">
        <f>C35</f>
        <v/>
      </c>
      <c r="J35" s="726">
        <f>D35</f>
        <v/>
      </c>
      <c r="K35" s="726">
        <f>E35</f>
        <v/>
      </c>
    </row>
    <row r="36" ht="16" customHeight="1">
      <c r="A36" s="689" t="inlineStr">
        <is>
          <t>Machinery Investment</t>
        </is>
      </c>
      <c r="B36" s="732" t="n"/>
      <c r="C36" s="728" t="n">
        <v>30.02007569770789</v>
      </c>
      <c r="D36" s="729" t="n">
        <v>33.85254144893939</v>
      </c>
      <c r="E36" s="730" t="n">
        <v>38.31378526904906</v>
      </c>
      <c r="F36" s="31" t="n"/>
      <c r="G36" s="37" t="n"/>
      <c r="I36" s="726">
        <f>C36</f>
        <v/>
      </c>
      <c r="J36" s="726">
        <f>D36</f>
        <v/>
      </c>
      <c r="K36" s="726">
        <f>E36</f>
        <v/>
      </c>
    </row>
    <row r="37" ht="16" customHeight="1">
      <c r="A37" s="689" t="inlineStr">
        <is>
          <t>Building Investment</t>
        </is>
      </c>
      <c r="B37" s="722" t="n"/>
      <c r="C37" s="723" t="n">
        <v>1.326266666666666</v>
      </c>
      <c r="D37" s="724" t="n">
        <v>1.737866666666666</v>
      </c>
      <c r="E37" s="725" t="n">
        <v>2.378133333333333</v>
      </c>
      <c r="F37" s="31" t="n"/>
      <c r="G37" s="37" t="n"/>
      <c r="I37" s="726">
        <f>C37</f>
        <v/>
      </c>
      <c r="J37" s="726">
        <f>D37</f>
        <v/>
      </c>
      <c r="K37" s="726">
        <f>E37</f>
        <v/>
      </c>
    </row>
    <row r="38" ht="16" customHeight="1" thickBot="1">
      <c r="A38" s="689" t="inlineStr">
        <is>
          <t>Land Investment</t>
        </is>
      </c>
      <c r="B38" s="727" t="n"/>
      <c r="C38" s="728" t="n">
        <v>70.10399999999998</v>
      </c>
      <c r="D38" s="729" t="n">
        <v>80.65649999999999</v>
      </c>
      <c r="E38" s="730" t="n">
        <v>75.38025</v>
      </c>
      <c r="F38" s="31" t="n"/>
      <c r="G38" s="37" t="n"/>
      <c r="I38" s="726">
        <f>C38</f>
        <v/>
      </c>
      <c r="J38" s="726">
        <f>D38</f>
        <v/>
      </c>
      <c r="K38" s="726">
        <f>E38</f>
        <v/>
      </c>
    </row>
    <row r="39" ht="16" customHeight="1" thickBot="1">
      <c r="A39" s="70" t="inlineStr">
        <is>
          <t>Total Other Expenses (E)</t>
        </is>
      </c>
      <c r="B39" s="78">
        <f>SUM(B31:B38)</f>
        <v/>
      </c>
      <c r="C39" s="78">
        <f>SUM(C31:C38)</f>
        <v/>
      </c>
      <c r="D39" s="380">
        <f>SUM(D31:D38)</f>
        <v/>
      </c>
      <c r="E39" s="381">
        <f>SUM(E31:E38)</f>
        <v/>
      </c>
      <c r="F39" s="31" t="n"/>
      <c r="G39" s="37" t="n"/>
      <c r="I39" s="43">
        <f>SUM(I31:I38)</f>
        <v/>
      </c>
      <c r="J39" s="43">
        <f>SUM(J31:J38)</f>
        <v/>
      </c>
      <c r="K39" s="43">
        <f>SUM(K31:K38)</f>
        <v/>
      </c>
    </row>
    <row r="40" ht="16" customHeight="1" thickBot="1">
      <c r="A40" s="689" t="inlineStr">
        <is>
          <t>Labour and Management (F)*</t>
        </is>
      </c>
      <c r="B40" s="75" t="n"/>
      <c r="C40" s="906" t="n"/>
      <c r="D40" s="907" t="n"/>
      <c r="E40" s="908" t="n"/>
      <c r="F40" s="31" t="n"/>
      <c r="G40" s="37" t="n"/>
      <c r="I40" s="410" t="n"/>
      <c r="J40" s="410" t="n"/>
      <c r="K40" s="410" t="n"/>
    </row>
    <row r="41" ht="16" customHeight="1" thickBot="1">
      <c r="A41" s="89" t="inlineStr">
        <is>
          <t xml:space="preserve">Total Expenses (D+E+F)=(G) </t>
        </is>
      </c>
      <c r="B41" s="78">
        <f>B28+B39+B40</f>
        <v/>
      </c>
      <c r="C41" s="78">
        <f>C28+C39+C40</f>
        <v/>
      </c>
      <c r="D41" s="380">
        <f>D28+D39+D40</f>
        <v/>
      </c>
      <c r="E41" s="381">
        <f>E28+E39+E40</f>
        <v/>
      </c>
      <c r="F41" s="31" t="n"/>
      <c r="G41" s="37" t="n"/>
      <c r="I41" s="43">
        <f>I28+I39+I40</f>
        <v/>
      </c>
      <c r="J41" s="43">
        <f>J28+J39+J40</f>
        <v/>
      </c>
      <c r="K41" s="43">
        <f>K28+K39+K40</f>
        <v/>
      </c>
    </row>
    <row r="42" ht="16" customHeight="1" thickBot="1">
      <c r="A42" s="90" t="n"/>
      <c r="B42" s="91" t="n"/>
      <c r="C42" s="91" t="n"/>
      <c r="D42" s="92" t="n"/>
      <c r="E42" s="412" t="n"/>
      <c r="F42" s="31" t="n"/>
      <c r="G42" s="37" t="n"/>
      <c r="I42" s="410" t="n"/>
      <c r="J42" s="410" t="n"/>
      <c r="K42" s="410" t="n"/>
    </row>
    <row r="43" ht="16" customHeight="1">
      <c r="A43" s="93" t="inlineStr">
        <is>
          <t>RETURNS PER ACRE</t>
        </is>
      </c>
      <c r="B43" s="86" t="n"/>
      <c r="C43" s="909" t="n"/>
      <c r="D43" s="910" t="n"/>
      <c r="E43" s="911" t="n"/>
      <c r="F43" s="31" t="n"/>
      <c r="G43" s="37" t="n"/>
      <c r="I43" s="547" t="n"/>
      <c r="J43" s="411" t="n"/>
      <c r="K43" s="413" t="n"/>
    </row>
    <row r="44" ht="16" customHeight="1">
      <c r="A44" s="49" t="inlineStr">
        <is>
          <t xml:space="preserve"> Return over Variable Expenses (C-D) </t>
        </is>
      </c>
      <c r="B44" s="95">
        <f>B9-B28</f>
        <v/>
      </c>
      <c r="C44" s="95">
        <f>C9-C28</f>
        <v/>
      </c>
      <c r="D44" s="565">
        <f>D9-D28</f>
        <v/>
      </c>
      <c r="E44" s="566">
        <f>E9-E28</f>
        <v/>
      </c>
      <c r="F44" s="31" t="n"/>
      <c r="G44" s="37" t="n"/>
      <c r="I44" s="95">
        <f>I9-I28</f>
        <v/>
      </c>
      <c r="J44" s="105">
        <f>J9-J28</f>
        <v/>
      </c>
      <c r="K44" s="566">
        <f>K9-K28</f>
        <v/>
      </c>
    </row>
    <row r="45" ht="16" customHeight="1" thickBot="1">
      <c r="A45" s="737" t="inlineStr">
        <is>
          <t xml:space="preserve"> Return over Total Expenses (C-G)</t>
        </is>
      </c>
      <c r="B45" s="21">
        <f>B9-B41</f>
        <v/>
      </c>
      <c r="C45" s="21">
        <f>C9-C41</f>
        <v/>
      </c>
      <c r="D45" s="401">
        <f>D9-D41</f>
        <v/>
      </c>
      <c r="E45" s="18">
        <f>E9-E41</f>
        <v/>
      </c>
      <c r="F45" s="31" t="n"/>
      <c r="G45" s="37" t="n"/>
      <c r="I45" s="21">
        <f>I9-I41</f>
        <v/>
      </c>
      <c r="J45" s="100">
        <f>J9-J41</f>
        <v/>
      </c>
      <c r="K45" s="18">
        <f>K9-K41</f>
        <v/>
      </c>
    </row>
    <row r="46" ht="16" customHeight="1" thickBot="1">
      <c r="A46" s="32" t="n"/>
      <c r="B46" s="19" t="n"/>
      <c r="C46" s="738" t="n"/>
      <c r="D46" s="739" t="n"/>
      <c r="E46" s="740" t="n"/>
      <c r="F46" s="31" t="n"/>
      <c r="G46" s="37" t="n"/>
      <c r="I46" s="410" t="n"/>
      <c r="J46" s="410" t="n"/>
      <c r="K46" s="410" t="n"/>
    </row>
    <row r="47" ht="16" customHeight="1">
      <c r="A47" s="51" t="inlineStr">
        <is>
          <t xml:space="preserve">BREAK-EVEN YIELD (lb./ac.) </t>
        </is>
      </c>
      <c r="B47" s="52" t="n"/>
      <c r="C47" s="741" t="n"/>
      <c r="D47" s="742" t="n"/>
      <c r="E47" s="743" t="n"/>
      <c r="F47" s="31" t="n"/>
      <c r="G47" s="37" t="n"/>
      <c r="I47" s="547" t="n"/>
      <c r="J47" s="411" t="n"/>
      <c r="K47" s="413" t="n"/>
    </row>
    <row r="48" ht="16" customHeight="1">
      <c r="A48" s="32" t="inlineStr">
        <is>
          <t>To Cover Variable Expenses</t>
        </is>
      </c>
      <c r="B48" s="20">
        <f>ROUND((B28)/B8,2)</f>
        <v/>
      </c>
      <c r="C48" s="567">
        <f>ROUND((C28)/C8,2)</f>
        <v/>
      </c>
      <c r="D48" s="568">
        <f>ROUND((D28)/D8,2)</f>
        <v/>
      </c>
      <c r="E48" s="569">
        <f>ROUND((E28)/E8,2)</f>
        <v/>
      </c>
      <c r="F48" s="31" t="n"/>
      <c r="G48" s="37" t="n"/>
      <c r="I48" s="567">
        <f>ROUND((I28)/I8,2)</f>
        <v/>
      </c>
      <c r="J48" s="573">
        <f>ROUND((J28)/J8,2)</f>
        <v/>
      </c>
      <c r="K48" s="569">
        <f>ROUND((K28)/K8,2)</f>
        <v/>
      </c>
    </row>
    <row r="49" ht="16" customHeight="1" thickBot="1">
      <c r="A49" s="53" t="inlineStr">
        <is>
          <t>To Cover Total Expenses</t>
        </is>
      </c>
      <c r="B49" s="21">
        <f>ROUND(B41/B8,2)</f>
        <v/>
      </c>
      <c r="C49" s="570">
        <f>ROUND(C41/C8,2)</f>
        <v/>
      </c>
      <c r="D49" s="571">
        <f>ROUND(D41/D8,2)</f>
        <v/>
      </c>
      <c r="E49" s="572">
        <f>ROUND(E41/E8,2)</f>
        <v/>
      </c>
      <c r="F49" s="31" t="n"/>
      <c r="G49" s="37" t="n"/>
      <c r="I49" s="570">
        <f>ROUND(I41/I8,2)</f>
        <v/>
      </c>
      <c r="J49" s="574">
        <f>ROUND(J41/J8,2)</f>
        <v/>
      </c>
      <c r="K49" s="572">
        <f>ROUND(K41/K8,2)</f>
        <v/>
      </c>
    </row>
    <row r="50" ht="16" customHeight="1" thickBot="1">
      <c r="A50" s="32" t="n"/>
      <c r="B50" s="744" t="n"/>
      <c r="C50" s="738" t="n"/>
      <c r="D50" s="739" t="n"/>
      <c r="E50" s="740" t="n"/>
      <c r="F50" s="31" t="n"/>
      <c r="G50" s="37" t="n"/>
      <c r="I50" s="410" t="n"/>
      <c r="J50" s="410" t="n"/>
      <c r="K50" s="410" t="n"/>
    </row>
    <row r="51" ht="16" customHeight="1">
      <c r="A51" s="51" t="inlineStr">
        <is>
          <t>BREAK-EVEN PRICE ($ per lb.)</t>
        </is>
      </c>
      <c r="B51" s="52" t="n"/>
      <c r="C51" s="741" t="n"/>
      <c r="D51" s="742" t="n"/>
      <c r="E51" s="743" t="n"/>
      <c r="F51" s="31" t="n"/>
      <c r="G51" s="37" t="n"/>
      <c r="I51" s="547" t="n"/>
      <c r="J51" s="411" t="n"/>
      <c r="K51" s="413" t="n"/>
    </row>
    <row r="52" ht="16" customHeight="1">
      <c r="A52" s="32" t="inlineStr">
        <is>
          <t>To Cover Variable Expenses</t>
        </is>
      </c>
      <c r="B52" s="20">
        <f>ROUND((B28)/B7,2)</f>
        <v/>
      </c>
      <c r="C52" s="20">
        <f>ROUND((C28)/C7,2)</f>
        <v/>
      </c>
      <c r="D52" s="400">
        <f>ROUND((D28)/D7,2)</f>
        <v/>
      </c>
      <c r="E52" s="16">
        <f>ROUND((E28)/E7,2)</f>
        <v/>
      </c>
      <c r="F52" s="31" t="n"/>
      <c r="G52" s="37" t="n"/>
      <c r="I52" s="20">
        <f>ROUND((I28)/I7,2)</f>
        <v/>
      </c>
      <c r="J52" s="99">
        <f>ROUND((J28)/J7,2)</f>
        <v/>
      </c>
      <c r="K52" s="16">
        <f>ROUND((K28)/K7,2)</f>
        <v/>
      </c>
    </row>
    <row r="53" ht="16" customHeight="1" thickBot="1">
      <c r="A53" s="53" t="inlineStr">
        <is>
          <t>To Cover Total Expenses</t>
        </is>
      </c>
      <c r="B53" s="21">
        <f>ROUND(B41/B7,2)</f>
        <v/>
      </c>
      <c r="C53" s="21">
        <f>ROUND(C41/C7,2)</f>
        <v/>
      </c>
      <c r="D53" s="401">
        <f>ROUND(D41/D7,2)</f>
        <v/>
      </c>
      <c r="E53" s="18">
        <f>ROUND(E41/E7,2)</f>
        <v/>
      </c>
      <c r="F53" s="31" t="n"/>
      <c r="G53" s="37" t="n"/>
      <c r="I53" s="21">
        <f>ROUND(I41/I7,2)</f>
        <v/>
      </c>
      <c r="J53" s="100">
        <f>ROUND(J41/J7,2)</f>
        <v/>
      </c>
      <c r="K53" s="18">
        <f>ROUND(K41/K7,2)</f>
        <v/>
      </c>
    </row>
    <row r="54" ht="16" customHeight="1" thickBot="1">
      <c r="A54" s="55" t="n"/>
      <c r="B54" s="17" t="n"/>
      <c r="C54" s="17" t="n"/>
      <c r="D54" s="17" t="n"/>
      <c r="E54" s="17" t="n"/>
      <c r="F54" s="31" t="n"/>
    </row>
    <row r="55" ht="16" customHeight="1">
      <c r="A55" s="47" t="inlineStr">
        <is>
          <t>YIELD SENSITIVITY (same expenses but average yield)</t>
        </is>
      </c>
      <c r="B55" s="64" t="n"/>
      <c r="C55" s="408" t="n"/>
      <c r="D55" s="408" t="n"/>
      <c r="E55" s="408" t="n"/>
      <c r="F55" s="31" t="n"/>
    </row>
    <row r="56" ht="16" customHeight="1">
      <c r="A56" s="49" t="inlineStr">
        <is>
          <t>Provincial Average Yield (lb./ac)</t>
        </is>
      </c>
      <c r="B56" s="65" t="n"/>
      <c r="C56" s="568">
        <f>I7</f>
        <v/>
      </c>
      <c r="D56" s="568">
        <f>J7</f>
        <v/>
      </c>
      <c r="E56" s="568">
        <f>K7</f>
        <v/>
      </c>
      <c r="F56" s="31" t="n"/>
    </row>
    <row r="57" ht="16" customHeight="1">
      <c r="A57" s="49" t="inlineStr">
        <is>
          <t xml:space="preserve"> Return over Variable Expenses </t>
        </is>
      </c>
      <c r="B57" s="65" t="n"/>
      <c r="C57" s="17">
        <f>I44</f>
        <v/>
      </c>
      <c r="D57" s="17">
        <f>J44</f>
        <v/>
      </c>
      <c r="E57" s="17">
        <f>K44</f>
        <v/>
      </c>
      <c r="F57" s="31" t="n"/>
    </row>
    <row r="58" ht="16" customHeight="1" thickBot="1">
      <c r="A58" s="737" t="inlineStr">
        <is>
          <t xml:space="preserve"> Return over Total Expenses </t>
        </is>
      </c>
      <c r="B58" s="66" t="n"/>
      <c r="C58" s="409">
        <f>I45</f>
        <v/>
      </c>
      <c r="D58" s="409">
        <f>J45</f>
        <v/>
      </c>
      <c r="E58" s="409">
        <f>K45</f>
        <v/>
      </c>
      <c r="F58" s="750" t="n"/>
    </row>
    <row r="59" ht="16" customHeight="1">
      <c r="A59" s="22" t="inlineStr">
        <is>
          <t>*Farm managers need to determine their own actual labour and management costs and add it to total expenses.</t>
        </is>
      </c>
      <c r="B59" s="24" t="n"/>
      <c r="C59" s="24" t="n"/>
      <c r="D59" s="24" t="n"/>
      <c r="E59" s="24" t="n"/>
    </row>
    <row r="60" ht="16" customHeight="1">
      <c r="A60" s="620" t="inlineStr">
        <is>
          <t>**Lentils are grown in the thin black soil zone that is transitional with the dark brown soil zone.  Here, the right amount of moisture coupled with good growing conditions are fitting to obtain higher yields.</t>
        </is>
      </c>
      <c r="B60" s="24" t="n"/>
      <c r="C60" s="24" t="n"/>
      <c r="D60" s="24" t="n"/>
      <c r="E60" s="24" t="n"/>
    </row>
    <row r="61">
      <c r="A61" s="24" t="n"/>
      <c r="B61" s="24" t="n"/>
      <c r="C61" s="24" t="n"/>
      <c r="D61" s="24" t="n"/>
      <c r="E61" s="24" t="n"/>
    </row>
    <row r="62" ht="16" customHeight="1">
      <c r="A62" s="57" t="n"/>
      <c r="B62" s="56" t="n"/>
      <c r="C62" s="429" t="n"/>
      <c r="D62" s="429" t="n"/>
      <c r="E62" s="429" t="n"/>
    </row>
    <row r="63" ht="16" customHeight="1">
      <c r="A63" s="57" t="n"/>
      <c r="B63" s="56" t="n"/>
      <c r="C63" s="56" t="n"/>
      <c r="D63" s="56" t="n"/>
      <c r="E63" s="56" t="n"/>
    </row>
  </sheetData>
  <mergeCells count="2">
    <mergeCell ref="F3:F58"/>
    <mergeCell ref="I4:K4"/>
  </mergeCells>
  <pageMargins left="0.7" right="0.7" top="0.75" bottom="0.75" header="0.3" footer="0.3"/>
  <pageSetup orientation="portrait"/>
</worksheet>
</file>

<file path=xl/worksheets/sheet26.xml><?xml version="1.0" encoding="utf-8"?>
<worksheet xmlns="http://schemas.openxmlformats.org/spreadsheetml/2006/main">
  <sheetPr>
    <outlinePr summaryBelow="1" summaryRight="1"/>
    <pageSetUpPr/>
  </sheetPr>
  <dimension ref="A1:K63"/>
  <sheetViews>
    <sheetView showGridLines="0" topLeftCell="A26" workbookViewId="0">
      <selection activeCell="E28" sqref="E28"/>
    </sheetView>
  </sheetViews>
  <sheetFormatPr baseColWidth="8" defaultRowHeight="16" customHeight="1"/>
  <cols>
    <col width="55.7109375" customWidth="1" min="1" max="1"/>
    <col width="13.85546875" bestFit="1" customWidth="1" min="2" max="2"/>
    <col width="11.42578125" customWidth="1" min="3" max="3"/>
    <col width="13.85546875" bestFit="1" customWidth="1" min="4" max="5"/>
    <col width="50.28515625" customWidth="1" min="6" max="6"/>
    <col width="13.42578125" customWidth="1" min="9" max="11"/>
  </cols>
  <sheetData>
    <row r="1" ht="16" customHeight="1">
      <c r="A1" s="23" t="inlineStr">
        <is>
          <t>GREEN PEAS PRODUCTION COSTS ($/ACRE) FOR SASKATCHEWAN 2026</t>
        </is>
      </c>
      <c r="B1" s="23" t="n"/>
      <c r="C1" s="23" t="n"/>
      <c r="D1" s="23" t="n"/>
      <c r="E1" s="23" t="n"/>
      <c r="F1" s="24" t="n"/>
    </row>
    <row r="2" ht="16" customHeight="1" thickBot="1">
      <c r="A2" s="25" t="n"/>
      <c r="B2" s="25" t="n"/>
      <c r="C2" s="25" t="inlineStr">
        <is>
          <t>Economics</t>
        </is>
      </c>
      <c r="D2" s="25" t="n"/>
      <c r="E2" s="25" t="n"/>
      <c r="F2" s="25" t="inlineStr">
        <is>
          <t>Agronomics</t>
        </is>
      </c>
    </row>
    <row r="3" ht="16" customHeight="1" thickBot="1">
      <c r="A3" s="179" t="inlineStr">
        <is>
          <t>CROP</t>
        </is>
      </c>
      <c r="B3" s="279" t="n"/>
      <c r="C3" s="287" t="n"/>
      <c r="D3" s="675" t="inlineStr">
        <is>
          <t>GREEN PEAS</t>
        </is>
      </c>
      <c r="E3" s="282" t="n"/>
      <c r="F3" s="676" t="inlineStr">
        <is>
          <t>Seeding: A seed rate of 176 lb./ac. is used in the black soil zone, 156 lb./ac. in the dark brown soil zone and 137 lb./ac. in the brown soil zone. 
Fertilization: Inoculant with the correct strains of rhizobium should be applied. Fertility costs are based on nutrient removal rates given the targeted crop yield. These are: 8.5 lb./ac. N and 40 lb./ac. P2O5 for the black soil zone, 7.2 lb./ac. N and 34 lb./ac. P2O5 for the dark brown soil zone and 5.5 lb./ac. N and 26 lb./ac. P2O5 for the brown soil zone. Producers are encouraged to use their own rates based on soil tests.
Crop Rotation: Crop rotation will help to reduce pea leaf weevil and disease pressure by reducing pathogen levels in the field. Extended rotations are essential in fields with risk of aphanomyces root rot. 
Crop Protection                                                             Insect control: Wireworms, cutworms, lygus bugs, leafhoppers, pea aphid, grasshoppers, alfalfa looper and pea leaf weevil might require control. Seed treatments are available for wireworm and pea leaf weevil control. Refer to the ministry’s forecasts of local pea leaf weevil pressures at saskatchewan.ca/crops. 
Disease control: Fungicides will offer protection against foliar diseases such as mycosphaerella blight. This estimation includes the cost of a single fungicide application. Fungicide application should be based on disease risk. 
Weed control: Weeds in peas need to be controlled until 10 to 14 days after emergence to minimize yield losses. Herbicide costs are based on the following herbicide timings. Please refer to general assumptions for details.
Please insert herbicide application window.</t>
        </is>
      </c>
    </row>
    <row r="4" ht="16" customHeight="1" thickBot="1">
      <c r="A4" s="26" t="n"/>
      <c r="B4" s="677" t="inlineStr">
        <is>
          <t>My Farm</t>
        </is>
      </c>
      <c r="C4" s="215" t="n"/>
      <c r="D4" s="678" t="inlineStr">
        <is>
          <t>80th percentile</t>
        </is>
      </c>
      <c r="E4" s="212" t="n"/>
      <c r="F4" s="31" t="n"/>
      <c r="I4" s="679" t="inlineStr">
        <is>
          <t xml:space="preserve">Average Yield </t>
        </is>
      </c>
      <c r="J4" s="680" t="n"/>
      <c r="K4" s="681" t="n"/>
    </row>
    <row r="5" ht="16" customHeight="1" thickBot="1">
      <c r="A5" s="838" t="inlineStr">
        <is>
          <t>Soil Zone</t>
        </is>
      </c>
      <c r="B5" s="251" t="n"/>
      <c r="C5" s="912" t="inlineStr">
        <is>
          <t>Brown</t>
        </is>
      </c>
      <c r="D5" s="913" t="inlineStr">
        <is>
          <t>Dark Brown</t>
        </is>
      </c>
      <c r="E5" s="914" t="inlineStr">
        <is>
          <t>Black</t>
        </is>
      </c>
      <c r="F5" s="31" t="n"/>
      <c r="I5" s="686" t="inlineStr">
        <is>
          <t>Brown</t>
        </is>
      </c>
      <c r="J5" s="687" t="inlineStr">
        <is>
          <t>Dark Brown</t>
        </is>
      </c>
      <c r="K5" s="688" t="inlineStr">
        <is>
          <t>Black</t>
        </is>
      </c>
    </row>
    <row r="6" ht="16" customHeight="1">
      <c r="A6" s="73" t="inlineStr">
        <is>
          <t>REVENUE PER ACRE</t>
        </is>
      </c>
      <c r="B6" s="72" t="n"/>
      <c r="C6" s="350" t="n"/>
      <c r="D6" s="345" t="n"/>
      <c r="E6" s="346" t="n"/>
      <c r="F6" s="31" t="n"/>
      <c r="I6" s="332" t="n"/>
      <c r="J6" s="332" t="n"/>
      <c r="K6" s="332" t="n"/>
    </row>
    <row r="7" ht="16" customHeight="1">
      <c r="A7" s="689" t="inlineStr">
        <is>
          <t>Estimated Yield (bu./ac) (A)</t>
        </is>
      </c>
      <c r="B7" s="68" t="n"/>
      <c r="C7" s="755" t="n">
        <v>33.9882</v>
      </c>
      <c r="D7" s="691" t="n">
        <v>44.77088529084508</v>
      </c>
      <c r="E7" s="692" t="n">
        <v>52.507176</v>
      </c>
      <c r="F7" s="31" t="n"/>
      <c r="G7" s="37" t="n"/>
      <c r="I7" s="693" t="n">
        <v>22.17671606109535</v>
      </c>
      <c r="J7" s="693" t="n">
        <v>32.75607909928931</v>
      </c>
      <c r="K7" s="693" t="n">
        <v>40.58325112000308</v>
      </c>
    </row>
    <row r="8" ht="16" customHeight="1" thickBot="1">
      <c r="A8" s="689" t="inlineStr">
        <is>
          <t>Est. On Farm Market Price $/bu. (B)</t>
        </is>
      </c>
      <c r="B8" s="69" t="n"/>
      <c r="C8" s="903" t="n">
        <v>10.2</v>
      </c>
      <c r="D8" s="904" t="n">
        <v>10.2</v>
      </c>
      <c r="E8" s="905" t="n">
        <v>10.2</v>
      </c>
      <c r="F8" s="31" t="n"/>
      <c r="G8" s="37" t="n"/>
      <c r="I8" s="696">
        <f>C8</f>
        <v/>
      </c>
      <c r="J8" s="696">
        <f>D8</f>
        <v/>
      </c>
      <c r="K8" s="696">
        <f>E8</f>
        <v/>
      </c>
    </row>
    <row r="9" ht="16" customHeight="1" thickBot="1">
      <c r="A9" s="70" t="inlineStr">
        <is>
          <t>Estimated Gross Revenue/ac (AxB)=C</t>
        </is>
      </c>
      <c r="B9" s="71">
        <f>ROUND((B8*B7),2)</f>
        <v/>
      </c>
      <c r="C9" s="95">
        <f>ROUND((C8*C7),2)</f>
        <v/>
      </c>
      <c r="D9" s="92">
        <f>ROUND((D8*D7),2)</f>
        <v/>
      </c>
      <c r="E9" s="412">
        <f>ROUND((E8*E7),2)</f>
        <v/>
      </c>
      <c r="F9" s="31" t="n"/>
      <c r="G9" s="37" t="n"/>
      <c r="I9" s="40">
        <f>ROUND((I8*I7),2)</f>
        <v/>
      </c>
      <c r="J9" s="40">
        <f>ROUND((J8*J7),2)</f>
        <v/>
      </c>
      <c r="K9" s="40">
        <f>ROUND((K8*K7),2)</f>
        <v/>
      </c>
    </row>
    <row r="10">
      <c r="A10" s="67" t="n"/>
      <c r="B10" s="72" t="n"/>
      <c r="C10" s="697" t="n"/>
      <c r="D10" s="698" t="n"/>
      <c r="E10" s="699" t="n"/>
      <c r="F10" s="31" t="n"/>
      <c r="G10" s="37" t="n"/>
      <c r="I10" s="410" t="n"/>
      <c r="J10" s="410" t="n"/>
      <c r="K10" s="410" t="n"/>
    </row>
    <row r="11" ht="16" customHeight="1">
      <c r="A11" s="73" t="inlineStr">
        <is>
          <t>EXPENSES PER ACRE</t>
        </is>
      </c>
      <c r="B11" s="72" t="n"/>
      <c r="C11" s="296" t="n"/>
      <c r="D11" s="700" t="n"/>
      <c r="E11" s="701" t="n"/>
      <c r="F11" s="31" t="n"/>
      <c r="G11" s="37" t="n"/>
      <c r="I11" s="410" t="n"/>
      <c r="J11" s="410" t="n"/>
      <c r="K11" s="410" t="n"/>
    </row>
    <row r="12" ht="16" customHeight="1">
      <c r="A12" s="73" t="inlineStr">
        <is>
          <t>Variable Expenses/acre</t>
        </is>
      </c>
      <c r="B12" s="72" t="n"/>
      <c r="C12" s="296" t="n"/>
      <c r="D12" s="700" t="n"/>
      <c r="E12" s="702" t="n"/>
      <c r="F12" s="31" t="n"/>
      <c r="G12" s="37" t="n"/>
      <c r="I12" s="410" t="n"/>
      <c r="J12" s="410" t="n"/>
      <c r="K12" s="410" t="n"/>
    </row>
    <row r="13" ht="16" customHeight="1">
      <c r="A13" s="689" t="inlineStr">
        <is>
          <t>Seed</t>
        </is>
      </c>
      <c r="B13" s="74" t="n"/>
      <c r="C13" s="703" t="n">
        <v>39.182</v>
      </c>
      <c r="D13" s="704" t="n">
        <v>44.616</v>
      </c>
      <c r="E13" s="705" t="n">
        <v>50.336</v>
      </c>
      <c r="F13" s="31" t="n"/>
      <c r="G13" s="37" t="n"/>
      <c r="I13" s="696">
        <f>C13</f>
        <v/>
      </c>
      <c r="J13" s="696">
        <f>D13</f>
        <v/>
      </c>
      <c r="K13" s="696">
        <f>E13</f>
        <v/>
      </c>
    </row>
    <row r="14" ht="16" customHeight="1">
      <c r="A14" s="689" t="inlineStr">
        <is>
          <t xml:space="preserve">                     -Seed Treatments/Inoculants</t>
        </is>
      </c>
      <c r="B14" s="74" t="n"/>
      <c r="C14" s="703" t="n">
        <v>8.147156879643658</v>
      </c>
      <c r="D14" s="704" t="n">
        <v>9.277054549083289</v>
      </c>
      <c r="E14" s="705" t="n">
        <v>10.46642051691448</v>
      </c>
      <c r="F14" s="31" t="n"/>
      <c r="G14" s="37" t="n"/>
      <c r="I14" s="696">
        <f>C14</f>
        <v/>
      </c>
      <c r="J14" s="696">
        <f>D14</f>
        <v/>
      </c>
      <c r="K14" s="696">
        <f>E14</f>
        <v/>
      </c>
    </row>
    <row r="15" ht="16" customHeight="1">
      <c r="A15" s="689" t="inlineStr">
        <is>
          <t>Fertilizer -Nitrogen (N)</t>
        </is>
      </c>
      <c r="B15" s="74" t="n"/>
      <c r="C15" s="709" t="n">
        <v>4.50268286909177</v>
      </c>
      <c r="D15" s="710" t="n">
        <v>5.894421210447408</v>
      </c>
      <c r="E15" s="708" t="n">
        <v>6.95869170677819</v>
      </c>
      <c r="F15" s="31" t="n"/>
      <c r="G15" s="37" t="n"/>
      <c r="I15" s="696">
        <f>C15</f>
        <v/>
      </c>
      <c r="J15" s="696">
        <f>D15</f>
        <v/>
      </c>
      <c r="K15" s="696">
        <f>E15</f>
        <v/>
      </c>
    </row>
    <row r="16" ht="16" customHeight="1">
      <c r="A16" s="689" t="inlineStr">
        <is>
          <t xml:space="preserve">               -Phosphorous (P2O5)</t>
        </is>
      </c>
      <c r="B16" s="74" t="n"/>
      <c r="C16" s="706" t="n">
        <v>24.98915016176122</v>
      </c>
      <c r="D16" s="707" t="n">
        <v>32.67811944230314</v>
      </c>
      <c r="E16" s="708" t="n">
        <v>38.44484640270957</v>
      </c>
      <c r="F16" s="31" t="n"/>
      <c r="G16" s="37" t="n"/>
      <c r="I16" s="696">
        <f>C16</f>
        <v/>
      </c>
      <c r="J16" s="696">
        <f>D16</f>
        <v/>
      </c>
      <c r="K16" s="696">
        <f>E16</f>
        <v/>
      </c>
    </row>
    <row r="17" ht="16" customHeight="1">
      <c r="A17" s="689" t="inlineStr">
        <is>
          <t xml:space="preserve">               -Sulphur and Other</t>
        </is>
      </c>
      <c r="B17" s="75" t="n"/>
      <c r="C17" s="709" t="n">
        <v>0</v>
      </c>
      <c r="D17" s="710" t="n">
        <v>0</v>
      </c>
      <c r="E17" s="711" t="n">
        <v>0</v>
      </c>
      <c r="F17" s="31" t="n"/>
      <c r="G17" s="37" t="n"/>
      <c r="I17" s="696">
        <f>C17</f>
        <v/>
      </c>
      <c r="J17" s="696">
        <f>D17</f>
        <v/>
      </c>
      <c r="K17" s="696">
        <f>E17</f>
        <v/>
      </c>
    </row>
    <row r="18" ht="16" customHeight="1">
      <c r="A18" s="689" t="inlineStr">
        <is>
          <t>Plant Protection -Herbicides</t>
        </is>
      </c>
      <c r="B18" s="74" t="n"/>
      <c r="C18" s="703" t="n">
        <v>83.24418789089221</v>
      </c>
      <c r="D18" s="704" t="n">
        <v>80.85263116266002</v>
      </c>
      <c r="E18" s="705" t="n">
        <v>79.77585939116491</v>
      </c>
      <c r="F18" s="31" t="n"/>
      <c r="G18" s="37" t="n"/>
      <c r="I18" s="696">
        <f>C18</f>
        <v/>
      </c>
      <c r="J18" s="696">
        <f>D18</f>
        <v/>
      </c>
      <c r="K18" s="696">
        <f>E18</f>
        <v/>
      </c>
    </row>
    <row r="19" ht="16" customHeight="1">
      <c r="A19" s="689" t="inlineStr">
        <is>
          <t xml:space="preserve">                     -Insecticides</t>
        </is>
      </c>
      <c r="B19" s="74" t="n"/>
      <c r="C19" s="703" t="n">
        <v>20.51980151228733</v>
      </c>
      <c r="D19" s="704" t="n">
        <v>20.51980151228733</v>
      </c>
      <c r="E19" s="705" t="n">
        <v>20.51980151228733</v>
      </c>
      <c r="F19" s="31" t="n"/>
      <c r="G19" s="37" t="n"/>
      <c r="I19" s="696">
        <f>C19</f>
        <v/>
      </c>
      <c r="J19" s="696">
        <f>D19</f>
        <v/>
      </c>
      <c r="K19" s="696">
        <f>E19</f>
        <v/>
      </c>
    </row>
    <row r="20" ht="16" customHeight="1">
      <c r="A20" s="689" t="inlineStr">
        <is>
          <t xml:space="preserve">                     -Fungicides</t>
        </is>
      </c>
      <c r="B20" s="74" t="n"/>
      <c r="C20" s="703" t="n">
        <v>23.88333333333334</v>
      </c>
      <c r="D20" s="704" t="n">
        <v>23.88333333333334</v>
      </c>
      <c r="E20" s="705" t="n">
        <v>23.88333333333334</v>
      </c>
      <c r="F20" s="31" t="n"/>
      <c r="G20" s="37" t="n"/>
      <c r="I20" s="696">
        <f>C20</f>
        <v/>
      </c>
      <c r="J20" s="696">
        <f>D20</f>
        <v/>
      </c>
      <c r="K20" s="696">
        <f>E20</f>
        <v/>
      </c>
    </row>
    <row r="21" ht="16" customHeight="1">
      <c r="A21" s="689" t="inlineStr">
        <is>
          <t>Machinery Operating -Fuel</t>
        </is>
      </c>
      <c r="B21" s="75" t="n"/>
      <c r="C21" s="712" t="n">
        <v>17.95142027333333</v>
      </c>
      <c r="D21" s="713" t="n">
        <v>22.43927534166667</v>
      </c>
      <c r="E21" s="714" t="n">
        <v>28.04909417708333</v>
      </c>
      <c r="F21" s="31" t="n"/>
      <c r="G21" s="37" t="n"/>
      <c r="I21" s="696">
        <f>C21</f>
        <v/>
      </c>
      <c r="J21" s="696">
        <f>D21</f>
        <v/>
      </c>
      <c r="K21" s="696">
        <f>E21</f>
        <v/>
      </c>
    </row>
    <row r="22" ht="16" customHeight="1">
      <c r="A22" s="689" t="inlineStr">
        <is>
          <t xml:space="preserve">                                  -Repair</t>
        </is>
      </c>
      <c r="B22" s="74" t="n"/>
      <c r="C22" s="703" t="n">
        <v>11.56328841689489</v>
      </c>
      <c r="D22" s="704" t="n">
        <v>13.03949744699887</v>
      </c>
      <c r="E22" s="705" t="n">
        <v>14.75790247400408</v>
      </c>
      <c r="F22" s="31" t="n"/>
      <c r="G22" s="37" t="n"/>
      <c r="I22" s="696">
        <f>C22</f>
        <v/>
      </c>
      <c r="J22" s="696">
        <f>D22</f>
        <v/>
      </c>
      <c r="K22" s="696">
        <f>E22</f>
        <v/>
      </c>
    </row>
    <row r="23" ht="16" customHeight="1">
      <c r="A23" s="689" t="inlineStr">
        <is>
          <t>Custom Work and Hired Labour</t>
        </is>
      </c>
      <c r="B23" s="74" t="n"/>
      <c r="C23" s="703" t="n">
        <v>21.5</v>
      </c>
      <c r="D23" s="704" t="n">
        <v>21.5</v>
      </c>
      <c r="E23" s="705" t="n">
        <v>21.5</v>
      </c>
      <c r="F23" s="31" t="n"/>
      <c r="G23" s="37" t="n"/>
      <c r="I23" s="696">
        <f>C23</f>
        <v/>
      </c>
      <c r="J23" s="696">
        <f>D23</f>
        <v/>
      </c>
      <c r="K23" s="696">
        <f>E23</f>
        <v/>
      </c>
    </row>
    <row r="24" ht="16" customHeight="1">
      <c r="A24" s="689" t="inlineStr">
        <is>
          <t>Crop Insurance Premium</t>
        </is>
      </c>
      <c r="B24" s="77" t="n"/>
      <c r="C24" s="703" t="n">
        <v>7.364753978494912</v>
      </c>
      <c r="D24" s="704" t="n">
        <v>5.915614854776929</v>
      </c>
      <c r="E24" s="705" t="n">
        <v>6.915230834890598</v>
      </c>
      <c r="F24" s="31" t="n"/>
      <c r="G24" s="37" t="n"/>
      <c r="I24" s="696">
        <f>C24</f>
        <v/>
      </c>
      <c r="J24" s="696">
        <f>D24</f>
        <v/>
      </c>
      <c r="K24" s="696">
        <f>E24</f>
        <v/>
      </c>
    </row>
    <row r="25" ht="16" customHeight="1">
      <c r="A25" s="689" t="inlineStr">
        <is>
          <t>Hail Insurance Premium</t>
        </is>
      </c>
      <c r="B25" s="77" t="n"/>
      <c r="C25" s="703" t="n">
        <v>14</v>
      </c>
      <c r="D25" s="704" t="n">
        <v>14</v>
      </c>
      <c r="E25" s="705" t="n">
        <v>14</v>
      </c>
      <c r="F25" s="31" t="n"/>
      <c r="G25" s="37" t="n"/>
      <c r="I25" s="696">
        <f>C25</f>
        <v/>
      </c>
      <c r="J25" s="696">
        <f>D25</f>
        <v/>
      </c>
      <c r="K25" s="696">
        <f>E25</f>
        <v/>
      </c>
    </row>
    <row r="26" ht="16" customHeight="1">
      <c r="A26" s="689" t="inlineStr">
        <is>
          <t>Utilities and Miscellaneous</t>
        </is>
      </c>
      <c r="B26" s="75" t="n"/>
      <c r="C26" s="703" t="n">
        <v>4.395974170413743</v>
      </c>
      <c r="D26" s="704" t="n">
        <v>5.768849384517721</v>
      </c>
      <c r="E26" s="705" t="n">
        <v>6.656364674443524</v>
      </c>
      <c r="F26" s="31" t="n"/>
      <c r="G26" s="37" t="n"/>
      <c r="I26" s="696">
        <f>C26</f>
        <v/>
      </c>
      <c r="J26" s="696">
        <f>D26</f>
        <v/>
      </c>
      <c r="K26" s="696">
        <f>E26</f>
        <v/>
      </c>
    </row>
    <row r="27" ht="16" customHeight="1" thickBot="1">
      <c r="A27" s="689" t="inlineStr">
        <is>
          <t>Interest on Variable Expenses</t>
        </is>
      </c>
      <c r="B27" s="74" t="n"/>
      <c r="C27" s="878" t="n">
        <v>10.64976331387541</v>
      </c>
      <c r="D27" s="879" t="n">
        <v>11.37456345328176</v>
      </c>
      <c r="E27" s="880" t="n">
        <v>12.20304623822734</v>
      </c>
      <c r="F27" s="31" t="n"/>
      <c r="G27" s="37" t="n"/>
      <c r="I27" s="696">
        <f>C27</f>
        <v/>
      </c>
      <c r="J27" s="696">
        <f>D27</f>
        <v/>
      </c>
      <c r="K27" s="696">
        <f>E27</f>
        <v/>
      </c>
    </row>
    <row r="28" ht="16" customHeight="1" thickBot="1">
      <c r="A28" s="70" t="inlineStr">
        <is>
          <t>Total Variable Expenses (D)</t>
        </is>
      </c>
      <c r="B28" s="78">
        <f>SUM(B13:B27)</f>
        <v/>
      </c>
      <c r="C28" s="539">
        <f>SUM(C13:C27)</f>
        <v/>
      </c>
      <c r="D28" s="102">
        <f>SUM(D13:D27)</f>
        <v/>
      </c>
      <c r="E28" s="540">
        <f>SUM(E13:E27)</f>
        <v/>
      </c>
      <c r="F28" s="31" t="n"/>
      <c r="G28" s="37" t="n"/>
      <c r="I28" s="43">
        <f>SUM(I13:I27)</f>
        <v/>
      </c>
      <c r="J28" s="43">
        <f>SUM(J13:J27)</f>
        <v/>
      </c>
      <c r="K28" s="43">
        <f>SUM(K13:K27)</f>
        <v/>
      </c>
    </row>
    <row r="29">
      <c r="A29" s="67" t="n"/>
      <c r="B29" s="72" t="n"/>
      <c r="C29" s="721" t="n"/>
      <c r="D29" s="700" t="n"/>
      <c r="E29" s="701" t="n"/>
      <c r="F29" s="31" t="n"/>
      <c r="G29" s="37" t="n"/>
      <c r="I29" s="410" t="n"/>
      <c r="J29" s="410" t="n"/>
      <c r="K29" s="410" t="n"/>
    </row>
    <row r="30" ht="16" customHeight="1">
      <c r="A30" s="73" t="inlineStr">
        <is>
          <t>Other Expenses/acre</t>
        </is>
      </c>
      <c r="B30" s="72" t="n"/>
      <c r="C30" s="721" t="n"/>
      <c r="D30" s="700" t="n"/>
      <c r="E30" s="701" t="n"/>
      <c r="F30" s="31" t="n"/>
      <c r="G30" s="37" t="n"/>
      <c r="I30" s="410" t="n"/>
      <c r="J30" s="410" t="n"/>
      <c r="K30" s="410" t="n"/>
    </row>
    <row r="31" ht="16" customHeight="1">
      <c r="A31" s="689" t="inlineStr">
        <is>
          <t>Building Repair</t>
        </is>
      </c>
      <c r="B31" s="722" t="n"/>
      <c r="C31" s="723" t="n">
        <v>0.7445684561908097</v>
      </c>
      <c r="D31" s="724" t="n">
        <v>0.9756414253534748</v>
      </c>
      <c r="E31" s="725" t="n">
        <v>1.335088266273176</v>
      </c>
      <c r="F31" s="31" t="n"/>
      <c r="G31" s="37" t="n"/>
      <c r="I31" s="726">
        <f>C31</f>
        <v/>
      </c>
      <c r="J31" s="726">
        <f>D31</f>
        <v/>
      </c>
      <c r="K31" s="726">
        <f>E31</f>
        <v/>
      </c>
    </row>
    <row r="32" ht="16" customHeight="1">
      <c r="A32" s="689" t="inlineStr">
        <is>
          <t>Property Taxes</t>
        </is>
      </c>
      <c r="B32" s="727" t="n"/>
      <c r="C32" s="728" t="n">
        <v>5.076533574707355</v>
      </c>
      <c r="D32" s="729" t="n">
        <v>6.642698188180902</v>
      </c>
      <c r="E32" s="730" t="n">
        <v>10.0720586349247</v>
      </c>
      <c r="F32" s="31" t="n"/>
      <c r="G32" s="37" t="n"/>
      <c r="I32" s="726">
        <f>C32</f>
        <v/>
      </c>
      <c r="J32" s="726">
        <f>D32</f>
        <v/>
      </c>
      <c r="K32" s="726">
        <f>E32</f>
        <v/>
      </c>
    </row>
    <row r="33" ht="16" customHeight="1">
      <c r="A33" s="689" t="inlineStr">
        <is>
          <t>Business Overhead</t>
        </is>
      </c>
      <c r="B33" s="731" t="n"/>
      <c r="C33" s="723" t="n">
        <v>2.607474711623781</v>
      </c>
      <c r="D33" s="724" t="n">
        <v>3.986427684117127</v>
      </c>
      <c r="E33" s="725" t="n">
        <v>4.675904170363799</v>
      </c>
      <c r="F33" s="31" t="n"/>
      <c r="G33" s="37" t="n"/>
      <c r="I33" s="726">
        <f>C33</f>
        <v/>
      </c>
      <c r="J33" s="726">
        <f>D33</f>
        <v/>
      </c>
      <c r="K33" s="726">
        <f>E33</f>
        <v/>
      </c>
    </row>
    <row r="34" ht="16" customHeight="1">
      <c r="A34" s="689" t="inlineStr">
        <is>
          <t>Machinery Depreciation</t>
        </is>
      </c>
      <c r="B34" s="732" t="n"/>
      <c r="C34" s="728" t="n">
        <v>47.58737925414436</v>
      </c>
      <c r="D34" s="729" t="n">
        <v>53.66254718572614</v>
      </c>
      <c r="E34" s="730" t="n">
        <v>60.73444479686295</v>
      </c>
      <c r="F34" s="31" t="n"/>
      <c r="G34" s="37" t="n"/>
      <c r="I34" s="726">
        <f>C34</f>
        <v/>
      </c>
      <c r="J34" s="726">
        <f>D34</f>
        <v/>
      </c>
      <c r="K34" s="726">
        <f>E34</f>
        <v/>
      </c>
    </row>
    <row r="35" ht="16" customHeight="1">
      <c r="A35" s="689" t="inlineStr">
        <is>
          <t>Building Depreciation</t>
        </is>
      </c>
      <c r="B35" s="722" t="n"/>
      <c r="C35" s="723" t="n">
        <v>1.45</v>
      </c>
      <c r="D35" s="724" t="n">
        <v>1.9</v>
      </c>
      <c r="E35" s="725" t="n">
        <v>2.6</v>
      </c>
      <c r="F35" s="31" t="n"/>
      <c r="G35" s="37" t="n"/>
      <c r="I35" s="726">
        <f>C35</f>
        <v/>
      </c>
      <c r="J35" s="726">
        <f>D35</f>
        <v/>
      </c>
      <c r="K35" s="726">
        <f>E35</f>
        <v/>
      </c>
    </row>
    <row r="36" ht="16" customHeight="1">
      <c r="A36" s="689" t="inlineStr">
        <is>
          <t>Machinery Investment</t>
        </is>
      </c>
      <c r="B36" s="732" t="n"/>
      <c r="C36" s="728" t="n">
        <v>30.02007569770789</v>
      </c>
      <c r="D36" s="729" t="n">
        <v>33.85254144893939</v>
      </c>
      <c r="E36" s="730" t="n">
        <v>38.31378526904906</v>
      </c>
      <c r="F36" s="31" t="n"/>
      <c r="G36" s="37" t="n"/>
      <c r="I36" s="726">
        <f>C36</f>
        <v/>
      </c>
      <c r="J36" s="726">
        <f>D36</f>
        <v/>
      </c>
      <c r="K36" s="726">
        <f>E36</f>
        <v/>
      </c>
    </row>
    <row r="37" ht="16" customHeight="1">
      <c r="A37" s="689" t="inlineStr">
        <is>
          <t>Building Investment</t>
        </is>
      </c>
      <c r="B37" s="722" t="n"/>
      <c r="C37" s="723" t="n">
        <v>1.326266666666666</v>
      </c>
      <c r="D37" s="724" t="n">
        <v>1.737866666666666</v>
      </c>
      <c r="E37" s="725" t="n">
        <v>2.378133333333333</v>
      </c>
      <c r="F37" s="31" t="n"/>
      <c r="G37" s="37" t="n"/>
      <c r="I37" s="726">
        <f>C37</f>
        <v/>
      </c>
      <c r="J37" s="726">
        <f>D37</f>
        <v/>
      </c>
      <c r="K37" s="726">
        <f>E37</f>
        <v/>
      </c>
    </row>
    <row r="38" ht="16" customHeight="1" thickBot="1">
      <c r="A38" s="689" t="inlineStr">
        <is>
          <t>Land Investment</t>
        </is>
      </c>
      <c r="B38" s="727" t="n"/>
      <c r="C38" s="728" t="n">
        <v>70.10399999999998</v>
      </c>
      <c r="D38" s="729" t="n">
        <v>80.65649999999999</v>
      </c>
      <c r="E38" s="730" t="n">
        <v>75.38025</v>
      </c>
      <c r="F38" s="31" t="n"/>
      <c r="G38" s="37" t="n"/>
      <c r="I38" s="726">
        <f>C38</f>
        <v/>
      </c>
      <c r="J38" s="726">
        <f>D38</f>
        <v/>
      </c>
      <c r="K38" s="726">
        <f>E38</f>
        <v/>
      </c>
    </row>
    <row r="39" ht="16" customHeight="1" thickBot="1">
      <c r="A39" s="70" t="inlineStr">
        <is>
          <t>Total Other Expenses (E)</t>
        </is>
      </c>
      <c r="B39" s="78">
        <f>SUM(B31:B38)</f>
        <v/>
      </c>
      <c r="C39" s="78">
        <f>SUM(C31:C38)</f>
        <v/>
      </c>
      <c r="D39" s="380">
        <f>SUM(D31:D38)</f>
        <v/>
      </c>
      <c r="E39" s="381">
        <f>SUM(E31:E38)</f>
        <v/>
      </c>
      <c r="F39" s="31" t="n"/>
      <c r="G39" s="37" t="n"/>
      <c r="I39" s="43">
        <f>SUM(I31:I38)</f>
        <v/>
      </c>
      <c r="J39" s="43">
        <f>SUM(J31:J38)</f>
        <v/>
      </c>
      <c r="K39" s="43">
        <f>SUM(K31:K38)</f>
        <v/>
      </c>
    </row>
    <row r="40" ht="16" customHeight="1" thickBot="1">
      <c r="A40" s="689" t="inlineStr">
        <is>
          <t>Labour and Management (F)*</t>
        </is>
      </c>
      <c r="B40" s="75" t="n"/>
      <c r="C40" s="906" t="n"/>
      <c r="D40" s="907" t="n"/>
      <c r="E40" s="908" t="n"/>
      <c r="F40" s="31" t="n"/>
      <c r="G40" s="37" t="n"/>
      <c r="I40" s="410" t="n"/>
      <c r="J40" s="410" t="n"/>
      <c r="K40" s="410" t="n"/>
    </row>
    <row r="41" ht="16" customHeight="1" thickBot="1">
      <c r="A41" s="89" t="inlineStr">
        <is>
          <t xml:space="preserve">Total Expenses (D+E+F)=(G) </t>
        </is>
      </c>
      <c r="B41" s="78">
        <f>B28+B39+B40</f>
        <v/>
      </c>
      <c r="C41" s="78">
        <f>C28+C39+C40</f>
        <v/>
      </c>
      <c r="D41" s="380">
        <f>D28+D39+D40</f>
        <v/>
      </c>
      <c r="E41" s="381">
        <f>E28+E39+E40</f>
        <v/>
      </c>
      <c r="F41" s="31" t="n"/>
      <c r="G41" s="37" t="n"/>
      <c r="I41" s="43">
        <f>I28+I39+I40</f>
        <v/>
      </c>
      <c r="J41" s="43">
        <f>J28+J39+J40</f>
        <v/>
      </c>
      <c r="K41" s="43">
        <f>K28+K39+K40</f>
        <v/>
      </c>
    </row>
    <row r="42" ht="16" customHeight="1" thickBot="1">
      <c r="A42" s="46" t="n"/>
      <c r="B42" s="19" t="n"/>
      <c r="C42" s="19" t="n"/>
      <c r="D42" s="17" t="n"/>
      <c r="E42" s="544" t="n"/>
      <c r="F42" s="31" t="n"/>
      <c r="G42" s="37" t="n"/>
      <c r="I42" s="410" t="n"/>
      <c r="J42" s="410" t="n"/>
      <c r="K42" s="410" t="n"/>
    </row>
    <row r="43" ht="16" customHeight="1">
      <c r="A43" s="47" t="inlineStr">
        <is>
          <t>RETURNS PER ACRE</t>
        </is>
      </c>
      <c r="B43" s="48" t="n"/>
      <c r="C43" s="884" t="n"/>
      <c r="D43" s="742" t="n"/>
      <c r="E43" s="885" t="n"/>
      <c r="F43" s="31" t="n"/>
      <c r="G43" s="37" t="n"/>
      <c r="I43" s="547" t="n"/>
      <c r="J43" s="411" t="n"/>
      <c r="K43" s="413" t="n"/>
    </row>
    <row r="44" ht="16" customHeight="1">
      <c r="A44" s="49" t="inlineStr">
        <is>
          <t xml:space="preserve"> Return over Variable Expenses (C-D) </t>
        </is>
      </c>
      <c r="B44" s="20">
        <f>B9-B28</f>
        <v/>
      </c>
      <c r="C44" s="20">
        <f>C9-C28</f>
        <v/>
      </c>
      <c r="D44" s="400">
        <f>D9-D28</f>
        <v/>
      </c>
      <c r="E44" s="16">
        <f>E9-E28</f>
        <v/>
      </c>
      <c r="F44" s="31" t="n"/>
      <c r="G44" s="37" t="n"/>
      <c r="I44" s="20">
        <f>I9-I28</f>
        <v/>
      </c>
      <c r="J44" s="99">
        <f>J9-J28</f>
        <v/>
      </c>
      <c r="K44" s="16">
        <f>K9-K28</f>
        <v/>
      </c>
    </row>
    <row r="45" ht="16" customHeight="1" thickBot="1">
      <c r="A45" s="737" t="inlineStr">
        <is>
          <t xml:space="preserve"> Return over Total Expenses (C-G)</t>
        </is>
      </c>
      <c r="B45" s="21">
        <f>B9-B41</f>
        <v/>
      </c>
      <c r="C45" s="21">
        <f>C9-C41</f>
        <v/>
      </c>
      <c r="D45" s="401">
        <f>D9-D41</f>
        <v/>
      </c>
      <c r="E45" s="18">
        <f>E9-E41</f>
        <v/>
      </c>
      <c r="F45" s="31" t="n"/>
      <c r="G45" s="37" t="n"/>
      <c r="I45" s="21">
        <f>I9-I41</f>
        <v/>
      </c>
      <c r="J45" s="100">
        <f>J9-J41</f>
        <v/>
      </c>
      <c r="K45" s="18">
        <f>K9-K41</f>
        <v/>
      </c>
    </row>
    <row r="46" ht="16" customHeight="1" thickBot="1">
      <c r="A46" s="32" t="n"/>
      <c r="B46" s="19" t="n"/>
      <c r="C46" s="738" t="n"/>
      <c r="D46" s="739" t="n"/>
      <c r="E46" s="740" t="n"/>
      <c r="F46" s="31" t="n"/>
      <c r="G46" s="37" t="n"/>
      <c r="I46" s="410" t="n"/>
      <c r="J46" s="410" t="n"/>
      <c r="K46" s="410" t="n"/>
    </row>
    <row r="47" ht="16" customHeight="1">
      <c r="A47" s="51" t="inlineStr">
        <is>
          <t>BREAK-EVEN YIELD (bu./ac.)</t>
        </is>
      </c>
      <c r="B47" s="52" t="n"/>
      <c r="C47" s="741" t="n"/>
      <c r="D47" s="742" t="n"/>
      <c r="E47" s="743" t="n"/>
      <c r="F47" s="31" t="n"/>
      <c r="G47" s="37" t="n"/>
      <c r="I47" s="547" t="n"/>
      <c r="J47" s="411" t="n"/>
      <c r="K47" s="413" t="n"/>
    </row>
    <row r="48" ht="16" customHeight="1">
      <c r="A48" s="32" t="inlineStr">
        <is>
          <t>To Cover Variable Expenses</t>
        </is>
      </c>
      <c r="B48" s="20">
        <f>ROUND((B28)/B8,2)</f>
        <v/>
      </c>
      <c r="C48" s="20">
        <f>ROUND((C28)/C8,2)</f>
        <v/>
      </c>
      <c r="D48" s="400">
        <f>ROUND((D28)/D8,2)</f>
        <v/>
      </c>
      <c r="E48" s="16">
        <f>ROUND((E28)/E8,2)</f>
        <v/>
      </c>
      <c r="F48" s="31" t="n"/>
      <c r="G48" s="37" t="n"/>
      <c r="I48" s="20">
        <f>ROUND((I28)/I8,2)</f>
        <v/>
      </c>
      <c r="J48" s="99">
        <f>ROUND((J28)/J8,2)</f>
        <v/>
      </c>
      <c r="K48" s="16">
        <f>ROUND((K28)/K8,2)</f>
        <v/>
      </c>
    </row>
    <row r="49" ht="16" customHeight="1" thickBot="1">
      <c r="A49" s="53" t="inlineStr">
        <is>
          <t>To Cover Total Expenses</t>
        </is>
      </c>
      <c r="B49" s="21">
        <f>ROUND(B41/B8,2)</f>
        <v/>
      </c>
      <c r="C49" s="21">
        <f>ROUND(C41/C8,2)</f>
        <v/>
      </c>
      <c r="D49" s="401">
        <f>ROUND(D41/D8,2)</f>
        <v/>
      </c>
      <c r="E49" s="18">
        <f>ROUND(E41/E8,2)</f>
        <v/>
      </c>
      <c r="F49" s="31" t="n"/>
      <c r="G49" s="37" t="n"/>
      <c r="I49" s="21">
        <f>ROUND(I41/I8,2)</f>
        <v/>
      </c>
      <c r="J49" s="100">
        <f>ROUND(J41/J8,2)</f>
        <v/>
      </c>
      <c r="K49" s="18">
        <f>ROUND(K41/K8,2)</f>
        <v/>
      </c>
    </row>
    <row r="50" ht="16" customHeight="1" thickBot="1">
      <c r="A50" s="32" t="n"/>
      <c r="B50" s="744" t="n"/>
      <c r="C50" s="738" t="n"/>
      <c r="D50" s="739" t="n"/>
      <c r="E50" s="740" t="n"/>
      <c r="F50" s="31" t="n"/>
      <c r="G50" s="37" t="n"/>
      <c r="I50" s="410" t="n"/>
      <c r="J50" s="410" t="n"/>
      <c r="K50" s="410" t="n"/>
    </row>
    <row r="51" ht="16" customHeight="1">
      <c r="A51" s="51" t="inlineStr">
        <is>
          <t>BREAK-EVEN PRICE ($ per bu.)</t>
        </is>
      </c>
      <c r="B51" s="52" t="n"/>
      <c r="C51" s="741" t="n"/>
      <c r="D51" s="742" t="n"/>
      <c r="E51" s="743" t="n"/>
      <c r="F51" s="31" t="n"/>
      <c r="G51" s="37" t="n"/>
      <c r="I51" s="547" t="n"/>
      <c r="J51" s="411" t="n"/>
      <c r="K51" s="413" t="n"/>
    </row>
    <row r="52" ht="16" customHeight="1">
      <c r="A52" s="32" t="inlineStr">
        <is>
          <t>To Cover Variable Expenses</t>
        </is>
      </c>
      <c r="B52" s="20">
        <f>ROUND((B28)/B7,2)</f>
        <v/>
      </c>
      <c r="C52" s="20">
        <f>ROUND((C28)/C7,2)</f>
        <v/>
      </c>
      <c r="D52" s="400">
        <f>ROUND((D28)/D7,2)</f>
        <v/>
      </c>
      <c r="E52" s="16">
        <f>ROUND((E28)/E7,2)</f>
        <v/>
      </c>
      <c r="F52" s="31" t="n"/>
      <c r="G52" s="37" t="n"/>
      <c r="I52" s="20">
        <f>ROUND((I28)/I7,2)</f>
        <v/>
      </c>
      <c r="J52" s="99">
        <f>ROUND((J28)/J7,2)</f>
        <v/>
      </c>
      <c r="K52" s="16">
        <f>ROUND((K28)/K7,2)</f>
        <v/>
      </c>
    </row>
    <row r="53" ht="16" customHeight="1" thickBot="1">
      <c r="A53" s="53" t="inlineStr">
        <is>
          <t>To Cover Total Expenses</t>
        </is>
      </c>
      <c r="B53" s="21">
        <f>ROUND(B41/B7,2)</f>
        <v/>
      </c>
      <c r="C53" s="21">
        <f>ROUND(C41/C7,2)</f>
        <v/>
      </c>
      <c r="D53" s="401">
        <f>ROUND(D41/D7,2)</f>
        <v/>
      </c>
      <c r="E53" s="18">
        <f>ROUND(E41/E7,2)</f>
        <v/>
      </c>
      <c r="F53" s="31" t="n"/>
      <c r="G53" s="37" t="n"/>
      <c r="I53" s="21">
        <f>ROUND(I41/I7,2)</f>
        <v/>
      </c>
      <c r="J53" s="100">
        <f>ROUND(J41/J7,2)</f>
        <v/>
      </c>
      <c r="K53" s="18">
        <f>ROUND(K41/K7,2)</f>
        <v/>
      </c>
    </row>
    <row r="54" ht="16" customHeight="1" thickBot="1">
      <c r="A54" s="55" t="n"/>
      <c r="B54" s="17" t="n"/>
      <c r="C54" s="17" t="n"/>
      <c r="D54" s="17" t="n"/>
      <c r="E54" s="17" t="n"/>
      <c r="F54" s="31" t="n"/>
    </row>
    <row r="55" ht="16" customHeight="1">
      <c r="A55" s="47" t="inlineStr">
        <is>
          <t>YIELD SENSITIVITY (same expenses but average yield)</t>
        </is>
      </c>
      <c r="B55" s="64" t="n"/>
      <c r="C55" s="408" t="n"/>
      <c r="D55" s="408" t="n"/>
      <c r="E55" s="408" t="n"/>
      <c r="F55" s="31" t="n"/>
    </row>
    <row r="56" ht="16" customHeight="1">
      <c r="A56" s="49" t="inlineStr">
        <is>
          <t>Provincial Average Yield (bu./ac)</t>
        </is>
      </c>
      <c r="B56" s="65" t="n"/>
      <c r="C56" s="17">
        <f>I7</f>
        <v/>
      </c>
      <c r="D56" s="17">
        <f>J7</f>
        <v/>
      </c>
      <c r="E56" s="17">
        <f>K7</f>
        <v/>
      </c>
      <c r="F56" s="31" t="n"/>
    </row>
    <row r="57" ht="16" customHeight="1">
      <c r="A57" s="49" t="inlineStr">
        <is>
          <t xml:space="preserve"> Return over Variable Expenses </t>
        </is>
      </c>
      <c r="B57" s="65" t="n"/>
      <c r="C57" s="17">
        <f>I44</f>
        <v/>
      </c>
      <c r="D57" s="17">
        <f>J44</f>
        <v/>
      </c>
      <c r="E57" s="17">
        <f>K44</f>
        <v/>
      </c>
      <c r="F57" s="31" t="n"/>
    </row>
    <row r="58" ht="16" customHeight="1" thickBot="1">
      <c r="A58" s="737" t="inlineStr">
        <is>
          <t xml:space="preserve"> Return over Total Expenses </t>
        </is>
      </c>
      <c r="B58" s="66" t="n"/>
      <c r="C58" s="409">
        <f>I45</f>
        <v/>
      </c>
      <c r="D58" s="409">
        <f>J45</f>
        <v/>
      </c>
      <c r="E58" s="409">
        <f>K45</f>
        <v/>
      </c>
      <c r="F58" s="750" t="n"/>
    </row>
    <row r="59" ht="16" customHeight="1">
      <c r="A59" s="22" t="inlineStr">
        <is>
          <t>*Farm managers need to determine their own actual labour and management costs and add it to total expenses.</t>
        </is>
      </c>
      <c r="B59" s="24" t="n"/>
      <c r="C59" s="24" t="n"/>
      <c r="D59" s="24" t="n"/>
      <c r="E59" s="24" t="n"/>
    </row>
    <row r="60">
      <c r="A60" s="24" t="n"/>
      <c r="B60" s="24" t="n"/>
      <c r="C60" s="24" t="n"/>
      <c r="D60" s="24" t="n"/>
      <c r="E60" s="24" t="n"/>
    </row>
    <row r="61">
      <c r="A61" s="24" t="n"/>
      <c r="B61" s="24" t="n"/>
      <c r="C61" s="419" t="n"/>
      <c r="D61" s="419" t="n"/>
      <c r="E61" s="419" t="n"/>
    </row>
    <row r="62" ht="16" customHeight="1">
      <c r="A62" s="57" t="n"/>
      <c r="B62" s="56" t="n"/>
      <c r="C62" s="56" t="n"/>
      <c r="D62" s="56" t="n"/>
      <c r="E62" s="56" t="n"/>
    </row>
    <row r="63" ht="16" customHeight="1">
      <c r="A63" s="57" t="n"/>
      <c r="B63" s="56" t="n"/>
      <c r="C63" s="56" t="n"/>
      <c r="D63" s="56" t="n"/>
      <c r="E63" s="56" t="n"/>
    </row>
  </sheetData>
  <mergeCells count="2">
    <mergeCell ref="F3:F58"/>
    <mergeCell ref="I4:K4"/>
  </mergeCells>
  <pageMargins left="0.7" right="0.7" top="0.75" bottom="0.75" header="0.3" footer="0.3"/>
  <pageSetup orientation="portrait"/>
</worksheet>
</file>

<file path=xl/worksheets/sheet27.xml><?xml version="1.0" encoding="utf-8"?>
<worksheet xmlns="http://schemas.openxmlformats.org/spreadsheetml/2006/main">
  <sheetPr>
    <outlinePr summaryBelow="1" summaryRight="1"/>
    <pageSetUpPr/>
  </sheetPr>
  <dimension ref="A1:K63"/>
  <sheetViews>
    <sheetView showGridLines="0" topLeftCell="A31" workbookViewId="0">
      <selection activeCell="E28" sqref="E28"/>
    </sheetView>
  </sheetViews>
  <sheetFormatPr baseColWidth="8" defaultRowHeight="16" customHeight="1"/>
  <cols>
    <col width="55.7109375" customWidth="1" min="1" max="1"/>
    <col width="13.85546875" bestFit="1" customWidth="1" min="2" max="2"/>
    <col width="11.42578125" customWidth="1" min="3" max="3"/>
    <col width="13.85546875" bestFit="1" customWidth="1" min="4" max="5"/>
    <col width="50" customWidth="1" min="6" max="6"/>
    <col width="13.42578125" customWidth="1" min="9" max="11"/>
  </cols>
  <sheetData>
    <row r="1" ht="16" customHeight="1">
      <c r="A1" s="23" t="inlineStr">
        <is>
          <t>YELLOW PEAS PRODUCTION COSTS ($/ACRE) FOR SASKATCHEWAN 2026</t>
        </is>
      </c>
      <c r="B1" s="23" t="n"/>
      <c r="C1" s="23" t="n"/>
      <c r="D1" s="23" t="n"/>
      <c r="E1" s="23" t="n"/>
      <c r="F1" s="24" t="n"/>
    </row>
    <row r="2" ht="16" customHeight="1" thickBot="1">
      <c r="A2" s="25" t="n"/>
      <c r="B2" s="25" t="n"/>
      <c r="C2" s="25" t="inlineStr">
        <is>
          <t>Economics</t>
        </is>
      </c>
      <c r="D2" s="25" t="n"/>
      <c r="E2" s="25" t="n"/>
      <c r="F2" s="25" t="inlineStr">
        <is>
          <t>Agronomics</t>
        </is>
      </c>
    </row>
    <row r="3" ht="16" customHeight="1" thickBot="1">
      <c r="A3" s="179" t="inlineStr">
        <is>
          <t>CROP</t>
        </is>
      </c>
      <c r="B3" s="279" t="n"/>
      <c r="C3" s="287" t="n"/>
      <c r="D3" s="675" t="inlineStr">
        <is>
          <t>YELLOW PEAS</t>
        </is>
      </c>
      <c r="E3" s="282" t="n"/>
      <c r="F3" s="676" t="inlineStr">
        <is>
          <t>Seeding: A seed rate of 178 lb./ac. is used in the black soil zone, 158 lb./ac. in the dark brown soil zone and 138 lb./ac. in the brown soil zone. 
Fertilization: Inoculant with the correct strains of rhizobium should be applied. Fertility costs are based on nutrient removal rates given the targeted crop yield. These are: 8.5 lb./ac. N and 40 lb./ac. P2O5 for the black soil zone, 7.2 lb./ac. N and 34 lb./ac. P2O5 for the dark brown soil zone and 5.5 lb./ac. N and 26 lb./ac. P2O5 for the brown soil zone. Producers are encouraged to use their own rates based on soil tests.
Crop Rotation: Crop rotation will help to reduce pea leaf weevil and disease pressure by reducing pathogen levels in the field. Extended rotations are essential in fields with risk of aphanomyces root rot. 
Crop Protection                                                           Insect control: Wireworms, cutworms, lygus bugs, leafhoppers, pea aphid, grasshoppers, alfalfa looper and pea leaf weevil might require control. Seed treatments are available for wireworm and pea leaf weevil control. Refer to the ministry’s forecasts of local pea leaf weevil pressures at saskatchewan.ca/crops. 
Disease control: Fungicides will offer protection against foliar diseases, such as mycosphaerella blight. This estimation includes the cost of a single fungicide application. Fungicide application should be based on disease risk. 
Weed control: Weeds in peas need to be controlled until 10 to 14 days after emergence to minimize yield losses. Herbicide costs are based on the following herbicide timings. Please refer to general assumptions for details.
Please insert herbicide application window.</t>
        </is>
      </c>
    </row>
    <row r="4" ht="16" customHeight="1" thickBot="1">
      <c r="A4" s="26" t="n"/>
      <c r="B4" s="677" t="inlineStr">
        <is>
          <t>My Farm</t>
        </is>
      </c>
      <c r="C4" s="215" t="n"/>
      <c r="D4" s="678" t="inlineStr">
        <is>
          <t>80th percentile</t>
        </is>
      </c>
      <c r="E4" s="212" t="n"/>
      <c r="F4" s="31" t="n"/>
      <c r="I4" s="679" t="inlineStr">
        <is>
          <t xml:space="preserve">Average Yield </t>
        </is>
      </c>
      <c r="J4" s="680" t="n"/>
      <c r="K4" s="681" t="n"/>
    </row>
    <row r="5" ht="16" customHeight="1" thickBot="1">
      <c r="A5" s="838" t="inlineStr">
        <is>
          <t>Soil Zone</t>
        </is>
      </c>
      <c r="B5" s="251" t="n"/>
      <c r="C5" s="875" t="inlineStr">
        <is>
          <t>Brown</t>
        </is>
      </c>
      <c r="D5" s="876" t="inlineStr">
        <is>
          <t>Dark Brown</t>
        </is>
      </c>
      <c r="E5" s="877" t="inlineStr">
        <is>
          <t>Black</t>
        </is>
      </c>
      <c r="F5" s="31" t="n"/>
      <c r="I5" s="686" t="inlineStr">
        <is>
          <t>Brown</t>
        </is>
      </c>
      <c r="J5" s="687" t="inlineStr">
        <is>
          <t>Dark Brown</t>
        </is>
      </c>
      <c r="K5" s="688" t="inlineStr">
        <is>
          <t>Black</t>
        </is>
      </c>
    </row>
    <row r="6" ht="16" customHeight="1">
      <c r="A6" s="73" t="inlineStr">
        <is>
          <t>REVENUE PER ACRE</t>
        </is>
      </c>
      <c r="B6" s="72" t="n"/>
      <c r="C6" s="86" t="n"/>
      <c r="D6" s="87" t="n"/>
      <c r="E6" s="88" t="n"/>
      <c r="F6" s="31" t="n"/>
      <c r="I6" s="31" t="n"/>
      <c r="J6" s="31" t="n"/>
      <c r="K6" s="31" t="n"/>
    </row>
    <row r="7" ht="16" customHeight="1">
      <c r="A7" s="689" t="inlineStr">
        <is>
          <t>Estimated Yield (bu./ac) (A)</t>
        </is>
      </c>
      <c r="B7" s="68" t="n"/>
      <c r="C7" s="755" t="n">
        <v>33.9882</v>
      </c>
      <c r="D7" s="691" t="n">
        <v>44.77088529084508</v>
      </c>
      <c r="E7" s="692" t="n">
        <v>52.507176</v>
      </c>
      <c r="F7" s="31" t="n"/>
      <c r="G7" s="37" t="n"/>
      <c r="I7" s="693" t="n">
        <v>22.17671606109535</v>
      </c>
      <c r="J7" s="693" t="n">
        <v>32.75607909928931</v>
      </c>
      <c r="K7" s="693" t="n">
        <v>40.58325112000308</v>
      </c>
    </row>
    <row r="8" ht="16" customHeight="1" thickBot="1">
      <c r="A8" s="689" t="inlineStr">
        <is>
          <t>Est. On Farm Market Price $/bu. (B)</t>
        </is>
      </c>
      <c r="B8" s="69" t="n"/>
      <c r="C8" s="915" t="n">
        <v>7.8</v>
      </c>
      <c r="D8" s="916" t="n">
        <v>7.8</v>
      </c>
      <c r="E8" s="917" t="n">
        <v>7.8</v>
      </c>
      <c r="F8" s="31" t="n"/>
      <c r="G8" s="37" t="n"/>
      <c r="I8" s="427">
        <f>C8</f>
        <v/>
      </c>
      <c r="J8" s="427">
        <f>D8</f>
        <v/>
      </c>
      <c r="K8" s="427">
        <f>E8</f>
        <v/>
      </c>
    </row>
    <row r="9" ht="16" customHeight="1" thickBot="1">
      <c r="A9" s="70" t="inlineStr">
        <is>
          <t>Estimated Gross Revenue/ac (AxB)=C</t>
        </is>
      </c>
      <c r="B9" s="71">
        <f>ROUND((B8*B7),2)</f>
        <v/>
      </c>
      <c r="C9" s="471">
        <f>ROUND((C8*C7),2)</f>
        <v/>
      </c>
      <c r="D9" s="472">
        <f>ROUND((D8*D7),2)</f>
        <v/>
      </c>
      <c r="E9" s="473">
        <f>ROUND((E8*E7),2)</f>
        <v/>
      </c>
      <c r="F9" s="31" t="n"/>
      <c r="G9" s="37" t="n"/>
      <c r="I9" s="474">
        <f>ROUND((I8*I7),2)</f>
        <v/>
      </c>
      <c r="J9" s="474">
        <f>ROUND((J8*J7),2)</f>
        <v/>
      </c>
      <c r="K9" s="474">
        <f>ROUND((K8*K7),2)</f>
        <v/>
      </c>
    </row>
    <row r="10">
      <c r="A10" s="67" t="n"/>
      <c r="B10" s="72" t="n"/>
      <c r="C10" s="697" t="n"/>
      <c r="D10" s="698" t="n"/>
      <c r="E10" s="699" t="n"/>
      <c r="F10" s="31" t="n"/>
      <c r="G10" s="37" t="n"/>
      <c r="I10" s="464" t="n"/>
      <c r="J10" s="464" t="n"/>
      <c r="K10" s="464" t="n"/>
    </row>
    <row r="11" ht="16" customHeight="1">
      <c r="A11" s="73" t="inlineStr">
        <is>
          <t>EXPENSES PER ACRE</t>
        </is>
      </c>
      <c r="B11" s="72" t="n"/>
      <c r="C11" s="296" t="n"/>
      <c r="D11" s="700" t="n"/>
      <c r="E11" s="701" t="n"/>
      <c r="F11" s="31" t="n"/>
      <c r="G11" s="37" t="n"/>
      <c r="I11" s="464" t="n"/>
      <c r="J11" s="464" t="n"/>
      <c r="K11" s="464" t="n"/>
    </row>
    <row r="12" ht="16" customHeight="1">
      <c r="A12" s="73" t="inlineStr">
        <is>
          <t>Variable Expenses/acre</t>
        </is>
      </c>
      <c r="B12" s="72" t="n"/>
      <c r="C12" s="296" t="n"/>
      <c r="D12" s="700" t="n"/>
      <c r="E12" s="702" t="n"/>
      <c r="F12" s="31" t="n"/>
      <c r="G12" s="37" t="n"/>
      <c r="I12" s="464" t="n"/>
      <c r="J12" s="464" t="n"/>
      <c r="K12" s="464" t="n"/>
    </row>
    <row r="13" ht="16" customHeight="1">
      <c r="A13" s="689" t="inlineStr">
        <is>
          <t>Seed</t>
        </is>
      </c>
      <c r="B13" s="74" t="n"/>
      <c r="C13" s="715" t="n">
        <v>28.428</v>
      </c>
      <c r="D13" s="716" t="n">
        <v>32.54799999999999</v>
      </c>
      <c r="E13" s="717" t="n">
        <v>36.668</v>
      </c>
      <c r="F13" s="31" t="n"/>
      <c r="G13" s="37" t="n"/>
      <c r="I13" s="427">
        <f>C13</f>
        <v/>
      </c>
      <c r="J13" s="427">
        <f>D13</f>
        <v/>
      </c>
      <c r="K13" s="427">
        <f>E13</f>
        <v/>
      </c>
    </row>
    <row r="14" ht="16" customHeight="1">
      <c r="A14" s="689" t="inlineStr">
        <is>
          <t xml:space="preserve">                     -Seed Treatments/Inoculants</t>
        </is>
      </c>
      <c r="B14" s="74" t="n"/>
      <c r="C14" s="715" t="n">
        <v>8.206625178035218</v>
      </c>
      <c r="D14" s="716" t="n">
        <v>9.395991145866407</v>
      </c>
      <c r="E14" s="717" t="n">
        <v>10.5853571136976</v>
      </c>
      <c r="F14" s="31" t="n"/>
      <c r="G14" s="37" t="n"/>
      <c r="I14" s="427">
        <f>C14</f>
        <v/>
      </c>
      <c r="J14" s="427">
        <f>D14</f>
        <v/>
      </c>
      <c r="K14" s="427">
        <f>E14</f>
        <v/>
      </c>
    </row>
    <row r="15" ht="16" customHeight="1">
      <c r="A15" s="689" t="inlineStr">
        <is>
          <t>Fertilizer -Nitrogen (N)</t>
        </is>
      </c>
      <c r="B15" s="74" t="n"/>
      <c r="C15" s="796" t="n">
        <v>4.50268286909177</v>
      </c>
      <c r="D15" s="797" t="n">
        <v>5.894421210447408</v>
      </c>
      <c r="E15" s="795" t="n">
        <v>6.95869170677819</v>
      </c>
      <c r="F15" s="31" t="n"/>
      <c r="G15" s="37" t="n"/>
      <c r="I15" s="427">
        <f>C15</f>
        <v/>
      </c>
      <c r="J15" s="427">
        <f>D15</f>
        <v/>
      </c>
      <c r="K15" s="427">
        <f>E15</f>
        <v/>
      </c>
    </row>
    <row r="16" ht="16" customHeight="1">
      <c r="A16" s="689" t="inlineStr">
        <is>
          <t xml:space="preserve">               -Phosphorous (P2O5)</t>
        </is>
      </c>
      <c r="B16" s="74" t="n"/>
      <c r="C16" s="793" t="n">
        <v>24.98915016176122</v>
      </c>
      <c r="D16" s="794" t="n">
        <v>32.67811944230314</v>
      </c>
      <c r="E16" s="795" t="n">
        <v>38.44484640270957</v>
      </c>
      <c r="F16" s="31" t="n"/>
      <c r="G16" s="37" t="n"/>
      <c r="I16" s="427">
        <f>C16</f>
        <v/>
      </c>
      <c r="J16" s="427">
        <f>D16</f>
        <v/>
      </c>
      <c r="K16" s="427">
        <f>E16</f>
        <v/>
      </c>
    </row>
    <row r="17" ht="16" customHeight="1">
      <c r="A17" s="689" t="inlineStr">
        <is>
          <t xml:space="preserve">               -Sulphur and Other</t>
        </is>
      </c>
      <c r="B17" s="75" t="n"/>
      <c r="C17" s="796" t="n">
        <v>0</v>
      </c>
      <c r="D17" s="797" t="n">
        <v>0</v>
      </c>
      <c r="E17" s="798" t="n">
        <v>0</v>
      </c>
      <c r="F17" s="31" t="n"/>
      <c r="G17" s="37" t="n"/>
      <c r="I17" s="427">
        <f>C17</f>
        <v/>
      </c>
      <c r="J17" s="427">
        <f>D17</f>
        <v/>
      </c>
      <c r="K17" s="427">
        <f>E17</f>
        <v/>
      </c>
    </row>
    <row r="18" ht="16" customHeight="1">
      <c r="A18" s="689" t="inlineStr">
        <is>
          <t>Plant Protection -Herbicides</t>
        </is>
      </c>
      <c r="B18" s="74" t="n"/>
      <c r="C18" s="715" t="n">
        <v>83.24418789089221</v>
      </c>
      <c r="D18" s="716" t="n">
        <v>80.85263116266002</v>
      </c>
      <c r="E18" s="717" t="n">
        <v>79.77585939116491</v>
      </c>
      <c r="F18" s="31" t="n"/>
      <c r="G18" s="37" t="n"/>
      <c r="I18" s="427">
        <f>C18</f>
        <v/>
      </c>
      <c r="J18" s="427">
        <f>D18</f>
        <v/>
      </c>
      <c r="K18" s="427">
        <f>E18</f>
        <v/>
      </c>
    </row>
    <row r="19" ht="16" customHeight="1">
      <c r="A19" s="689" t="inlineStr">
        <is>
          <t xml:space="preserve">                     -Insecticides</t>
        </is>
      </c>
      <c r="B19" s="74" t="n"/>
      <c r="C19" s="770" t="n">
        <v>20.51980151228733</v>
      </c>
      <c r="D19" s="771" t="n">
        <v>20.51980151228733</v>
      </c>
      <c r="E19" s="772" t="n">
        <v>20.51980151228733</v>
      </c>
      <c r="F19" s="31" t="n"/>
      <c r="G19" s="37" t="n"/>
      <c r="I19" s="427">
        <f>C19</f>
        <v/>
      </c>
      <c r="J19" s="427">
        <f>D19</f>
        <v/>
      </c>
      <c r="K19" s="427">
        <f>E19</f>
        <v/>
      </c>
    </row>
    <row r="20" ht="16" customHeight="1">
      <c r="A20" s="689" t="inlineStr">
        <is>
          <t xml:space="preserve">                     -Fungicides</t>
        </is>
      </c>
      <c r="B20" s="74" t="n"/>
      <c r="C20" s="715" t="n">
        <v>23.88333333333334</v>
      </c>
      <c r="D20" s="716" t="n">
        <v>23.88333333333334</v>
      </c>
      <c r="E20" s="717" t="n">
        <v>23.88333333333334</v>
      </c>
      <c r="F20" s="31" t="n"/>
      <c r="G20" s="37" t="n"/>
      <c r="I20" s="427">
        <f>C20</f>
        <v/>
      </c>
      <c r="J20" s="427">
        <f>D20</f>
        <v/>
      </c>
      <c r="K20" s="427">
        <f>E20</f>
        <v/>
      </c>
    </row>
    <row r="21" ht="16" customHeight="1">
      <c r="A21" s="689" t="inlineStr">
        <is>
          <t>Machinery Operating -Fuel</t>
        </is>
      </c>
      <c r="B21" s="75" t="n"/>
      <c r="C21" s="770" t="n">
        <v>17.95142027333333</v>
      </c>
      <c r="D21" s="771" t="n">
        <v>22.43927534166667</v>
      </c>
      <c r="E21" s="772" t="n">
        <v>28.04909417708333</v>
      </c>
      <c r="F21" s="31" t="n"/>
      <c r="G21" s="37" t="n"/>
      <c r="I21" s="427">
        <f>C21</f>
        <v/>
      </c>
      <c r="J21" s="427">
        <f>D21</f>
        <v/>
      </c>
      <c r="K21" s="427">
        <f>E21</f>
        <v/>
      </c>
    </row>
    <row r="22" ht="16" customHeight="1">
      <c r="A22" s="689" t="inlineStr">
        <is>
          <t xml:space="preserve">                                  -Repair</t>
        </is>
      </c>
      <c r="B22" s="74" t="n"/>
      <c r="C22" s="715" t="n">
        <v>11.56328841689489</v>
      </c>
      <c r="D22" s="716" t="n">
        <v>13.03949744699887</v>
      </c>
      <c r="E22" s="717" t="n">
        <v>14.75790247400408</v>
      </c>
      <c r="F22" s="31" t="n"/>
      <c r="G22" s="37" t="n"/>
      <c r="I22" s="427">
        <f>C22</f>
        <v/>
      </c>
      <c r="J22" s="427">
        <f>D22</f>
        <v/>
      </c>
      <c r="K22" s="427">
        <f>E22</f>
        <v/>
      </c>
    </row>
    <row r="23" ht="16" customHeight="1">
      <c r="A23" s="689" t="inlineStr">
        <is>
          <t>Custom Work and Hired Labour</t>
        </is>
      </c>
      <c r="B23" s="74" t="n"/>
      <c r="C23" s="715" t="n">
        <v>21.5</v>
      </c>
      <c r="D23" s="716" t="n">
        <v>21.5</v>
      </c>
      <c r="E23" s="717" t="n">
        <v>21.5</v>
      </c>
      <c r="F23" s="31" t="n"/>
      <c r="G23" s="37" t="n"/>
      <c r="I23" s="427">
        <f>C23</f>
        <v/>
      </c>
      <c r="J23" s="427">
        <f>D23</f>
        <v/>
      </c>
      <c r="K23" s="427">
        <f>E23</f>
        <v/>
      </c>
    </row>
    <row r="24" ht="16" customHeight="1">
      <c r="A24" s="689" t="inlineStr">
        <is>
          <t>Crop Insurance Premium</t>
        </is>
      </c>
      <c r="B24" s="77" t="n"/>
      <c r="C24" s="715" t="n">
        <v>7.364753978494912</v>
      </c>
      <c r="D24" s="716" t="n">
        <v>5.915614854776929</v>
      </c>
      <c r="E24" s="717" t="n">
        <v>6.915230834890598</v>
      </c>
      <c r="F24" s="31" t="n"/>
      <c r="G24" s="37" t="n"/>
      <c r="I24" s="427">
        <f>C24</f>
        <v/>
      </c>
      <c r="J24" s="427">
        <f>D24</f>
        <v/>
      </c>
      <c r="K24" s="427">
        <f>E24</f>
        <v/>
      </c>
    </row>
    <row r="25" ht="16" customHeight="1">
      <c r="A25" s="689" t="inlineStr">
        <is>
          <t>Hail Insurance Premium</t>
        </is>
      </c>
      <c r="B25" s="77" t="n"/>
      <c r="C25" s="715" t="n">
        <v>14</v>
      </c>
      <c r="D25" s="716" t="n">
        <v>14</v>
      </c>
      <c r="E25" s="717" t="n">
        <v>14</v>
      </c>
      <c r="F25" s="31" t="n"/>
      <c r="G25" s="37" t="n"/>
      <c r="I25" s="427" t="n"/>
      <c r="J25" s="427" t="n"/>
      <c r="K25" s="427" t="n"/>
    </row>
    <row r="26" ht="16" customHeight="1">
      <c r="A26" s="689" t="inlineStr">
        <is>
          <t>Utilities and Miscellaneous</t>
        </is>
      </c>
      <c r="B26" s="75" t="n"/>
      <c r="C26" s="715" t="n">
        <v>4.395974170413743</v>
      </c>
      <c r="D26" s="716" t="n">
        <v>5.768849384517721</v>
      </c>
      <c r="E26" s="717" t="n">
        <v>6.656364674443524</v>
      </c>
      <c r="F26" s="31" t="n"/>
      <c r="G26" s="37" t="n"/>
      <c r="I26" s="427">
        <f>C26</f>
        <v/>
      </c>
      <c r="J26" s="427">
        <f>D26</f>
        <v/>
      </c>
      <c r="K26" s="427">
        <f>E26</f>
        <v/>
      </c>
    </row>
    <row r="27" ht="16" customHeight="1" thickBot="1">
      <c r="A27" s="689" t="inlineStr">
        <is>
          <t>Interest on Variable Expenses</t>
        </is>
      </c>
      <c r="B27" s="74" t="n"/>
      <c r="C27" s="718" t="n">
        <v>10.2447970467745</v>
      </c>
      <c r="D27" s="719" t="n">
        <v>10.92209225241328</v>
      </c>
      <c r="E27" s="720" t="n">
        <v>11.68998837069219</v>
      </c>
      <c r="F27" s="31" t="n"/>
      <c r="G27" s="37" t="n"/>
      <c r="I27" s="427">
        <f>C27</f>
        <v/>
      </c>
      <c r="J27" s="427">
        <f>D27</f>
        <v/>
      </c>
      <c r="K27" s="427">
        <f>E27</f>
        <v/>
      </c>
    </row>
    <row r="28" ht="16" customHeight="1" thickBot="1">
      <c r="A28" s="70" t="inlineStr">
        <is>
          <t>Total Variable Expenses (D)</t>
        </is>
      </c>
      <c r="B28" s="78">
        <f>SUM(B13:B27)</f>
        <v/>
      </c>
      <c r="C28" s="423">
        <f>SUM(C13:C27)</f>
        <v/>
      </c>
      <c r="D28" s="430">
        <f>SUM(D13:D27)</f>
        <v/>
      </c>
      <c r="E28" s="431">
        <f>SUM(E13:E27)</f>
        <v/>
      </c>
      <c r="F28" s="31" t="n"/>
      <c r="G28" s="37" t="n"/>
      <c r="I28" s="428">
        <f>SUM(I13:I27)</f>
        <v/>
      </c>
      <c r="J28" s="428">
        <f>SUM(J13:J27)</f>
        <v/>
      </c>
      <c r="K28" s="428">
        <f>SUM(K13:K27)</f>
        <v/>
      </c>
    </row>
    <row r="29">
      <c r="A29" s="67" t="n"/>
      <c r="B29" s="72" t="n"/>
      <c r="C29" s="721" t="n"/>
      <c r="D29" s="700" t="n"/>
      <c r="E29" s="701" t="n"/>
      <c r="F29" s="31" t="n"/>
      <c r="G29" s="37" t="n"/>
      <c r="I29" s="464" t="n"/>
      <c r="J29" s="464" t="n"/>
      <c r="K29" s="464" t="n"/>
    </row>
    <row r="30" ht="16" customHeight="1">
      <c r="A30" s="73" t="inlineStr">
        <is>
          <t>Other Expenses/acre</t>
        </is>
      </c>
      <c r="B30" s="72" t="n"/>
      <c r="C30" s="721" t="n"/>
      <c r="D30" s="700" t="n"/>
      <c r="E30" s="701" t="n"/>
      <c r="F30" s="31" t="n"/>
      <c r="G30" s="37" t="n"/>
      <c r="I30" s="464" t="n"/>
      <c r="J30" s="464" t="n"/>
      <c r="K30" s="464" t="n"/>
    </row>
    <row r="31" ht="16" customHeight="1">
      <c r="A31" s="689" t="inlineStr">
        <is>
          <t>Building Repair</t>
        </is>
      </c>
      <c r="B31" s="722" t="n"/>
      <c r="C31" s="773" t="n">
        <v>0.7445684561908097</v>
      </c>
      <c r="D31" s="774" t="n">
        <v>0.9756414253534748</v>
      </c>
      <c r="E31" s="775" t="n">
        <v>1.335088266273176</v>
      </c>
      <c r="F31" s="31" t="n"/>
      <c r="G31" s="37" t="n"/>
      <c r="I31" s="776">
        <f>C31</f>
        <v/>
      </c>
      <c r="J31" s="776">
        <f>D31</f>
        <v/>
      </c>
      <c r="K31" s="776">
        <f>E31</f>
        <v/>
      </c>
    </row>
    <row r="32" ht="16" customHeight="1">
      <c r="A32" s="689" t="inlineStr">
        <is>
          <t>Property Taxes</t>
        </is>
      </c>
      <c r="B32" s="727" t="n"/>
      <c r="C32" s="777" t="n">
        <v>5.076533574707355</v>
      </c>
      <c r="D32" s="778" t="n">
        <v>6.642698188180902</v>
      </c>
      <c r="E32" s="779" t="n">
        <v>10.0720586349247</v>
      </c>
      <c r="F32" s="31" t="n"/>
      <c r="G32" s="37" t="n"/>
      <c r="I32" s="776">
        <f>C32</f>
        <v/>
      </c>
      <c r="J32" s="776">
        <f>D32</f>
        <v/>
      </c>
      <c r="K32" s="776">
        <f>E32</f>
        <v/>
      </c>
    </row>
    <row r="33" ht="16" customHeight="1">
      <c r="A33" s="689" t="inlineStr">
        <is>
          <t>Business Overhead</t>
        </is>
      </c>
      <c r="B33" s="731" t="n"/>
      <c r="C33" s="773" t="n">
        <v>2.607474711623781</v>
      </c>
      <c r="D33" s="774" t="n">
        <v>3.986427684117127</v>
      </c>
      <c r="E33" s="775" t="n">
        <v>4.675904170363799</v>
      </c>
      <c r="F33" s="31" t="n"/>
      <c r="G33" s="37" t="n"/>
      <c r="I33" s="776">
        <f>C33</f>
        <v/>
      </c>
      <c r="J33" s="776">
        <f>D33</f>
        <v/>
      </c>
      <c r="K33" s="776">
        <f>E33</f>
        <v/>
      </c>
    </row>
    <row r="34" ht="16" customHeight="1">
      <c r="A34" s="689" t="inlineStr">
        <is>
          <t>Machinery Depreciation</t>
        </is>
      </c>
      <c r="B34" s="732" t="n"/>
      <c r="C34" s="777" t="n">
        <v>47.58737925414436</v>
      </c>
      <c r="D34" s="778" t="n">
        <v>53.66254718572614</v>
      </c>
      <c r="E34" s="779" t="n">
        <v>60.73444479686295</v>
      </c>
      <c r="F34" s="31" t="n"/>
      <c r="G34" s="37" t="n"/>
      <c r="I34" s="776">
        <f>C34</f>
        <v/>
      </c>
      <c r="J34" s="776">
        <f>D34</f>
        <v/>
      </c>
      <c r="K34" s="776">
        <f>E34</f>
        <v/>
      </c>
    </row>
    <row r="35" ht="16" customHeight="1">
      <c r="A35" s="689" t="inlineStr">
        <is>
          <t>Building Depreciation</t>
        </is>
      </c>
      <c r="B35" s="722" t="n"/>
      <c r="C35" s="773" t="n">
        <v>1.45</v>
      </c>
      <c r="D35" s="774" t="n">
        <v>1.9</v>
      </c>
      <c r="E35" s="775" t="n">
        <v>2.6</v>
      </c>
      <c r="F35" s="31" t="n"/>
      <c r="G35" s="37" t="n"/>
      <c r="I35" s="776">
        <f>C35</f>
        <v/>
      </c>
      <c r="J35" s="776">
        <f>D35</f>
        <v/>
      </c>
      <c r="K35" s="776">
        <f>E35</f>
        <v/>
      </c>
    </row>
    <row r="36" ht="16" customHeight="1">
      <c r="A36" s="689" t="inlineStr">
        <is>
          <t>Machinery Investment</t>
        </is>
      </c>
      <c r="B36" s="732" t="n"/>
      <c r="C36" s="777" t="n">
        <v>30.02007569770789</v>
      </c>
      <c r="D36" s="778" t="n">
        <v>33.85254144893939</v>
      </c>
      <c r="E36" s="779" t="n">
        <v>38.31378526904906</v>
      </c>
      <c r="F36" s="31" t="n"/>
      <c r="G36" s="37" t="n"/>
      <c r="I36" s="776">
        <f>C36</f>
        <v/>
      </c>
      <c r="J36" s="776">
        <f>D36</f>
        <v/>
      </c>
      <c r="K36" s="776">
        <f>E36</f>
        <v/>
      </c>
    </row>
    <row r="37" ht="16" customHeight="1">
      <c r="A37" s="689" t="inlineStr">
        <is>
          <t>Building Investment</t>
        </is>
      </c>
      <c r="B37" s="722" t="n"/>
      <c r="C37" s="773" t="n">
        <v>1.326266666666666</v>
      </c>
      <c r="D37" s="774" t="n">
        <v>1.737866666666666</v>
      </c>
      <c r="E37" s="775" t="n">
        <v>2.378133333333333</v>
      </c>
      <c r="F37" s="31" t="n"/>
      <c r="G37" s="37" t="n"/>
      <c r="I37" s="776">
        <f>C37</f>
        <v/>
      </c>
      <c r="J37" s="776">
        <f>D37</f>
        <v/>
      </c>
      <c r="K37" s="776">
        <f>E37</f>
        <v/>
      </c>
    </row>
    <row r="38" ht="16" customHeight="1" thickBot="1">
      <c r="A38" s="689" t="inlineStr">
        <is>
          <t>Land Investment</t>
        </is>
      </c>
      <c r="B38" s="727" t="n"/>
      <c r="C38" s="777" t="n">
        <v>70.10399999999998</v>
      </c>
      <c r="D38" s="778" t="n">
        <v>80.65649999999999</v>
      </c>
      <c r="E38" s="779" t="n">
        <v>75.38025</v>
      </c>
      <c r="F38" s="31" t="n"/>
      <c r="G38" s="37" t="n"/>
      <c r="I38" s="776">
        <f>C38</f>
        <v/>
      </c>
      <c r="J38" s="776">
        <f>D38</f>
        <v/>
      </c>
      <c r="K38" s="776">
        <f>E38</f>
        <v/>
      </c>
    </row>
    <row r="39" ht="16" customHeight="1" thickBot="1">
      <c r="A39" s="70" t="inlineStr">
        <is>
          <t>Total Other Expenses (E)</t>
        </is>
      </c>
      <c r="B39" s="78">
        <f>SUM(B31:B38)</f>
        <v/>
      </c>
      <c r="C39" s="424">
        <f>SUM(C31:C38)</f>
        <v/>
      </c>
      <c r="D39" s="425">
        <f>SUM(D31:D38)</f>
        <v/>
      </c>
      <c r="E39" s="426">
        <f>SUM(E31:E38)</f>
        <v/>
      </c>
      <c r="F39" s="31" t="n"/>
      <c r="G39" s="37" t="n"/>
      <c r="I39" s="428">
        <f>SUM(I31:I38)</f>
        <v/>
      </c>
      <c r="J39" s="428">
        <f>SUM(J31:J38)</f>
        <v/>
      </c>
      <c r="K39" s="428">
        <f>SUM(K31:K38)</f>
        <v/>
      </c>
    </row>
    <row r="40" ht="16" customHeight="1" thickBot="1">
      <c r="A40" s="689" t="inlineStr">
        <is>
          <t>Labour and Management (F)*</t>
        </is>
      </c>
      <c r="B40" s="75" t="n"/>
      <c r="C40" s="799" t="n"/>
      <c r="D40" s="800" t="n"/>
      <c r="E40" s="801" t="n"/>
      <c r="F40" s="31" t="n"/>
      <c r="G40" s="37" t="n"/>
      <c r="I40" s="464" t="n"/>
      <c r="J40" s="464" t="n"/>
      <c r="K40" s="464" t="n"/>
    </row>
    <row r="41" ht="16" customHeight="1" thickBot="1">
      <c r="A41" s="89" t="inlineStr">
        <is>
          <t xml:space="preserve">Total Expenses (D+E+F)=(G) </t>
        </is>
      </c>
      <c r="B41" s="78">
        <f>B28+B39+B40</f>
        <v/>
      </c>
      <c r="C41" s="424">
        <f>C28+C39+C40</f>
        <v/>
      </c>
      <c r="D41" s="425">
        <f>D28+D39+D40</f>
        <v/>
      </c>
      <c r="E41" s="426">
        <f>E28+E39+E40</f>
        <v/>
      </c>
      <c r="F41" s="31" t="n"/>
      <c r="G41" s="37" t="n"/>
      <c r="I41" s="428">
        <f>I28+I39+I40</f>
        <v/>
      </c>
      <c r="J41" s="428">
        <f>J28+J39+J40</f>
        <v/>
      </c>
      <c r="K41" s="428">
        <f>K28+K39+K40</f>
        <v/>
      </c>
    </row>
    <row r="42" ht="16" customHeight="1" thickBot="1">
      <c r="A42" s="90" t="n"/>
      <c r="B42" s="91" t="n"/>
      <c r="C42" s="502" t="n"/>
      <c r="D42" s="472" t="n"/>
      <c r="E42" s="473" t="n"/>
      <c r="F42" s="31" t="n"/>
      <c r="G42" s="37" t="n"/>
      <c r="I42" s="464" t="n"/>
      <c r="J42" s="464" t="n"/>
      <c r="K42" s="464" t="n"/>
    </row>
    <row r="43" ht="16" customHeight="1">
      <c r="A43" s="47" t="inlineStr">
        <is>
          <t>RETURNS PER ACRE</t>
        </is>
      </c>
      <c r="B43" s="48" t="n"/>
      <c r="C43" s="780" t="n"/>
      <c r="D43" s="781" t="n"/>
      <c r="E43" s="782" t="n"/>
      <c r="F43" s="31" t="n"/>
      <c r="G43" s="37" t="n"/>
      <c r="I43" s="465" t="n"/>
      <c r="J43" s="465" t="n"/>
      <c r="K43" s="466" t="n"/>
    </row>
    <row r="44" ht="16" customHeight="1">
      <c r="A44" s="49" t="inlineStr">
        <is>
          <t xml:space="preserve"> Return over Variable Expenses (C-D) </t>
        </is>
      </c>
      <c r="B44" s="20">
        <f>B9-B28</f>
        <v/>
      </c>
      <c r="C44" s="451">
        <f>C9-C28</f>
        <v/>
      </c>
      <c r="D44" s="452">
        <f>D9-D28</f>
        <v/>
      </c>
      <c r="E44" s="453">
        <f>E9-E28</f>
        <v/>
      </c>
      <c r="F44" s="31" t="n"/>
      <c r="G44" s="37" t="n"/>
      <c r="I44" s="467">
        <f>I9-I28</f>
        <v/>
      </c>
      <c r="J44" s="467">
        <f>J9-J28</f>
        <v/>
      </c>
      <c r="K44" s="453">
        <f>K9-K28</f>
        <v/>
      </c>
    </row>
    <row r="45" ht="16" customHeight="1" thickBot="1">
      <c r="A45" s="737" t="inlineStr">
        <is>
          <t xml:space="preserve"> Return over Total Expenses (C-G)</t>
        </is>
      </c>
      <c r="B45" s="21">
        <f>B9-B41</f>
        <v/>
      </c>
      <c r="C45" s="454">
        <f>C9-C41</f>
        <v/>
      </c>
      <c r="D45" s="455">
        <f>D9-D41</f>
        <v/>
      </c>
      <c r="E45" s="456">
        <f>E9-E41</f>
        <v/>
      </c>
      <c r="F45" s="31" t="n"/>
      <c r="G45" s="37" t="n"/>
      <c r="I45" s="468">
        <f>I9-I41</f>
        <v/>
      </c>
      <c r="J45" s="468">
        <f>J9-J41</f>
        <v/>
      </c>
      <c r="K45" s="456">
        <f>K9-K41</f>
        <v/>
      </c>
    </row>
    <row r="46" ht="16" customHeight="1" thickBot="1">
      <c r="A46" s="32" t="n"/>
      <c r="B46" s="19" t="n"/>
      <c r="C46" s="783" t="n"/>
      <c r="D46" s="784" t="n"/>
      <c r="E46" s="785" t="n"/>
      <c r="F46" s="31" t="n"/>
      <c r="G46" s="37" t="n"/>
      <c r="I46" s="464" t="n"/>
      <c r="J46" s="464" t="n"/>
      <c r="K46" s="464" t="n"/>
    </row>
    <row r="47" ht="16" customHeight="1">
      <c r="A47" s="51" t="inlineStr">
        <is>
          <t>BREAK-EVEN YIELD (bu./ac.)</t>
        </is>
      </c>
      <c r="B47" s="52" t="n"/>
      <c r="C47" s="786" t="n"/>
      <c r="D47" s="781" t="n"/>
      <c r="E47" s="787" t="n"/>
      <c r="F47" s="31" t="n"/>
      <c r="G47" s="37" t="n"/>
      <c r="I47" s="520" t="n"/>
      <c r="J47" s="465" t="n"/>
      <c r="K47" s="466" t="n"/>
    </row>
    <row r="48" ht="16" customHeight="1">
      <c r="A48" s="32" t="inlineStr">
        <is>
          <t>To Cover Variable Expenses</t>
        </is>
      </c>
      <c r="B48" s="20">
        <f>ROUND((B28)/B8,2)</f>
        <v/>
      </c>
      <c r="C48" s="451">
        <f>ROUND((C28)/C8,2)</f>
        <v/>
      </c>
      <c r="D48" s="452">
        <f>ROUND((D28)/D8,2)</f>
        <v/>
      </c>
      <c r="E48" s="453">
        <f>ROUND((E28)/E8,2)</f>
        <v/>
      </c>
      <c r="F48" s="31" t="n"/>
      <c r="G48" s="37" t="n"/>
      <c r="I48" s="451">
        <f>ROUND((I28)/I8,2)</f>
        <v/>
      </c>
      <c r="J48" s="467">
        <f>ROUND((J28)/J8,2)</f>
        <v/>
      </c>
      <c r="K48" s="453">
        <f>ROUND((K28)/K8,2)</f>
        <v/>
      </c>
    </row>
    <row r="49" ht="16" customHeight="1" thickBot="1">
      <c r="A49" s="53" t="inlineStr">
        <is>
          <t>To Cover Total Expenses</t>
        </is>
      </c>
      <c r="B49" s="21">
        <f>ROUND(B41/B8,2)</f>
        <v/>
      </c>
      <c r="C49" s="454">
        <f>ROUND(C41/C8,2)</f>
        <v/>
      </c>
      <c r="D49" s="455">
        <f>ROUND(D41/D8,2)</f>
        <v/>
      </c>
      <c r="E49" s="456">
        <f>ROUND(E41/E8,2)</f>
        <v/>
      </c>
      <c r="F49" s="31" t="n"/>
      <c r="G49" s="37" t="n"/>
      <c r="I49" s="454">
        <f>ROUND(I41/I8,2)</f>
        <v/>
      </c>
      <c r="J49" s="468">
        <f>ROUND(J41/J8,2)</f>
        <v/>
      </c>
      <c r="K49" s="456">
        <f>ROUND(K41/K8,2)</f>
        <v/>
      </c>
    </row>
    <row r="50" ht="16" customHeight="1" thickBot="1">
      <c r="A50" s="32" t="n"/>
      <c r="B50" s="744" t="n"/>
      <c r="C50" s="783" t="n"/>
      <c r="D50" s="784" t="n"/>
      <c r="E50" s="785" t="n"/>
      <c r="F50" s="31" t="n"/>
      <c r="G50" s="37" t="n"/>
      <c r="I50" s="464" t="n"/>
      <c r="J50" s="464" t="n"/>
      <c r="K50" s="464" t="n"/>
    </row>
    <row r="51" ht="16" customHeight="1">
      <c r="A51" s="51" t="inlineStr">
        <is>
          <t>BREAK-EVEN PRICE ($ per bu.)</t>
        </is>
      </c>
      <c r="B51" s="52" t="n"/>
      <c r="C51" s="786" t="n"/>
      <c r="D51" s="781" t="n"/>
      <c r="E51" s="787" t="n"/>
      <c r="F51" s="31" t="n"/>
      <c r="G51" s="37" t="n"/>
      <c r="I51" s="520" t="n"/>
      <c r="J51" s="465" t="n"/>
      <c r="K51" s="466" t="n"/>
    </row>
    <row r="52" ht="16" customHeight="1">
      <c r="A52" s="32" t="inlineStr">
        <is>
          <t>To Cover Variable Expenses</t>
        </is>
      </c>
      <c r="B52" s="20">
        <f>ROUND((B28)/B7,2)</f>
        <v/>
      </c>
      <c r="C52" s="451">
        <f>ROUND((C28)/C7,2)</f>
        <v/>
      </c>
      <c r="D52" s="452">
        <f>ROUND((D28)/D7,2)</f>
        <v/>
      </c>
      <c r="E52" s="453">
        <f>ROUND((E28)/E7,2)</f>
        <v/>
      </c>
      <c r="F52" s="31" t="n"/>
      <c r="G52" s="37" t="n"/>
      <c r="I52" s="451">
        <f>ROUND((I28)/I7,2)</f>
        <v/>
      </c>
      <c r="J52" s="467">
        <f>ROUND((J28)/J7,2)</f>
        <v/>
      </c>
      <c r="K52" s="453">
        <f>ROUND((K28)/K7,2)</f>
        <v/>
      </c>
    </row>
    <row r="53" ht="16" customHeight="1" thickBot="1">
      <c r="A53" s="53" t="inlineStr">
        <is>
          <t>To Cover Total Expenses</t>
        </is>
      </c>
      <c r="B53" s="21">
        <f>ROUND(B41/B7,2)</f>
        <v/>
      </c>
      <c r="C53" s="454">
        <f>ROUND(C41/C7,2)</f>
        <v/>
      </c>
      <c r="D53" s="455">
        <f>ROUND(D41/D7,2)</f>
        <v/>
      </c>
      <c r="E53" s="456">
        <f>ROUND(E41/E7,2)</f>
        <v/>
      </c>
      <c r="F53" s="31" t="n"/>
      <c r="G53" s="37" t="n"/>
      <c r="I53" s="454">
        <f>ROUND(I41/I7,2)</f>
        <v/>
      </c>
      <c r="J53" s="468">
        <f>ROUND(J41/J7,2)</f>
        <v/>
      </c>
      <c r="K53" s="456">
        <f>ROUND(K41/K7,2)</f>
        <v/>
      </c>
    </row>
    <row r="54" ht="16" customHeight="1" thickBot="1">
      <c r="A54" s="55" t="n"/>
      <c r="B54" s="17" t="n"/>
      <c r="C54" s="612" t="n"/>
      <c r="D54" s="612" t="n"/>
      <c r="E54" s="612" t="n"/>
      <c r="F54" s="31" t="n"/>
    </row>
    <row r="55" ht="16" customHeight="1">
      <c r="A55" s="47" t="inlineStr">
        <is>
          <t>YIELD SENSITIVITY (same expenses but average yield)</t>
        </is>
      </c>
      <c r="B55" s="64" t="n"/>
      <c r="C55" s="462" t="n"/>
      <c r="D55" s="462" t="n"/>
      <c r="E55" s="462" t="n"/>
      <c r="F55" s="31" t="n"/>
    </row>
    <row r="56" ht="16" customHeight="1">
      <c r="A56" s="49" t="inlineStr">
        <is>
          <t>Provincial Average Yield (bu./ac)</t>
        </is>
      </c>
      <c r="B56" s="65" t="n"/>
      <c r="C56" s="612">
        <f>I7</f>
        <v/>
      </c>
      <c r="D56" s="612">
        <f>J7</f>
        <v/>
      </c>
      <c r="E56" s="612">
        <f>K7</f>
        <v/>
      </c>
      <c r="F56" s="31" t="n"/>
    </row>
    <row r="57" ht="16" customHeight="1">
      <c r="A57" s="49" t="inlineStr">
        <is>
          <t xml:space="preserve"> Return over Variable Expenses </t>
        </is>
      </c>
      <c r="B57" s="65" t="n"/>
      <c r="C57" s="612">
        <f>I44</f>
        <v/>
      </c>
      <c r="D57" s="612">
        <f>J44</f>
        <v/>
      </c>
      <c r="E57" s="612">
        <f>K44</f>
        <v/>
      </c>
      <c r="F57" s="31" t="n"/>
    </row>
    <row r="58" ht="16" customHeight="1" thickBot="1">
      <c r="A58" s="737" t="inlineStr">
        <is>
          <t xml:space="preserve"> Return over Total Expenses </t>
        </is>
      </c>
      <c r="B58" s="66" t="n"/>
      <c r="C58" s="463">
        <f>I45</f>
        <v/>
      </c>
      <c r="D58" s="463">
        <f>J45</f>
        <v/>
      </c>
      <c r="E58" s="463">
        <f>K45</f>
        <v/>
      </c>
      <c r="F58" s="750" t="n"/>
    </row>
    <row r="59" ht="16" customHeight="1">
      <c r="A59" s="22" t="inlineStr">
        <is>
          <t>*Farm managers need to determine their own actual labour and management costs and add it to total expenses.</t>
        </is>
      </c>
      <c r="B59" s="24" t="n"/>
      <c r="C59" s="24" t="n"/>
      <c r="D59" s="24" t="n"/>
      <c r="E59" s="24" t="n"/>
    </row>
    <row r="60">
      <c r="A60" s="24" t="n"/>
      <c r="B60" s="24" t="n"/>
      <c r="C60" s="24" t="n"/>
      <c r="D60" s="24" t="n"/>
      <c r="E60" s="24" t="n"/>
    </row>
    <row r="61">
      <c r="A61" s="24" t="n"/>
      <c r="B61" s="24" t="n"/>
      <c r="C61" s="419" t="n"/>
      <c r="D61" s="419" t="n"/>
      <c r="E61" s="419" t="n"/>
    </row>
    <row r="62" ht="16" customHeight="1">
      <c r="A62" s="57" t="n"/>
      <c r="B62" s="56" t="n"/>
      <c r="C62" s="56" t="n"/>
      <c r="D62" s="56" t="n"/>
      <c r="E62" s="56" t="n"/>
    </row>
    <row r="63" ht="16" customHeight="1">
      <c r="A63" s="57" t="n"/>
      <c r="B63" s="56" t="n"/>
      <c r="C63" s="56" t="n"/>
      <c r="D63" s="56" t="n"/>
      <c r="E63" s="56" t="n"/>
    </row>
  </sheetData>
  <mergeCells count="2">
    <mergeCell ref="F3:F58"/>
    <mergeCell ref="I4:K4"/>
  </mergeCells>
  <pageMargins left="0.7" right="0.7" top="0.75" bottom="0.75" header="0.3" footer="0.3"/>
  <pageSetup orientation="portrait"/>
</worksheet>
</file>

<file path=xl/worksheets/sheet28.xml><?xml version="1.0" encoding="utf-8"?>
<worksheet xmlns="http://schemas.openxmlformats.org/spreadsheetml/2006/main">
  <sheetPr>
    <outlinePr summaryBelow="1" summaryRight="1"/>
    <pageSetUpPr/>
  </sheetPr>
  <dimension ref="A1:I65"/>
  <sheetViews>
    <sheetView showGridLines="0" topLeftCell="A24" workbookViewId="0">
      <selection activeCell="C39" sqref="C39"/>
    </sheetView>
  </sheetViews>
  <sheetFormatPr baseColWidth="8" defaultRowHeight="16" customHeight="1"/>
  <cols>
    <col width="55.7109375" customWidth="1" min="1" max="1"/>
    <col width="10" bestFit="1" customWidth="1" min="2" max="3"/>
    <col width="47.7109375" customWidth="1" min="4" max="4"/>
    <col width="12.28515625" customWidth="1" min="9" max="9"/>
  </cols>
  <sheetData>
    <row r="1" ht="16" customHeight="1">
      <c r="A1" s="150" t="inlineStr">
        <is>
          <t>BLACK BEAN PRODUCTION COSTS ($/ACRE) FOR SASKATCHEWAN 2026</t>
        </is>
      </c>
      <c r="B1" s="150" t="n"/>
      <c r="C1" s="150" t="n"/>
    </row>
    <row r="2" ht="16" customHeight="1" thickBot="1">
      <c r="A2" s="151" t="n"/>
      <c r="B2" s="151" t="inlineStr">
        <is>
          <t>Economics</t>
        </is>
      </c>
      <c r="C2" s="151" t="n"/>
      <c r="D2" s="620" t="inlineStr">
        <is>
          <t>Agronomics</t>
        </is>
      </c>
    </row>
    <row r="3" ht="16" customHeight="1" thickBot="1">
      <c r="A3" s="153" t="inlineStr">
        <is>
          <t>CROP</t>
        </is>
      </c>
      <c r="B3" s="861" t="inlineStr">
        <is>
          <t>BLACK BEANS**</t>
        </is>
      </c>
      <c r="C3" s="680" t="n"/>
      <c r="D3" s="681" t="n"/>
    </row>
    <row r="4" ht="16" customHeight="1" thickBot="1">
      <c r="A4" s="154" t="n"/>
      <c r="B4" s="862" t="inlineStr">
        <is>
          <t>My farm</t>
        </is>
      </c>
      <c r="C4" s="678" t="inlineStr">
        <is>
          <t>80th percentile</t>
        </is>
      </c>
      <c r="D4" s="836" t="inlineStr">
        <is>
          <t xml:space="preserve">Seeding: A seed rate of 55 lb./ac. is used. The dark brown soil zone is recommended.
Fertilization: Fertility costs are based on nutrient removal rates given the targeted crop yield. These are: 20 lb./ac. N and 15 lb./ac. P2O5. Producers are encouraged to use their own rates based on soil tests. Dry beans do not respond well to inoculant. 
Crop Rotation: Crop rotation can be used to reduce disease pressure and pathogen levels in the field. 
Crop Protection                                                     Insect control: Aphids, leafhoppers, cutworms, corn borer and lygus bugs might require control. 
Disease control: White mould and common bacterial blight are the most common diseases of dry bean. This estimate includes a single fungicide application for white mould management.
Weed control: Dry beans need to be maintained weed free between the second trifoliate stage and the onset of flowering (three weeks to five or six weeks after emergence) to minimize yield loss. Herbicide costs are based on the following herbicide timings. Please refer to general assumptions for details.  Please insert Herbicide application window. 
</t>
        </is>
      </c>
      <c r="I4" s="271" t="inlineStr">
        <is>
          <t>Average Yield</t>
        </is>
      </c>
    </row>
    <row r="5" ht="16" customHeight="1" thickBot="1">
      <c r="A5" s="863" t="inlineStr">
        <is>
          <t>Soil Zone</t>
        </is>
      </c>
      <c r="B5" s="156" t="n"/>
      <c r="C5" s="839" t="inlineStr">
        <is>
          <t>DkBrown</t>
        </is>
      </c>
      <c r="D5" s="31" t="n"/>
      <c r="I5" s="841" t="inlineStr">
        <is>
          <t>DkBrown</t>
        </is>
      </c>
    </row>
    <row r="6" ht="16" customHeight="1">
      <c r="A6" s="96" t="inlineStr">
        <is>
          <t>REVENUE PER ACRE</t>
        </is>
      </c>
      <c r="B6" s="123" t="n"/>
      <c r="C6" s="363" t="n"/>
      <c r="D6" s="31" t="n"/>
      <c r="I6" s="464" t="n"/>
    </row>
    <row r="7" ht="16" customHeight="1">
      <c r="A7" s="689" t="inlineStr">
        <is>
          <t>Target Yield (lb./ac.) (A)</t>
        </is>
      </c>
      <c r="B7" s="120" t="n"/>
      <c r="C7" s="918" t="n">
        <v>1850</v>
      </c>
      <c r="D7" s="31" t="n"/>
      <c r="I7" s="693" t="n">
        <v>1800</v>
      </c>
    </row>
    <row r="8" ht="16" customHeight="1" thickBot="1">
      <c r="A8" s="689" t="inlineStr">
        <is>
          <t>Est. Farm Gate Price $/lb. (B)</t>
        </is>
      </c>
      <c r="B8" s="192" t="n"/>
      <c r="C8" s="919" t="n">
        <v>0.27</v>
      </c>
      <c r="D8" s="31" t="n"/>
      <c r="I8" s="587">
        <f>C8</f>
        <v/>
      </c>
    </row>
    <row r="9" ht="16" customHeight="1" thickBot="1">
      <c r="A9" s="70" t="inlineStr">
        <is>
          <t>Estimated Gross Revenue/ac (AxB)=C</t>
        </is>
      </c>
      <c r="B9" s="158">
        <f>ROUND((B8*B7),2)</f>
        <v/>
      </c>
      <c r="C9" s="588">
        <f>ROUND((C8*C7),2)</f>
        <v/>
      </c>
      <c r="D9" s="31" t="n"/>
      <c r="I9" s="474">
        <f>ROUND((I8*I7),2)</f>
        <v/>
      </c>
    </row>
    <row r="10">
      <c r="A10" s="67" t="n"/>
      <c r="B10" s="119" t="n"/>
      <c r="C10" s="362" t="n"/>
      <c r="D10" s="31" t="n"/>
      <c r="I10" s="332" t="n"/>
    </row>
    <row r="11" ht="16" customHeight="1" thickBot="1">
      <c r="A11" s="73" t="inlineStr">
        <is>
          <t>EXPENSES PER ACRE</t>
        </is>
      </c>
      <c r="B11" s="119" t="n"/>
      <c r="C11" s="362" t="n"/>
      <c r="D11" s="31" t="n"/>
      <c r="I11" s="332" t="n"/>
    </row>
    <row r="12" ht="16" customHeight="1">
      <c r="A12" s="96" t="inlineStr">
        <is>
          <t>Variable Expenses/acre</t>
        </is>
      </c>
      <c r="B12" s="123" t="n"/>
      <c r="C12" s="363" t="n"/>
      <c r="D12" s="31" t="n"/>
      <c r="I12" s="332" t="n"/>
    </row>
    <row r="13" ht="16" customHeight="1">
      <c r="A13" s="689" t="inlineStr">
        <is>
          <t>Seed</t>
        </is>
      </c>
      <c r="B13" s="124" t="n"/>
      <c r="C13" s="605" t="n">
        <v>109.45</v>
      </c>
      <c r="D13" s="31" t="n"/>
      <c r="I13" s="427">
        <f>C13</f>
        <v/>
      </c>
    </row>
    <row r="14" ht="16" customHeight="1">
      <c r="A14" s="689" t="inlineStr">
        <is>
          <t xml:space="preserve">                     -Seed Treatments/Inoculants</t>
        </is>
      </c>
      <c r="B14" s="124" t="n"/>
      <c r="C14" s="605" t="n">
        <v>3.270756411535775</v>
      </c>
      <c r="D14" s="31" t="n"/>
      <c r="I14" s="427">
        <f>C14</f>
        <v/>
      </c>
    </row>
    <row r="15" ht="16" customHeight="1">
      <c r="A15" s="689" t="inlineStr">
        <is>
          <t>Fertilizer -Nitrogen (N)</t>
        </is>
      </c>
      <c r="B15" s="124" t="n"/>
      <c r="C15" s="920" t="n">
        <v>25.37875798942634</v>
      </c>
      <c r="D15" s="31" t="n"/>
      <c r="I15" s="427">
        <f>C15</f>
        <v/>
      </c>
    </row>
    <row r="16" ht="16" customHeight="1">
      <c r="A16" s="689" t="inlineStr">
        <is>
          <t xml:space="preserve">               -Phosphorous (P2O5)</t>
        </is>
      </c>
      <c r="B16" s="124" t="n"/>
      <c r="C16" s="920" t="n">
        <v>14.41681740101609</v>
      </c>
      <c r="D16" s="31" t="n"/>
      <c r="I16" s="427">
        <f>C16</f>
        <v/>
      </c>
    </row>
    <row r="17" ht="16" customHeight="1">
      <c r="A17" s="689" t="inlineStr">
        <is>
          <t xml:space="preserve">               -Sulphur and Other</t>
        </is>
      </c>
      <c r="B17" s="125" t="n"/>
      <c r="C17" s="921" t="n">
        <v>0</v>
      </c>
      <c r="D17" s="31" t="n"/>
      <c r="I17" s="427">
        <f>C17</f>
        <v/>
      </c>
    </row>
    <row r="18" ht="16" customHeight="1">
      <c r="A18" s="689" t="inlineStr">
        <is>
          <t>Plant Protection -Herbicides</t>
        </is>
      </c>
      <c r="B18" s="124" t="n"/>
      <c r="C18" s="605" t="n">
        <v>86.4692034623647</v>
      </c>
      <c r="D18" s="31" t="n"/>
      <c r="I18" s="427">
        <f>C18</f>
        <v/>
      </c>
    </row>
    <row r="19" ht="16" customHeight="1">
      <c r="A19" s="689" t="inlineStr">
        <is>
          <t xml:space="preserve">                     -Insecticides</t>
        </is>
      </c>
      <c r="B19" s="124" t="n"/>
      <c r="C19" s="605" t="n">
        <v>0</v>
      </c>
      <c r="D19" s="31" t="n"/>
      <c r="I19" s="427">
        <f>C19</f>
        <v/>
      </c>
    </row>
    <row r="20" ht="16" customHeight="1">
      <c r="A20" s="689" t="inlineStr">
        <is>
          <t xml:space="preserve">                     -Fungicides</t>
        </is>
      </c>
      <c r="B20" s="124" t="n"/>
      <c r="C20" s="605" t="n">
        <v>9.93</v>
      </c>
      <c r="D20" s="31" t="n"/>
      <c r="I20" s="427">
        <f>C20</f>
        <v/>
      </c>
    </row>
    <row r="21" ht="16" customHeight="1">
      <c r="A21" s="689" t="inlineStr">
        <is>
          <t>Machinery Operating -Fuel</t>
        </is>
      </c>
      <c r="B21" s="125" t="n"/>
      <c r="C21" s="922" t="n">
        <v>22.43927534166667</v>
      </c>
      <c r="D21" s="31" t="n"/>
      <c r="I21" s="427">
        <f>C21</f>
        <v/>
      </c>
    </row>
    <row r="22" ht="16" customHeight="1">
      <c r="A22" s="689" t="inlineStr">
        <is>
          <t xml:space="preserve">                                  -Repair</t>
        </is>
      </c>
      <c r="B22" s="124" t="n"/>
      <c r="C22" s="605" t="n">
        <v>13.03949744699887</v>
      </c>
      <c r="D22" s="31" t="n"/>
      <c r="I22" s="427">
        <f>C22</f>
        <v/>
      </c>
    </row>
    <row r="23" ht="16" customHeight="1">
      <c r="A23" s="689" t="inlineStr">
        <is>
          <t>Custom Work and Hired Labour</t>
        </is>
      </c>
      <c r="B23" s="124" t="n"/>
      <c r="C23" s="605" t="n">
        <v>21</v>
      </c>
      <c r="D23" s="31" t="n"/>
      <c r="I23" s="427">
        <f>C23</f>
        <v/>
      </c>
    </row>
    <row r="24" ht="16" customHeight="1">
      <c r="A24" s="689" t="inlineStr">
        <is>
          <t>Crop Insurance Premium</t>
        </is>
      </c>
      <c r="B24" s="126" t="n"/>
      <c r="C24" s="923" t="n">
        <v>12.68600006103516</v>
      </c>
      <c r="D24" s="31" t="n"/>
      <c r="I24" s="427">
        <f>C24</f>
        <v/>
      </c>
    </row>
    <row r="25" ht="16" customHeight="1">
      <c r="A25" s="689" t="inlineStr">
        <is>
          <t>Hail Insurance Premium</t>
        </is>
      </c>
      <c r="B25" s="126" t="n"/>
      <c r="C25" s="923" t="n">
        <v>14</v>
      </c>
      <c r="D25" s="31" t="n"/>
      <c r="I25" s="427">
        <f>C25</f>
        <v/>
      </c>
    </row>
    <row r="26" ht="16" customHeight="1">
      <c r="A26" s="689" t="inlineStr">
        <is>
          <t>Utilities and Miscellaneous</t>
        </is>
      </c>
      <c r="B26" s="125" t="n"/>
      <c r="C26" s="922" t="n">
        <v>5.768849384517721</v>
      </c>
      <c r="D26" s="31" t="n"/>
      <c r="I26" s="427">
        <f>C26</f>
        <v/>
      </c>
    </row>
    <row r="27" ht="16" customHeight="1" thickBot="1">
      <c r="A27" s="871" t="inlineStr">
        <is>
          <t>Interest on Variable Expenses</t>
        </is>
      </c>
      <c r="B27" s="127" t="n"/>
      <c r="C27" s="924" t="n">
        <v>12.79322143061219</v>
      </c>
      <c r="D27" s="31" t="n"/>
      <c r="I27" s="427">
        <f>C27</f>
        <v/>
      </c>
    </row>
    <row r="28" ht="16" customHeight="1" thickBot="1">
      <c r="A28" s="70" t="inlineStr">
        <is>
          <t>Total Variable Expenses (D)</t>
        </is>
      </c>
      <c r="B28" s="133">
        <f>SUM(B13:B27)</f>
        <v/>
      </c>
      <c r="C28" s="595">
        <f>SUM(C13:C27)</f>
        <v/>
      </c>
      <c r="D28" s="31" t="n"/>
      <c r="I28" s="428">
        <f>SUM(I13:I27)</f>
        <v/>
      </c>
    </row>
    <row r="29">
      <c r="A29" s="67" t="n"/>
      <c r="B29" s="119" t="n"/>
      <c r="C29" s="362" t="n"/>
      <c r="D29" s="31" t="n"/>
      <c r="I29" s="464" t="n"/>
    </row>
    <row r="30" ht="16" customHeight="1" thickBot="1">
      <c r="A30" s="73" t="inlineStr">
        <is>
          <t>Other Expenses/acre</t>
        </is>
      </c>
      <c r="B30" s="119" t="n"/>
      <c r="C30" s="362" t="n"/>
      <c r="D30" s="31" t="n"/>
      <c r="I30" s="464" t="n"/>
    </row>
    <row r="31" ht="16" customHeight="1">
      <c r="A31" s="925" t="inlineStr">
        <is>
          <t>Building Repair</t>
        </is>
      </c>
      <c r="B31" s="926" t="n"/>
      <c r="C31" s="927" t="n">
        <v>0.9756414253534748</v>
      </c>
      <c r="D31" s="31" t="n"/>
      <c r="I31" s="776">
        <f>C31</f>
        <v/>
      </c>
    </row>
    <row r="32" ht="16" customHeight="1">
      <c r="A32" s="689" t="inlineStr">
        <is>
          <t>Property Taxes</t>
        </is>
      </c>
      <c r="B32" s="868" t="n"/>
      <c r="C32" s="928" t="n">
        <v>6.642698188180902</v>
      </c>
      <c r="D32" s="31" t="n"/>
      <c r="I32" s="776">
        <f>C32</f>
        <v/>
      </c>
    </row>
    <row r="33" ht="16" customHeight="1">
      <c r="A33" s="689" t="inlineStr">
        <is>
          <t>Business Overhead</t>
        </is>
      </c>
      <c r="B33" s="869" t="n"/>
      <c r="C33" s="929" t="n">
        <v>3.986427684117127</v>
      </c>
      <c r="D33" s="31" t="n"/>
      <c r="I33" s="776">
        <f>C33</f>
        <v/>
      </c>
    </row>
    <row r="34" ht="16" customHeight="1">
      <c r="A34" s="689" t="inlineStr">
        <is>
          <t>Machinery Depreciation</t>
        </is>
      </c>
      <c r="B34" s="870" t="n"/>
      <c r="C34" s="928" t="n">
        <v>53.66254718572614</v>
      </c>
      <c r="D34" s="31" t="n"/>
      <c r="I34" s="776">
        <f>C34</f>
        <v/>
      </c>
    </row>
    <row r="35" ht="16" customHeight="1">
      <c r="A35" s="689" t="inlineStr">
        <is>
          <t>Building Depreciation</t>
        </is>
      </c>
      <c r="B35" s="866" t="n"/>
      <c r="C35" s="929" t="n">
        <v>1.9</v>
      </c>
      <c r="D35" s="31" t="n"/>
      <c r="I35" s="776">
        <f>C35</f>
        <v/>
      </c>
    </row>
    <row r="36" ht="16" customHeight="1">
      <c r="A36" s="689" t="inlineStr">
        <is>
          <t>Machinery Investment</t>
        </is>
      </c>
      <c r="B36" s="870" t="n"/>
      <c r="C36" s="928" t="n">
        <v>33.85254144893939</v>
      </c>
      <c r="D36" s="31" t="n"/>
      <c r="I36" s="776">
        <f>C36</f>
        <v/>
      </c>
    </row>
    <row r="37" ht="16" customHeight="1">
      <c r="A37" s="689" t="inlineStr">
        <is>
          <t>Building Investment</t>
        </is>
      </c>
      <c r="B37" s="866" t="n"/>
      <c r="C37" s="929" t="n">
        <v>1.737866666666666</v>
      </c>
      <c r="D37" s="31" t="n"/>
      <c r="I37" s="776">
        <f>C37</f>
        <v/>
      </c>
    </row>
    <row r="38" ht="16" customHeight="1" thickBot="1">
      <c r="A38" s="871" t="inlineStr">
        <is>
          <t>Land Investment</t>
        </is>
      </c>
      <c r="B38" s="872" t="n"/>
      <c r="C38" s="930" t="n">
        <v>80.65649999999999</v>
      </c>
      <c r="D38" s="31" t="n"/>
      <c r="I38" s="776">
        <f>C38</f>
        <v/>
      </c>
    </row>
    <row r="39" ht="16" customHeight="1" thickBot="1">
      <c r="A39" s="70" t="inlineStr">
        <is>
          <t>Total Other Expenses (E)</t>
        </is>
      </c>
      <c r="B39" s="133">
        <f>SUM(B31:B38)</f>
        <v/>
      </c>
      <c r="C39" s="595">
        <f>SUM(C31:C38)</f>
        <v/>
      </c>
      <c r="D39" s="31" t="n"/>
      <c r="I39" s="428">
        <f>SUM(I31:I38)</f>
        <v/>
      </c>
    </row>
    <row r="40" ht="16" customHeight="1" thickBot="1">
      <c r="A40" s="689" t="inlineStr">
        <is>
          <t>Labour and Management (F)*</t>
        </is>
      </c>
      <c r="B40" s="125" t="n"/>
      <c r="C40" s="592" t="n"/>
      <c r="D40" s="31" t="n"/>
      <c r="I40" s="464" t="n"/>
    </row>
    <row r="41" ht="16" customHeight="1" thickBot="1">
      <c r="A41" s="89" t="inlineStr">
        <is>
          <t xml:space="preserve">Total Expenses (D+E+F)=(G) </t>
        </is>
      </c>
      <c r="B41" s="133">
        <f>B28+B39+B40</f>
        <v/>
      </c>
      <c r="C41" s="582">
        <f>C28+C39+C40</f>
        <v/>
      </c>
      <c r="D41" s="31" t="n"/>
      <c r="I41" s="428">
        <f>I28+I39+I40</f>
        <v/>
      </c>
    </row>
    <row r="42" ht="16" customHeight="1" thickBot="1">
      <c r="A42" s="90" t="n"/>
      <c r="B42" s="159" t="n"/>
      <c r="C42" s="600" t="n"/>
      <c r="D42" s="31" t="n"/>
      <c r="I42" s="464" t="n"/>
    </row>
    <row r="43" ht="16" customHeight="1">
      <c r="A43" s="93" t="inlineStr">
        <is>
          <t>RETURNS PER ACRE</t>
        </is>
      </c>
      <c r="B43" s="123" t="n"/>
      <c r="C43" s="601" t="n"/>
      <c r="D43" s="31" t="n"/>
      <c r="I43" s="465" t="n"/>
    </row>
    <row r="44" ht="16" customHeight="1">
      <c r="A44" s="49" t="inlineStr">
        <is>
          <t xml:space="preserve"> Return over Variable Expenses (C-D) </t>
        </is>
      </c>
      <c r="B44" s="105">
        <f>B9-B28</f>
        <v/>
      </c>
      <c r="C44" s="467">
        <f>C9-C28</f>
        <v/>
      </c>
      <c r="D44" s="31" t="n"/>
      <c r="I44" s="467">
        <f>I9-I28</f>
        <v/>
      </c>
    </row>
    <row r="45" ht="16" customHeight="1" thickBot="1">
      <c r="A45" s="737" t="inlineStr">
        <is>
          <t xml:space="preserve"> Return over Total Expenses (C-G)</t>
        </is>
      </c>
      <c r="B45" s="160">
        <f>B9-B41</f>
        <v/>
      </c>
      <c r="C45" s="468">
        <f>C9-C41</f>
        <v/>
      </c>
      <c r="D45" s="31" t="n"/>
      <c r="I45" s="468">
        <f>I9-I41</f>
        <v/>
      </c>
    </row>
    <row r="46" ht="16" customHeight="1" thickBot="1">
      <c r="A46" s="73" t="n"/>
      <c r="B46" s="159" t="n"/>
      <c r="C46" s="600" t="n"/>
      <c r="D46" s="31" t="n"/>
      <c r="I46" s="464" t="n"/>
    </row>
    <row r="47" ht="16" customHeight="1">
      <c r="A47" s="96" t="inlineStr">
        <is>
          <t>BREAK-EVEN YIELD (lbs./ac.)</t>
        </is>
      </c>
      <c r="B47" s="161" t="n"/>
      <c r="C47" s="602" t="n"/>
      <c r="D47" s="31" t="n"/>
      <c r="I47" s="465" t="n"/>
    </row>
    <row r="48" ht="16" customHeight="1">
      <c r="A48" s="73" t="inlineStr">
        <is>
          <t>To Cover Variable Expenses</t>
        </is>
      </c>
      <c r="B48" s="163">
        <f>ROUND((B28)/B8,2)</f>
        <v/>
      </c>
      <c r="C48" s="527">
        <f>ROUND((C28)/C8,2)</f>
        <v/>
      </c>
      <c r="D48" s="31" t="n"/>
      <c r="I48" s="527">
        <f>ROUND((I28)/I8,2)</f>
        <v/>
      </c>
    </row>
    <row r="49" ht="16" customHeight="1" thickBot="1">
      <c r="A49" s="164" t="inlineStr">
        <is>
          <t>To Cover Total Expenses</t>
        </is>
      </c>
      <c r="B49" s="166">
        <f>ROUND(B41/B8,2)</f>
        <v/>
      </c>
      <c r="C49" s="528">
        <f>ROUND(C41/C8,2)</f>
        <v/>
      </c>
      <c r="D49" s="31" t="n"/>
      <c r="I49" s="528">
        <f>ROUND(I41/I8,2)</f>
        <v/>
      </c>
    </row>
    <row r="50" ht="16" customHeight="1" thickBot="1">
      <c r="A50" s="73" t="n"/>
      <c r="B50" s="873" t="n"/>
      <c r="C50" s="931" t="n"/>
      <c r="D50" s="31" t="n"/>
      <c r="I50" s="464" t="n"/>
    </row>
    <row r="51" ht="16" customHeight="1">
      <c r="A51" s="96" t="inlineStr">
        <is>
          <t>BREAK-EVEN PRICE ($/lb.)</t>
        </is>
      </c>
      <c r="B51" s="161" t="n"/>
      <c r="C51" s="602" t="n"/>
      <c r="D51" s="31" t="n"/>
      <c r="I51" s="465" t="n"/>
    </row>
    <row r="52" ht="16" customHeight="1">
      <c r="A52" s="73" t="inlineStr">
        <is>
          <t>To Cover Variable Expenses</t>
        </is>
      </c>
      <c r="B52" s="99">
        <f>ROUND((B28)/B7,2)</f>
        <v/>
      </c>
      <c r="C52" s="467">
        <f>ROUND((C28)/C7,2)</f>
        <v/>
      </c>
      <c r="D52" s="31" t="n"/>
      <c r="I52" s="467">
        <f>ROUND((I28)/I7,2)</f>
        <v/>
      </c>
    </row>
    <row r="53" ht="16" customHeight="1" thickBot="1">
      <c r="A53" s="164" t="inlineStr">
        <is>
          <t>To Cover Total Expenses</t>
        </is>
      </c>
      <c r="B53" s="100">
        <f>ROUND(B41/B7,2)</f>
        <v/>
      </c>
      <c r="C53" s="468">
        <f>ROUND(C41/C7,2)</f>
        <v/>
      </c>
      <c r="D53" s="31" t="n"/>
      <c r="I53" s="468">
        <f>ROUND(I41/I7,2)</f>
        <v/>
      </c>
    </row>
    <row r="54" ht="16" customHeight="1" thickBot="1">
      <c r="A54" s="168" t="n"/>
      <c r="B54" s="17" t="n"/>
      <c r="C54" s="612" t="n"/>
      <c r="D54" s="31" t="n"/>
    </row>
    <row r="55" ht="16" customHeight="1">
      <c r="A55" s="47" t="inlineStr">
        <is>
          <t>YIELD SENSITIVITY (same expenses but average yield)</t>
        </is>
      </c>
      <c r="B55" s="169" t="n"/>
      <c r="C55" s="604" t="n"/>
      <c r="D55" s="31" t="n"/>
    </row>
    <row r="56" ht="16" customHeight="1">
      <c r="A56" s="170" t="inlineStr">
        <is>
          <t>Provincial average yield (lb./ac)</t>
        </is>
      </c>
      <c r="B56" s="171" t="n"/>
      <c r="C56" s="472">
        <f>I7</f>
        <v/>
      </c>
      <c r="D56" s="31" t="n"/>
    </row>
    <row r="57" ht="16" customHeight="1">
      <c r="A57" s="170" t="inlineStr">
        <is>
          <t xml:space="preserve"> Return over Variable Expenses </t>
        </is>
      </c>
      <c r="B57" s="171" t="n"/>
      <c r="C57" s="472">
        <f>I44</f>
        <v/>
      </c>
      <c r="D57" s="31" t="n"/>
    </row>
    <row r="58" ht="16" customHeight="1" thickBot="1">
      <c r="A58" s="845" t="inlineStr">
        <is>
          <t xml:space="preserve"> Return over Total Expenses </t>
        </is>
      </c>
      <c r="B58" s="173" t="n"/>
      <c r="C58" s="430">
        <f>I45</f>
        <v/>
      </c>
      <c r="D58" s="750" t="n"/>
    </row>
    <row r="59" ht="16" customHeight="1">
      <c r="A59" s="22" t="inlineStr">
        <is>
          <t>*Farm managers need to determine their own actual labour and management costs and add it to total expenses.</t>
        </is>
      </c>
      <c r="B59" s="17" t="n"/>
      <c r="C59" s="17" t="n"/>
    </row>
    <row r="60" ht="16" customHeight="1">
      <c r="A60" s="22" t="inlineStr">
        <is>
          <t>** Yield and costs are for dryland beans only.</t>
        </is>
      </c>
      <c r="B60" s="175" t="n"/>
      <c r="C60" s="175" t="n"/>
    </row>
    <row r="61">
      <c r="A61" s="22" t="n"/>
      <c r="B61" s="24" t="n"/>
      <c r="C61" s="419" t="n"/>
    </row>
    <row r="62">
      <c r="A62" s="24" t="n"/>
      <c r="B62" s="24" t="n"/>
      <c r="C62" s="24" t="n"/>
    </row>
    <row r="63">
      <c r="A63" s="24" t="n"/>
      <c r="B63" s="24" t="n"/>
      <c r="C63" s="24" t="n"/>
    </row>
    <row r="64">
      <c r="A64" s="176" t="n"/>
      <c r="B64" s="177" t="n"/>
      <c r="C64" s="177" t="n"/>
    </row>
    <row r="65">
      <c r="A65" s="176" t="n"/>
      <c r="B65" s="178" t="n"/>
      <c r="C65" s="178" t="n"/>
    </row>
  </sheetData>
  <mergeCells count="2">
    <mergeCell ref="D4:D58"/>
    <mergeCell ref="B3:D3"/>
  </mergeCells>
  <pageMargins left="0.7" right="0.7" top="0.75" bottom="0.75" header="0.3" footer="0.3"/>
  <pageSetup orientation="portrait"/>
</worksheet>
</file>

<file path=xl/worksheets/sheet29.xml><?xml version="1.0" encoding="utf-8"?>
<worksheet xmlns="http://schemas.openxmlformats.org/spreadsheetml/2006/main">
  <sheetPr>
    <outlinePr summaryBelow="1" summaryRight="1"/>
    <pageSetUpPr/>
  </sheetPr>
  <dimension ref="A1:G63"/>
  <sheetViews>
    <sheetView showGridLines="0" topLeftCell="A29" workbookViewId="0">
      <selection activeCell="C28" sqref="C28"/>
    </sheetView>
  </sheetViews>
  <sheetFormatPr baseColWidth="8" defaultRowHeight="16" customHeight="1"/>
  <cols>
    <col width="55.7109375" customWidth="1" min="1" max="1"/>
    <col width="9.7109375" customWidth="1" min="2" max="2"/>
    <col width="9.28515625" customWidth="1" min="3" max="3"/>
    <col width="51.140625" customWidth="1" min="4" max="4"/>
    <col width="13.42578125" customWidth="1" min="7" max="7"/>
  </cols>
  <sheetData>
    <row r="1" ht="16" customHeight="1">
      <c r="A1" s="23" t="inlineStr">
        <is>
          <t>FABABEANS PRODUCTION COSTS ($/ACRE) FOR SASKATCHEWAN 2026</t>
        </is>
      </c>
      <c r="B1" s="23" t="n"/>
      <c r="C1" s="23" t="n"/>
      <c r="D1" s="24" t="n"/>
    </row>
    <row r="2" ht="16" customHeight="1" thickBot="1">
      <c r="A2" s="25" t="n"/>
      <c r="B2" s="25" t="inlineStr">
        <is>
          <t>Economics</t>
        </is>
      </c>
      <c r="C2" s="25" t="n"/>
      <c r="D2" s="25" t="inlineStr">
        <is>
          <t>Agronomics</t>
        </is>
      </c>
    </row>
    <row r="3" ht="16" customHeight="1" thickBot="1">
      <c r="A3" s="142" t="inlineStr">
        <is>
          <t>CROP</t>
        </is>
      </c>
      <c r="B3" s="861" t="inlineStr">
        <is>
          <t>FABABEANS</t>
        </is>
      </c>
      <c r="C3" s="680" t="n"/>
      <c r="D3" s="681" t="n"/>
    </row>
    <row r="4" ht="16" customHeight="1" thickBot="1">
      <c r="B4" s="932" t="inlineStr">
        <is>
          <t>My Farm</t>
        </is>
      </c>
      <c r="C4" s="862" t="inlineStr">
        <is>
          <t>80th percentile</t>
        </is>
      </c>
      <c r="D4" s="933" t="inlineStr">
        <is>
          <t xml:space="preserve">Seeding: A seed rate of 181 lb./ac. is used. Faba beans are recommended for the black soil zone.
Fertilization: Inoculant with correct strain of rhizobium should be applied. Fertility costs are based on nutrient removal rates given the targeted crop yield. These are: 16.1 lb./ac. N and 74 lb./ac. P2O5. Producers are encouraged to use their own rates based on soil tests. 
Crop Rotation: Crop rotation can be used to reduce disease pressure by allowing infected crop residue to decompose between susceptible crops. 
Crop Protection                                                            Insect control: Wireworms, cutworms, lygus bugs, potato leafhopper, pea aphid, grasshoppers, and pea leaf weevil might require control. Seed treatments are available for wireworm and pea leaf weevil control. Refer to ministry forecasts of local pea leaf weevil pressures at saskatchewan.ca/crops. 
Disease control: Chocolate spot is a foliar disease that can result in poor seed set and flower abortion. A single application of fungicides for the management of chocolate spot has been included in this estimate. Fungicide application should be based on disease risk within the growing season. 
Weed control: Herbicide costs are based on the following herbicide timings. Please refer to general assumptions for details. Please insert herbicide application window.
</t>
        </is>
      </c>
      <c r="G4" s="271" t="inlineStr">
        <is>
          <t>Average Yield</t>
        </is>
      </c>
    </row>
    <row r="5" ht="16" customHeight="1" thickBot="1">
      <c r="A5" s="838" t="inlineStr">
        <is>
          <t>Soil Zone</t>
        </is>
      </c>
      <c r="B5" s="118" t="n"/>
      <c r="C5" s="934" t="inlineStr">
        <is>
          <t>Black</t>
        </is>
      </c>
      <c r="D5" s="31" t="n"/>
      <c r="G5" s="889" t="inlineStr">
        <is>
          <t>Black</t>
        </is>
      </c>
    </row>
    <row r="6" ht="16" customHeight="1">
      <c r="A6" s="111" t="inlineStr">
        <is>
          <t>REVENUE PER ACRE</t>
        </is>
      </c>
      <c r="B6" s="119" t="n"/>
      <c r="C6" s="85" t="n"/>
      <c r="D6" s="31" t="n"/>
      <c r="G6" s="31" t="n"/>
    </row>
    <row r="7" ht="16" customHeight="1">
      <c r="A7" s="689" t="inlineStr">
        <is>
          <t>Estimated Yield (lb./ac) (A)</t>
        </is>
      </c>
      <c r="B7" s="120" t="n"/>
      <c r="C7" s="902" t="n">
        <v>3300.3</v>
      </c>
      <c r="D7" s="31" t="n"/>
      <c r="E7" s="37" t="n"/>
      <c r="G7" s="693" t="n">
        <v>2070.2</v>
      </c>
    </row>
    <row r="8" ht="16" customHeight="1" thickBot="1">
      <c r="A8" s="689" t="inlineStr">
        <is>
          <t>Est. On Farm Market Price $/lb. (B)</t>
        </is>
      </c>
      <c r="B8" s="121" t="n"/>
      <c r="C8" s="772" t="n">
        <v>0.1</v>
      </c>
      <c r="D8" s="31" t="n"/>
      <c r="E8" s="37" t="n"/>
      <c r="G8" s="427">
        <f>C8</f>
        <v/>
      </c>
    </row>
    <row r="9" ht="16" customHeight="1" thickBot="1">
      <c r="A9" s="112" t="inlineStr">
        <is>
          <t>Estimated Gross Revenue/ac (AxB)=C</t>
        </is>
      </c>
      <c r="B9" s="122">
        <f>ROUND((B8*B7),2)</f>
        <v/>
      </c>
      <c r="C9" s="578">
        <f>ROUND((C8*C7),2)</f>
        <v/>
      </c>
      <c r="D9" s="31" t="n"/>
      <c r="E9" s="37" t="n"/>
      <c r="G9" s="474">
        <f>ROUND((G8*G7),2)</f>
        <v/>
      </c>
    </row>
    <row r="10">
      <c r="A10" s="110" t="n"/>
      <c r="B10" s="123" t="n"/>
      <c r="C10" s="346" t="n"/>
      <c r="D10" s="31" t="n"/>
      <c r="E10" s="37" t="n"/>
      <c r="G10" s="332" t="n"/>
    </row>
    <row r="11" ht="16" customHeight="1">
      <c r="A11" s="111" t="inlineStr">
        <is>
          <t>EXPENSES PER ACRE</t>
        </is>
      </c>
      <c r="B11" s="119" t="n"/>
      <c r="C11" s="360" t="n"/>
      <c r="D11" s="31" t="n"/>
      <c r="E11" s="37" t="n"/>
      <c r="G11" s="332" t="n"/>
    </row>
    <row r="12" ht="16" customHeight="1">
      <c r="A12" s="111" t="inlineStr">
        <is>
          <t>Variable Expenses/acre</t>
        </is>
      </c>
      <c r="B12" s="119" t="n"/>
      <c r="C12" s="360" t="n"/>
      <c r="D12" s="31" t="n"/>
      <c r="E12" s="37" t="n"/>
      <c r="G12" s="332" t="n"/>
    </row>
    <row r="13" ht="16" customHeight="1">
      <c r="A13" s="935" t="inlineStr">
        <is>
          <t>Seed</t>
        </is>
      </c>
      <c r="B13" s="124" t="n"/>
      <c r="C13" s="717" t="n">
        <v>48.87</v>
      </c>
      <c r="D13" s="31" t="n"/>
      <c r="E13" s="37" t="n"/>
      <c r="G13" s="427">
        <f>C13</f>
        <v/>
      </c>
    </row>
    <row r="14" ht="16" customHeight="1">
      <c r="A14" s="935" t="inlineStr">
        <is>
          <t xml:space="preserve">                     -Seed Treatments/Inoculants</t>
        </is>
      </c>
      <c r="B14" s="124" t="n"/>
      <c r="C14" s="717" t="n">
        <v>10.76376200887228</v>
      </c>
      <c r="D14" s="31" t="n"/>
      <c r="E14" s="37" t="n"/>
      <c r="G14" s="427">
        <f>C14</f>
        <v/>
      </c>
    </row>
    <row r="15" ht="16" customHeight="1">
      <c r="A15" s="689" t="inlineStr">
        <is>
          <t>Fertilizer -Nitrogen (N)</t>
        </is>
      </c>
      <c r="B15" s="124" t="n"/>
      <c r="C15" s="795" t="n">
        <v>12.8531129172256</v>
      </c>
      <c r="D15" s="31" t="n"/>
      <c r="E15" s="37" t="n"/>
      <c r="G15" s="427">
        <f>C15</f>
        <v/>
      </c>
    </row>
    <row r="16" ht="16" customHeight="1">
      <c r="A16" s="689" t="inlineStr">
        <is>
          <t xml:space="preserve">               -Phosphorous (P2O5)</t>
        </is>
      </c>
      <c r="B16" s="124" t="n"/>
      <c r="C16" s="795" t="n">
        <v>71.12296584501271</v>
      </c>
      <c r="D16" s="31" t="n"/>
      <c r="E16" s="37" t="n"/>
      <c r="G16" s="427">
        <f>C16</f>
        <v/>
      </c>
    </row>
    <row r="17" ht="16" customHeight="1">
      <c r="A17" s="935" t="inlineStr">
        <is>
          <t xml:space="preserve">               -Sulphur and Other</t>
        </is>
      </c>
      <c r="B17" s="125" t="n"/>
      <c r="C17" s="798" t="n">
        <v>0</v>
      </c>
      <c r="D17" s="31" t="n"/>
      <c r="E17" s="37" t="n"/>
      <c r="G17" s="427">
        <f>C17</f>
        <v/>
      </c>
    </row>
    <row r="18" ht="16" customHeight="1">
      <c r="A18" s="935" t="inlineStr">
        <is>
          <t>Plant Protection -Herbicides</t>
        </is>
      </c>
      <c r="B18" s="124" t="n"/>
      <c r="C18" s="717" t="n">
        <v>82.48</v>
      </c>
      <c r="D18" s="31" t="n"/>
      <c r="E18" s="37" t="n"/>
      <c r="G18" s="427">
        <f>C18</f>
        <v/>
      </c>
    </row>
    <row r="19" ht="16" customHeight="1">
      <c r="A19" s="935" t="inlineStr">
        <is>
          <t xml:space="preserve">                     -Insecticides</t>
        </is>
      </c>
      <c r="B19" s="124" t="n"/>
      <c r="C19" s="717" t="n">
        <v>14.74480151228734</v>
      </c>
      <c r="D19" s="31" t="n"/>
      <c r="E19" s="37" t="n"/>
      <c r="G19" s="427">
        <f>C19</f>
        <v/>
      </c>
    </row>
    <row r="20" ht="16" customHeight="1">
      <c r="A20" s="935" t="inlineStr">
        <is>
          <t xml:space="preserve">                     -Fungicides</t>
        </is>
      </c>
      <c r="B20" s="124" t="n"/>
      <c r="C20" s="717" t="n">
        <v>22.35</v>
      </c>
      <c r="D20" s="31" t="n"/>
      <c r="E20" s="37" t="n"/>
      <c r="G20" s="427">
        <f>C20</f>
        <v/>
      </c>
    </row>
    <row r="21" ht="16" customHeight="1">
      <c r="A21" s="935" t="inlineStr">
        <is>
          <t>Machinery Operating -Fuel</t>
        </is>
      </c>
      <c r="B21" s="125" t="n"/>
      <c r="C21" s="772" t="n">
        <v>25.98231881666667</v>
      </c>
      <c r="D21" s="31" t="n"/>
      <c r="E21" s="37" t="n"/>
      <c r="G21" s="427">
        <f>C21</f>
        <v/>
      </c>
    </row>
    <row r="22" ht="16" customHeight="1">
      <c r="A22" s="935" t="inlineStr">
        <is>
          <t xml:space="preserve">                                  -Repair</t>
        </is>
      </c>
      <c r="B22" s="124" t="n"/>
      <c r="C22" s="717" t="n">
        <v>14.75790247400408</v>
      </c>
      <c r="D22" s="31" t="n"/>
      <c r="E22" s="37" t="n"/>
      <c r="G22" s="427">
        <f>C22</f>
        <v/>
      </c>
    </row>
    <row r="23" ht="16" customHeight="1">
      <c r="A23" s="935" t="inlineStr">
        <is>
          <t>Custom Work and Hired Labour</t>
        </is>
      </c>
      <c r="B23" s="124" t="n"/>
      <c r="C23" s="717" t="n">
        <v>21</v>
      </c>
      <c r="D23" s="31" t="n"/>
      <c r="E23" s="37" t="n"/>
      <c r="G23" s="427">
        <f>C23</f>
        <v/>
      </c>
    </row>
    <row r="24" ht="16" customHeight="1">
      <c r="A24" s="935" t="inlineStr">
        <is>
          <t>Crop Insurance Premium</t>
        </is>
      </c>
      <c r="B24" s="126" t="n"/>
      <c r="C24" s="832" t="n">
        <v>10.55176084337663</v>
      </c>
      <c r="D24" s="31" t="n"/>
      <c r="E24" s="37" t="n"/>
      <c r="G24" s="427">
        <f>C24</f>
        <v/>
      </c>
    </row>
    <row r="25" ht="16" customHeight="1">
      <c r="A25" s="689" t="inlineStr">
        <is>
          <t>Hail Insurance Premium</t>
        </is>
      </c>
      <c r="B25" s="126" t="n"/>
      <c r="C25" s="832" t="n">
        <v>14</v>
      </c>
      <c r="D25" s="31" t="n"/>
      <c r="E25" s="37" t="n"/>
      <c r="G25" s="427">
        <f>C25</f>
        <v/>
      </c>
    </row>
    <row r="26" ht="16" customHeight="1">
      <c r="A26" s="935" t="inlineStr">
        <is>
          <t>Utilities and Miscellaneous</t>
        </is>
      </c>
      <c r="B26" s="125" t="n"/>
      <c r="C26" s="772" t="n">
        <v>6.656364674443524</v>
      </c>
      <c r="D26" s="31" t="n"/>
      <c r="E26" s="37" t="n"/>
      <c r="G26" s="427">
        <f>C26</f>
        <v/>
      </c>
    </row>
    <row r="27" ht="16" customHeight="1" thickBot="1">
      <c r="A27" s="935" t="inlineStr">
        <is>
          <t>Interest on Variable Expenses</t>
        </is>
      </c>
      <c r="B27" s="127" t="n"/>
      <c r="C27" s="720" t="n">
        <v>13.48556918694619</v>
      </c>
      <c r="D27" s="31" t="n"/>
      <c r="E27" s="37" t="n"/>
      <c r="G27" s="427">
        <f>C27</f>
        <v/>
      </c>
    </row>
    <row r="28" ht="16" customHeight="1" thickBot="1">
      <c r="A28" s="112" t="inlineStr">
        <is>
          <t>Total Variable Expenses (D)</t>
        </is>
      </c>
      <c r="B28" s="128">
        <f>SUM(B13:B27)</f>
        <v/>
      </c>
      <c r="C28" s="431">
        <f>SUM(C13:C27)</f>
        <v/>
      </c>
      <c r="D28" s="31" t="n"/>
      <c r="E28" s="37" t="n"/>
      <c r="G28" s="428">
        <f>SUM(G13:G27)</f>
        <v/>
      </c>
    </row>
    <row r="29">
      <c r="A29" s="110" t="n"/>
      <c r="B29" s="119" t="n"/>
      <c r="C29" s="360" t="n"/>
      <c r="D29" s="31" t="n"/>
      <c r="E29" s="37" t="n"/>
      <c r="G29" s="464" t="n"/>
    </row>
    <row r="30" ht="16" customHeight="1">
      <c r="A30" s="111" t="inlineStr">
        <is>
          <t>Other Expenses/acre</t>
        </is>
      </c>
      <c r="B30" s="119" t="n"/>
      <c r="C30" s="360" t="n"/>
      <c r="D30" s="31" t="n"/>
      <c r="E30" s="37" t="n"/>
      <c r="G30" s="464" t="n"/>
    </row>
    <row r="31" ht="16" customHeight="1">
      <c r="A31" s="935" t="inlineStr">
        <is>
          <t>Building Repair</t>
        </is>
      </c>
      <c r="B31" s="866" t="n"/>
      <c r="C31" s="775" t="n">
        <v>1.335088266273176</v>
      </c>
      <c r="D31" s="31" t="n"/>
      <c r="E31" s="37" t="n"/>
      <c r="G31" s="776">
        <f>C31</f>
        <v/>
      </c>
    </row>
    <row r="32" ht="16" customHeight="1">
      <c r="A32" s="935" t="inlineStr">
        <is>
          <t>Property Taxes</t>
        </is>
      </c>
      <c r="B32" s="868" t="n"/>
      <c r="C32" s="779" t="n">
        <v>10.0720586349247</v>
      </c>
      <c r="D32" s="31" t="n"/>
      <c r="E32" s="37" t="n"/>
      <c r="G32" s="776">
        <f>C32</f>
        <v/>
      </c>
    </row>
    <row r="33" ht="16" customHeight="1">
      <c r="A33" s="935" t="inlineStr">
        <is>
          <t>Business Overhead</t>
        </is>
      </c>
      <c r="B33" s="869" t="n"/>
      <c r="C33" s="775" t="n">
        <v>4.675904170363799</v>
      </c>
      <c r="D33" s="31" t="n"/>
      <c r="E33" s="37" t="n"/>
      <c r="G33" s="776">
        <f>C33</f>
        <v/>
      </c>
    </row>
    <row r="34" ht="16" customHeight="1">
      <c r="A34" s="935" t="inlineStr">
        <is>
          <t>Machinery Depreciation</t>
        </is>
      </c>
      <c r="B34" s="870" t="n"/>
      <c r="C34" s="779" t="n">
        <v>60.73444479686295</v>
      </c>
      <c r="D34" s="31" t="n"/>
      <c r="E34" s="37" t="n"/>
      <c r="G34" s="776">
        <f>C34</f>
        <v/>
      </c>
    </row>
    <row r="35" ht="16" customHeight="1">
      <c r="A35" s="935" t="inlineStr">
        <is>
          <t>Building Depreciation</t>
        </is>
      </c>
      <c r="B35" s="866" t="n"/>
      <c r="C35" s="775" t="n">
        <v>2.6</v>
      </c>
      <c r="D35" s="31" t="n"/>
      <c r="E35" s="37" t="n"/>
      <c r="G35" s="776">
        <f>C35</f>
        <v/>
      </c>
    </row>
    <row r="36" ht="16" customHeight="1">
      <c r="A36" s="935" t="inlineStr">
        <is>
          <t>Machinery Investment</t>
        </is>
      </c>
      <c r="B36" s="870" t="n"/>
      <c r="C36" s="779" t="n">
        <v>38.31378526904906</v>
      </c>
      <c r="D36" s="31" t="n"/>
      <c r="E36" s="37" t="n"/>
      <c r="G36" s="776">
        <f>C36</f>
        <v/>
      </c>
    </row>
    <row r="37" ht="16" customHeight="1">
      <c r="A37" s="935" t="inlineStr">
        <is>
          <t>Building Investment</t>
        </is>
      </c>
      <c r="B37" s="866" t="n"/>
      <c r="C37" s="775" t="n">
        <v>2.378133333333333</v>
      </c>
      <c r="D37" s="31" t="n"/>
      <c r="E37" s="37" t="n"/>
      <c r="G37" s="776">
        <f>C37</f>
        <v/>
      </c>
    </row>
    <row r="38" ht="16" customHeight="1" thickBot="1">
      <c r="A38" s="935" t="inlineStr">
        <is>
          <t>Land Investment</t>
        </is>
      </c>
      <c r="B38" s="868" t="n"/>
      <c r="C38" s="779" t="n">
        <v>75.38025</v>
      </c>
      <c r="D38" s="31" t="n"/>
      <c r="E38" s="37" t="n"/>
      <c r="G38" s="776">
        <f>C38</f>
        <v/>
      </c>
    </row>
    <row r="39" ht="16" customHeight="1" thickBot="1">
      <c r="A39" s="112" t="inlineStr">
        <is>
          <t>Total Other Expenses (E)</t>
        </is>
      </c>
      <c r="B39" s="133">
        <f>SUM(B31:B38)</f>
        <v/>
      </c>
      <c r="C39" s="426">
        <f>SUM(C31:C38)</f>
        <v/>
      </c>
      <c r="D39" s="31" t="n"/>
      <c r="E39" s="37" t="n"/>
      <c r="G39" s="582">
        <f>SUM(G31:G38)</f>
        <v/>
      </c>
    </row>
    <row r="40" ht="16" customHeight="1" thickBot="1">
      <c r="A40" s="936" t="inlineStr">
        <is>
          <t>Labour and Management (F)*</t>
        </is>
      </c>
      <c r="B40" s="134" t="n"/>
      <c r="C40" s="513" t="n"/>
      <c r="D40" s="31" t="n"/>
      <c r="E40" s="37" t="n"/>
      <c r="G40" s="464" t="n"/>
    </row>
    <row r="41" ht="16" customHeight="1" thickBot="1">
      <c r="A41" s="114" t="inlineStr">
        <is>
          <t xml:space="preserve">Total Expenses (D+E+F)=(G) </t>
        </is>
      </c>
      <c r="B41" s="106">
        <f>B28+B39+B40</f>
        <v/>
      </c>
      <c r="C41" s="444">
        <f>C28+C39+C40</f>
        <v/>
      </c>
      <c r="D41" s="31" t="n"/>
      <c r="E41" s="37" t="n"/>
      <c r="G41" s="428">
        <f>G28+G39+G40</f>
        <v/>
      </c>
    </row>
    <row r="42" ht="16" customHeight="1" thickBot="1">
      <c r="A42" s="115" t="n"/>
      <c r="B42" s="135" t="n"/>
      <c r="C42" s="447" t="n"/>
      <c r="D42" s="31" t="n"/>
      <c r="E42" s="37" t="n"/>
      <c r="G42" s="464" t="n"/>
    </row>
    <row r="43" ht="16" customHeight="1">
      <c r="A43" s="116" t="inlineStr">
        <is>
          <t>RETURNS PER ACRE</t>
        </is>
      </c>
      <c r="B43" s="136" t="n"/>
      <c r="C43" s="515" t="n"/>
      <c r="D43" s="31" t="n"/>
      <c r="E43" s="37" t="n"/>
      <c r="G43" s="465" t="n"/>
    </row>
    <row r="44" ht="16" customHeight="1">
      <c r="A44" s="49" t="inlineStr">
        <is>
          <t xml:space="preserve"> Return over Variable Expenses (C-D) </t>
        </is>
      </c>
      <c r="B44" s="99">
        <f>B9-B28</f>
        <v/>
      </c>
      <c r="C44" s="453">
        <f>C9-C28</f>
        <v/>
      </c>
      <c r="D44" s="31" t="n"/>
      <c r="E44" s="37" t="n"/>
      <c r="G44" s="467">
        <f>G9-G28</f>
        <v/>
      </c>
    </row>
    <row r="45" ht="16" customHeight="1" thickBot="1">
      <c r="A45" s="737" t="inlineStr">
        <is>
          <t xml:space="preserve"> Return over Total Expenses (C-G)</t>
        </is>
      </c>
      <c r="B45" s="100">
        <f>B9-B41</f>
        <v/>
      </c>
      <c r="C45" s="456">
        <f>C9-C41</f>
        <v/>
      </c>
      <c r="D45" s="31" t="n"/>
      <c r="E45" s="37" t="n"/>
      <c r="G45" s="468">
        <f>G9-G41</f>
        <v/>
      </c>
    </row>
    <row r="46" ht="16" customHeight="1" thickBot="1">
      <c r="A46" s="117" t="n"/>
      <c r="B46" s="135" t="n"/>
      <c r="C46" s="447" t="n"/>
      <c r="D46" s="31" t="n"/>
      <c r="E46" s="37" t="n"/>
      <c r="G46" s="464" t="n"/>
    </row>
    <row r="47" ht="16" customHeight="1">
      <c r="A47" s="51" t="inlineStr">
        <is>
          <t>BREAK-EVEN YIELD (lb./ac.)</t>
        </is>
      </c>
      <c r="B47" s="137" t="n"/>
      <c r="C47" s="517" t="n"/>
      <c r="D47" s="31" t="n"/>
      <c r="E47" s="37" t="n"/>
      <c r="G47" s="465" t="n"/>
    </row>
    <row r="48" ht="16" customHeight="1">
      <c r="A48" s="32" t="inlineStr">
        <is>
          <t>To Cover Variable Expenses</t>
        </is>
      </c>
      <c r="B48" s="99">
        <f>ROUND((B28)/B8,2)</f>
        <v/>
      </c>
      <c r="C48" s="579">
        <f>ROUND((C28)/C8,2)</f>
        <v/>
      </c>
      <c r="D48" s="31" t="n"/>
      <c r="E48" s="37" t="n"/>
      <c r="G48" s="583">
        <f>ROUND((G28)/G8,2)</f>
        <v/>
      </c>
    </row>
    <row r="49" ht="16" customHeight="1" thickBot="1">
      <c r="A49" s="53" t="inlineStr">
        <is>
          <t>To Cover Total Expenses</t>
        </is>
      </c>
      <c r="B49" s="100">
        <f>ROUND(B41/B8,2)</f>
        <v/>
      </c>
      <c r="C49" s="580">
        <f>ROUND(C41/C8,2)</f>
        <v/>
      </c>
      <c r="D49" s="31" t="n"/>
      <c r="E49" s="37" t="n"/>
      <c r="G49" s="584">
        <f>ROUND(G41/G8,2)</f>
        <v/>
      </c>
    </row>
    <row r="50" ht="16" customHeight="1" thickBot="1">
      <c r="A50" s="32" t="n"/>
      <c r="B50" s="860" t="n"/>
      <c r="C50" s="834" t="n"/>
      <c r="D50" s="31" t="n"/>
      <c r="E50" s="37" t="n"/>
      <c r="G50" s="464" t="n"/>
    </row>
    <row r="51" ht="16" customHeight="1">
      <c r="A51" s="51" t="inlineStr">
        <is>
          <t>BREAK-EVEN PRICE ($ per lb.)</t>
        </is>
      </c>
      <c r="B51" s="137" t="n"/>
      <c r="C51" s="517" t="n"/>
      <c r="D51" s="31" t="n"/>
      <c r="E51" s="37" t="n"/>
      <c r="G51" s="465" t="n"/>
    </row>
    <row r="52" ht="16" customHeight="1">
      <c r="A52" s="32" t="inlineStr">
        <is>
          <t>To Cover Variable Expenses</t>
        </is>
      </c>
      <c r="B52" s="99">
        <f>ROUND((B28)/B7,2)</f>
        <v/>
      </c>
      <c r="C52" s="453">
        <f>ROUND((C28)/C7,2)</f>
        <v/>
      </c>
      <c r="D52" s="31" t="n"/>
      <c r="E52" s="37" t="n"/>
      <c r="G52" s="467">
        <f>ROUND((G28)/G7,2)</f>
        <v/>
      </c>
    </row>
    <row r="53" ht="16" customHeight="1" thickBot="1">
      <c r="A53" s="53" t="inlineStr">
        <is>
          <t>To Cover Total Expenses</t>
        </is>
      </c>
      <c r="B53" s="100">
        <f>ROUND(B41/B7,2)</f>
        <v/>
      </c>
      <c r="C53" s="456">
        <f>ROUND(C41/C7,2)</f>
        <v/>
      </c>
      <c r="D53" s="31" t="n"/>
      <c r="E53" s="37" t="n"/>
      <c r="G53" s="468">
        <f>ROUND(G41/G7,2)</f>
        <v/>
      </c>
    </row>
    <row r="54" ht="16" customHeight="1" thickBot="1">
      <c r="A54" s="55" t="n"/>
      <c r="B54" s="135" t="n"/>
      <c r="C54" s="612" t="n"/>
      <c r="D54" s="31" t="n"/>
    </row>
    <row r="55" ht="16" customHeight="1">
      <c r="A55" s="47" t="inlineStr">
        <is>
          <t>YIELD SENSITIVITY (same expenses but average yield)</t>
        </is>
      </c>
      <c r="B55" s="139" t="n"/>
      <c r="C55" s="462" t="n"/>
      <c r="D55" s="31" t="n"/>
    </row>
    <row r="56" ht="16" customHeight="1">
      <c r="A56" s="49" t="inlineStr">
        <is>
          <t>Provincial Average Yield (lb./ac)</t>
        </is>
      </c>
      <c r="B56" s="140" t="n"/>
      <c r="C56" s="581">
        <f>G7</f>
        <v/>
      </c>
      <c r="D56" s="31" t="n"/>
    </row>
    <row r="57" ht="16" customHeight="1">
      <c r="A57" s="49" t="inlineStr">
        <is>
          <t xml:space="preserve"> Return over Variable Expenses </t>
        </is>
      </c>
      <c r="B57" s="140" t="n"/>
      <c r="C57" s="612">
        <f>G44</f>
        <v/>
      </c>
      <c r="D57" s="31" t="n"/>
    </row>
    <row r="58" ht="16" customHeight="1" thickBot="1">
      <c r="A58" s="737" t="inlineStr">
        <is>
          <t xml:space="preserve"> Return over Total Expenses </t>
        </is>
      </c>
      <c r="B58" s="141" t="n"/>
      <c r="C58" s="463">
        <f>G45</f>
        <v/>
      </c>
      <c r="D58" s="750" t="n"/>
    </row>
    <row r="59" ht="16" customHeight="1">
      <c r="A59" s="22" t="inlineStr">
        <is>
          <t>*Farm managers need to determine their own actual labour and management costs and add it to total expenses.</t>
        </is>
      </c>
      <c r="B59" s="24" t="n"/>
      <c r="C59" s="24" t="n"/>
    </row>
    <row r="60">
      <c r="A60" s="24" t="n"/>
      <c r="B60" s="24" t="n"/>
      <c r="C60" s="24" t="n"/>
    </row>
    <row r="61">
      <c r="A61" s="24" t="n"/>
      <c r="B61" s="24" t="n"/>
      <c r="C61" s="419" t="n"/>
    </row>
    <row r="62" ht="16" customHeight="1">
      <c r="A62" s="57" t="n"/>
      <c r="B62" s="56" t="n"/>
      <c r="C62" s="56" t="n"/>
    </row>
    <row r="63" ht="16" customHeight="1">
      <c r="A63" s="57" t="n"/>
      <c r="B63" s="56" t="n"/>
      <c r="C63" s="56" t="n"/>
    </row>
  </sheetData>
  <mergeCells count="2">
    <mergeCell ref="D4:D58"/>
    <mergeCell ref="B3:D3"/>
  </mergeCells>
  <pageMargins left="0.7" right="0.7" top="0.75" bottom="0.75" header="0.3" footer="0.3"/>
  <pageSetup orientation="portrait"/>
</worksheet>
</file>

<file path=xl/worksheets/sheet30.xml><?xml version="1.0" encoding="utf-8"?>
<worksheet xmlns="http://schemas.openxmlformats.org/spreadsheetml/2006/main">
  <sheetPr>
    <outlinePr summaryBelow="1" summaryRight="1"/>
    <pageSetUpPr/>
  </sheetPr>
  <dimension ref="A1:AZ66"/>
  <sheetViews>
    <sheetView showGridLines="0" topLeftCell="A27" workbookViewId="0">
      <selection activeCell="C28" sqref="C28"/>
    </sheetView>
  </sheetViews>
  <sheetFormatPr baseColWidth="8" defaultRowHeight="16" customHeight="1"/>
  <cols>
    <col width="55.7109375" customWidth="1" min="1" max="1"/>
    <col width="10" bestFit="1" customWidth="1" min="2" max="2"/>
    <col width="12" bestFit="1" customWidth="1" min="3" max="3"/>
    <col width="48" customWidth="1" min="4" max="4"/>
    <col width="12.28515625" customWidth="1" min="9" max="9"/>
  </cols>
  <sheetData>
    <row r="1" ht="16" customHeight="1">
      <c r="A1" s="150" t="inlineStr">
        <is>
          <t>CAMELINA PRODUCTION COSTS ($/ACRE) FOR SASKATCHEWAN 2026</t>
        </is>
      </c>
      <c r="B1" s="150" t="n"/>
      <c r="C1" s="150" t="n"/>
    </row>
    <row r="2" ht="16" customHeight="1" thickBot="1">
      <c r="A2" s="151" t="n"/>
      <c r="B2" s="151" t="inlineStr">
        <is>
          <t>Economics</t>
        </is>
      </c>
      <c r="C2" s="151" t="n"/>
      <c r="D2" s="620" t="inlineStr">
        <is>
          <t>Agronomics</t>
        </is>
      </c>
    </row>
    <row r="3" ht="16" customHeight="1" thickBot="1">
      <c r="A3" s="153" t="inlineStr">
        <is>
          <t>CROP</t>
        </is>
      </c>
      <c r="B3" s="861" t="inlineStr">
        <is>
          <t>CAMELINA</t>
        </is>
      </c>
      <c r="C3" s="680" t="n"/>
      <c r="D3" s="681" t="n"/>
    </row>
    <row r="4" ht="16" customHeight="1" thickBot="1">
      <c r="B4" s="862" t="inlineStr">
        <is>
          <t>My farm</t>
        </is>
      </c>
      <c r="C4" s="862" t="inlineStr">
        <is>
          <t>80th percentile</t>
        </is>
      </c>
      <c r="D4" s="836" t="inlineStr">
        <is>
          <t xml:space="preserve">Seeding: A seed rate of 6 lb./ac. is used. Camelina is commonly grown in the brown soil zone.
Fertilization: Fertility costs are based on nutrient removal rates given the targeted crop yield. These are: 69 lb./ac. N, 20 lb./ac. P2O5 and 15 lb./ac. S. Producers are encouraged to use their own rates based on soil tests. 
Crop Rotation: Crop rotation can be used to reduce disease pressure by allowing infected crop residue to decomposse between susceptible crops. 
Crop Protection                                                          Insect control: Only one biological insecticide, with efficacy against bertha armyworm and diamondback moth, is registered for this crop.
Disease control: The cost of fungicide is not included in this estimate. Disease risk assessment is encouraged to guide fungicide application decisions. 
Weed control:   A pre-harvest application of glyphosate in the previous crop to manage perrenial weeds as well as a glyphosate burn off prior to seeding.  Camelina has registered soil applied and in-crop herbicide options.  Herbicide costs are based on the following herbicide timings. Please refer to general assumptions for details.Please insert Herbicide application window. 
</t>
        </is>
      </c>
      <c r="I4" s="271" t="inlineStr">
        <is>
          <t>Average Yield</t>
        </is>
      </c>
    </row>
    <row r="5" ht="16" customHeight="1" thickBot="1">
      <c r="A5" s="863" t="inlineStr">
        <is>
          <t>Soil Zone</t>
        </is>
      </c>
      <c r="B5" s="156" t="n"/>
      <c r="C5" s="839" t="inlineStr">
        <is>
          <t>Brown</t>
        </is>
      </c>
      <c r="D5" s="31" t="n"/>
      <c r="I5" s="841" t="inlineStr">
        <is>
          <t>Brown</t>
        </is>
      </c>
    </row>
    <row r="6" ht="16" customHeight="1">
      <c r="A6" s="96" t="inlineStr">
        <is>
          <t>REVENUE PER ACRE</t>
        </is>
      </c>
      <c r="B6" s="123" t="n"/>
      <c r="C6" s="88" t="n"/>
      <c r="D6" s="31" t="n"/>
      <c r="I6" s="332" t="n"/>
    </row>
    <row r="7" ht="16" customFormat="1" customHeight="1" s="196">
      <c r="A7" s="689" t="inlineStr">
        <is>
          <t>Target Yield (lb./ac.) (A)</t>
        </is>
      </c>
      <c r="B7" s="120" t="n"/>
      <c r="C7" s="864" t="n">
        <v>1499.143368</v>
      </c>
      <c r="D7" s="31" t="n"/>
      <c r="I7" s="769" t="n">
        <v>1034.388743440029</v>
      </c>
    </row>
    <row r="8" ht="16" customFormat="1" customHeight="1" s="196" thickBot="1">
      <c r="A8" s="689" t="inlineStr">
        <is>
          <t>Est. Farm Gate Price $/lb. (B)</t>
        </is>
      </c>
      <c r="B8" s="121" t="n"/>
      <c r="C8" s="772" t="n">
        <v>0.3</v>
      </c>
      <c r="D8" s="31" t="n"/>
      <c r="I8" s="605">
        <f>C8</f>
        <v/>
      </c>
    </row>
    <row r="9" ht="16" customFormat="1" customHeight="1" s="196" thickBot="1">
      <c r="A9" s="164" t="inlineStr">
        <is>
          <t>Estimated Gross Revenue/ac (AxB)=C</t>
        </is>
      </c>
      <c r="B9" s="160">
        <f>ROUND((B8*B7),2)</f>
        <v/>
      </c>
      <c r="C9" s="500">
        <f>ROUND((C8*C7),2)</f>
        <v/>
      </c>
      <c r="D9" s="31" t="n"/>
      <c r="I9" s="606">
        <f>ROUND((I8*I7),2)</f>
        <v/>
      </c>
    </row>
    <row r="10" ht="16" customFormat="1" customHeight="1" s="196">
      <c r="A10" s="67" t="n"/>
      <c r="B10" s="119" t="n"/>
      <c r="C10" s="362" t="n"/>
      <c r="D10" s="31" t="n"/>
      <c r="I10" s="367" t="n"/>
    </row>
    <row r="11" ht="16" customFormat="1" customHeight="1" s="196">
      <c r="A11" s="73" t="inlineStr">
        <is>
          <t>EXPENSES PER ACRE</t>
        </is>
      </c>
      <c r="B11" s="119" t="n"/>
      <c r="C11" s="362" t="n"/>
      <c r="D11" s="31" t="n"/>
      <c r="I11" s="608" t="n"/>
    </row>
    <row r="12" ht="16" customFormat="1" customHeight="1" s="196">
      <c r="A12" s="73" t="inlineStr">
        <is>
          <t>Variable Expenses/acre</t>
        </is>
      </c>
      <c r="B12" s="119" t="n"/>
      <c r="C12" s="362" t="n"/>
      <c r="D12" s="31" t="n"/>
      <c r="I12" s="608" t="n"/>
    </row>
    <row r="13" ht="16" customFormat="1" customHeight="1" s="196">
      <c r="A13" s="689" t="inlineStr">
        <is>
          <t>Seed</t>
        </is>
      </c>
      <c r="B13" s="124" t="n"/>
      <c r="C13" s="605" t="n">
        <v>33</v>
      </c>
      <c r="D13" s="31" t="n"/>
      <c r="I13" s="605">
        <f>C13</f>
        <v/>
      </c>
    </row>
    <row r="14" ht="16" customFormat="1" customHeight="1" s="196">
      <c r="A14" s="689" t="inlineStr">
        <is>
          <t xml:space="preserve">                     -Seed Treatments/Inoculants</t>
        </is>
      </c>
      <c r="B14" s="124" t="n"/>
      <c r="C14" s="605" t="n">
        <v>0</v>
      </c>
      <c r="D14" s="31" t="n"/>
      <c r="I14" s="605">
        <f>C14</f>
        <v/>
      </c>
    </row>
    <row r="15" ht="16" customFormat="1" customHeight="1" s="196">
      <c r="A15" s="689" t="inlineStr">
        <is>
          <t>Fertilizer -Nitrogen (N)</t>
        </is>
      </c>
      <c r="B15" s="124" t="n"/>
      <c r="C15" s="920" t="n">
        <v>56.48820326678766</v>
      </c>
      <c r="D15" s="31" t="n"/>
      <c r="I15" s="605">
        <f>C15</f>
        <v/>
      </c>
    </row>
    <row r="16" ht="16" customFormat="1" customHeight="1" s="196">
      <c r="A16" s="689" t="inlineStr">
        <is>
          <t xml:space="preserve">               -Phosphorous (P2O5)</t>
        </is>
      </c>
      <c r="B16" s="124" t="n"/>
      <c r="C16" s="920" t="n">
        <v>19.22242320135479</v>
      </c>
      <c r="D16" s="31" t="n"/>
      <c r="I16" s="605">
        <f>C16</f>
        <v/>
      </c>
    </row>
    <row r="17" ht="16" customFormat="1" customHeight="1" s="196">
      <c r="A17" s="689" t="inlineStr">
        <is>
          <t xml:space="preserve">               -Sulphur and Other</t>
        </is>
      </c>
      <c r="B17" s="125" t="n"/>
      <c r="C17" s="921" t="n">
        <v>8.226766550935059</v>
      </c>
      <c r="D17" s="31" t="n"/>
      <c r="I17" s="605">
        <f>C17</f>
        <v/>
      </c>
    </row>
    <row r="18" ht="16" customFormat="1" customHeight="1" s="196">
      <c r="A18" s="689" t="inlineStr">
        <is>
          <t>Plant Protection -Herbicides</t>
        </is>
      </c>
      <c r="B18" s="124" t="n"/>
      <c r="C18" s="605" t="n">
        <v>57.93</v>
      </c>
      <c r="D18" s="31" t="n"/>
      <c r="I18" s="605">
        <f>C18</f>
        <v/>
      </c>
    </row>
    <row r="19" ht="16" customFormat="1" customHeight="1" s="196">
      <c r="A19" s="689" t="inlineStr">
        <is>
          <t xml:space="preserve">                     -Insecticides</t>
        </is>
      </c>
      <c r="B19" s="124" t="n"/>
      <c r="C19" s="605" t="n">
        <v>0</v>
      </c>
      <c r="D19" s="31" t="n"/>
      <c r="I19" s="605">
        <f>C19</f>
        <v/>
      </c>
    </row>
    <row r="20" ht="16" customFormat="1" customHeight="1" s="196">
      <c r="A20" s="689" t="inlineStr">
        <is>
          <t xml:space="preserve">                     -Fungicides</t>
        </is>
      </c>
      <c r="B20" s="124" t="n"/>
      <c r="C20" s="605" t="n">
        <v>0</v>
      </c>
      <c r="D20" s="31" t="n"/>
      <c r="I20" s="605">
        <f>C20</f>
        <v/>
      </c>
    </row>
    <row r="21" ht="16" customFormat="1" customHeight="1" s="196">
      <c r="A21" s="689" t="inlineStr">
        <is>
          <t>Machinery Operating -Fuel</t>
        </is>
      </c>
      <c r="B21" s="125" t="n"/>
      <c r="C21" s="922" t="n">
        <v>24.801304325</v>
      </c>
      <c r="D21" s="31" t="n"/>
      <c r="I21" s="605">
        <f>C21</f>
        <v/>
      </c>
    </row>
    <row r="22" ht="16" customFormat="1" customHeight="1" s="196">
      <c r="A22" s="689" t="inlineStr">
        <is>
          <t xml:space="preserve">                                  -Repair</t>
        </is>
      </c>
      <c r="B22" s="124" t="n"/>
      <c r="C22" s="605" t="n">
        <v>11.56328841689489</v>
      </c>
      <c r="D22" s="31" t="n"/>
      <c r="I22" s="605">
        <f>C22</f>
        <v/>
      </c>
    </row>
    <row r="23" ht="16" customFormat="1" customHeight="1" s="196">
      <c r="A23" s="689" t="inlineStr">
        <is>
          <t>Custom Work and Hired Labour</t>
        </is>
      </c>
      <c r="B23" s="124" t="n"/>
      <c r="C23" s="605" t="n">
        <v>21.5</v>
      </c>
      <c r="D23" s="31" t="n"/>
      <c r="I23" s="605">
        <f>C23</f>
        <v/>
      </c>
    </row>
    <row r="24" ht="16" customFormat="1" customHeight="1" s="196">
      <c r="A24" s="689" t="inlineStr">
        <is>
          <t>Crop Insurance Premium</t>
        </is>
      </c>
      <c r="B24" s="126" t="n"/>
      <c r="C24" s="923" t="n">
        <v>5.235155936092106</v>
      </c>
      <c r="D24" s="31" t="n"/>
      <c r="I24" s="605">
        <f>C24</f>
        <v/>
      </c>
    </row>
    <row r="25" ht="16" customFormat="1" customHeight="1" s="196">
      <c r="A25" s="689" t="inlineStr">
        <is>
          <t>Hail Insurance Premium</t>
        </is>
      </c>
      <c r="B25" s="126" t="n"/>
      <c r="C25" s="923" t="n">
        <v>14</v>
      </c>
      <c r="D25" s="31" t="n"/>
      <c r="I25" s="605">
        <f>C25</f>
        <v/>
      </c>
    </row>
    <row r="26" ht="16" customFormat="1" customHeight="1" s="196">
      <c r="A26" s="689" t="inlineStr">
        <is>
          <t>Utilities and Miscellaneous</t>
        </is>
      </c>
      <c r="B26" s="125" t="n"/>
      <c r="C26" s="922" t="n">
        <v>4.395974170413743</v>
      </c>
      <c r="D26" s="31" t="n"/>
      <c r="I26" s="605">
        <f>C26</f>
        <v/>
      </c>
    </row>
    <row r="27" ht="16" customFormat="1" customHeight="1" s="196" thickBot="1">
      <c r="A27" s="689" t="inlineStr">
        <is>
          <t>Interest on Variable Expenses</t>
        </is>
      </c>
      <c r="B27" s="124" t="n"/>
      <c r="C27" s="605" t="n">
        <v>9.707616654181839</v>
      </c>
      <c r="D27" s="31" t="n"/>
      <c r="I27" s="605">
        <f>C27</f>
        <v/>
      </c>
    </row>
    <row r="28" ht="16" customFormat="1" customHeight="1" s="196" thickBot="1">
      <c r="A28" s="70" t="inlineStr">
        <is>
          <t>Total Variable Expenses (D)</t>
        </is>
      </c>
      <c r="B28" s="133">
        <f>SUM(B13:B27)</f>
        <v/>
      </c>
      <c r="C28" s="595">
        <f>SUM(C13:C27)</f>
        <v/>
      </c>
      <c r="D28" s="31" t="n"/>
      <c r="I28" s="609">
        <f>SUM(I13:I27)</f>
        <v/>
      </c>
    </row>
    <row r="29" ht="16" customFormat="1" customHeight="1" s="196">
      <c r="A29" s="67" t="n"/>
      <c r="B29" s="119" t="n"/>
      <c r="C29" s="362" t="n"/>
      <c r="D29" s="31" t="n"/>
      <c r="I29" s="608" t="n"/>
    </row>
    <row r="30" ht="16" customFormat="1" customHeight="1" s="196">
      <c r="A30" s="73" t="inlineStr">
        <is>
          <t>Other Expenses/acre</t>
        </is>
      </c>
      <c r="B30" s="119" t="n"/>
      <c r="C30" s="362" t="n"/>
      <c r="D30" s="31" t="n"/>
      <c r="I30" s="608" t="n"/>
    </row>
    <row r="31" ht="16" customFormat="1" customHeight="1" s="196">
      <c r="A31" s="689" t="inlineStr">
        <is>
          <t>Building Repair</t>
        </is>
      </c>
      <c r="B31" s="866" t="n"/>
      <c r="C31" s="929" t="n">
        <v>0.7445684561908097</v>
      </c>
      <c r="D31" s="31" t="n"/>
      <c r="I31" s="937">
        <f>C31</f>
        <v/>
      </c>
    </row>
    <row r="32" ht="16" customFormat="1" customHeight="1" s="196">
      <c r="A32" s="689" t="inlineStr">
        <is>
          <t>Property Taxes</t>
        </is>
      </c>
      <c r="B32" s="868" t="n"/>
      <c r="C32" s="928" t="n">
        <v>5.076533574707355</v>
      </c>
      <c r="D32" s="31" t="n"/>
      <c r="I32" s="937">
        <f>C32</f>
        <v/>
      </c>
    </row>
    <row r="33" ht="16" customFormat="1" customHeight="1" s="196">
      <c r="A33" s="689" t="inlineStr">
        <is>
          <t>Business Overhead</t>
        </is>
      </c>
      <c r="B33" s="869" t="n"/>
      <c r="C33" s="929" t="n">
        <v>2.607474711623781</v>
      </c>
      <c r="D33" s="31" t="n"/>
      <c r="I33" s="937">
        <f>C33</f>
        <v/>
      </c>
    </row>
    <row r="34" ht="16" customFormat="1" customHeight="1" s="196">
      <c r="A34" s="689" t="inlineStr">
        <is>
          <t>Machinery Depreciation</t>
        </is>
      </c>
      <c r="B34" s="870" t="n"/>
      <c r="C34" s="928" t="n">
        <v>47.58737925414436</v>
      </c>
      <c r="D34" s="31" t="n"/>
      <c r="I34" s="937">
        <f>C34</f>
        <v/>
      </c>
    </row>
    <row r="35" ht="16" customFormat="1" customHeight="1" s="196">
      <c r="A35" s="689" t="inlineStr">
        <is>
          <t>Building Depreciation</t>
        </is>
      </c>
      <c r="B35" s="866" t="n"/>
      <c r="C35" s="929" t="n">
        <v>1.45</v>
      </c>
      <c r="D35" s="31" t="n"/>
      <c r="I35" s="937">
        <f>C35</f>
        <v/>
      </c>
    </row>
    <row r="36" ht="16" customFormat="1" customHeight="1" s="196">
      <c r="A36" s="689" t="inlineStr">
        <is>
          <t>Machinery Investment</t>
        </is>
      </c>
      <c r="B36" s="870" t="n"/>
      <c r="C36" s="928" t="n">
        <v>30.02007569770789</v>
      </c>
      <c r="D36" s="31" t="n"/>
      <c r="I36" s="937">
        <f>C36</f>
        <v/>
      </c>
    </row>
    <row r="37" ht="16" customFormat="1" customHeight="1" s="196">
      <c r="A37" s="689" t="inlineStr">
        <is>
          <t>Building Investment</t>
        </is>
      </c>
      <c r="B37" s="866" t="n"/>
      <c r="C37" s="929" t="n">
        <v>1.326266666666666</v>
      </c>
      <c r="D37" s="31" t="n"/>
      <c r="I37" s="937">
        <f>C37</f>
        <v/>
      </c>
    </row>
    <row r="38" ht="16" customFormat="1" customHeight="1" s="196" thickBot="1">
      <c r="A38" s="689" t="inlineStr">
        <is>
          <t>Land Investment</t>
        </is>
      </c>
      <c r="B38" s="868" t="n"/>
      <c r="C38" s="928" t="n">
        <v>70.10399999999998</v>
      </c>
      <c r="D38" s="31" t="n"/>
      <c r="I38" s="937">
        <f>C38</f>
        <v/>
      </c>
    </row>
    <row r="39" ht="16" customHeight="1" thickBot="1">
      <c r="A39" s="70" t="inlineStr">
        <is>
          <t>Total Other Expenses (E)</t>
        </is>
      </c>
      <c r="B39" s="133">
        <f>SUM(B31:B38)</f>
        <v/>
      </c>
      <c r="C39" s="582">
        <f>SUM(C31:C38)</f>
        <v/>
      </c>
      <c r="D39" s="31" t="n"/>
      <c r="I39" s="428">
        <f>SUM(I31:I38)</f>
        <v/>
      </c>
    </row>
    <row r="40" ht="16" customHeight="1" thickBot="1">
      <c r="A40" s="764" t="inlineStr">
        <is>
          <t>Labour and Management (F)*</t>
        </is>
      </c>
      <c r="B40" s="125" t="n"/>
      <c r="C40" s="607" t="n"/>
      <c r="D40" s="31" t="n"/>
      <c r="I40" s="464" t="n"/>
    </row>
    <row r="41" ht="16" customHeight="1" thickBot="1">
      <c r="A41" s="89" t="inlineStr">
        <is>
          <t xml:space="preserve">Total Expenses (D+E+F)=(G) </t>
        </is>
      </c>
      <c r="B41" s="133">
        <f>B28+B39+B40</f>
        <v/>
      </c>
      <c r="C41" s="582">
        <f>C28+C39+C40</f>
        <v/>
      </c>
      <c r="D41" s="31" t="n"/>
      <c r="I41" s="428">
        <f>I28+I39+I40</f>
        <v/>
      </c>
    </row>
    <row r="42" ht="16" customHeight="1" thickBot="1">
      <c r="A42" s="90" t="n"/>
      <c r="B42" s="159" t="n"/>
      <c r="C42" s="600" t="n"/>
      <c r="D42" s="31" t="n"/>
      <c r="I42" s="464" t="n"/>
    </row>
    <row r="43" ht="16" customHeight="1">
      <c r="A43" s="93" t="inlineStr">
        <is>
          <t>RETURNS PER ACRE</t>
        </is>
      </c>
      <c r="B43" s="123" t="n"/>
      <c r="C43" s="601" t="n"/>
      <c r="D43" s="31" t="n"/>
      <c r="I43" s="465" t="n"/>
    </row>
    <row r="44" ht="16" customHeight="1">
      <c r="A44" s="49" t="inlineStr">
        <is>
          <t xml:space="preserve"> Return over Variable Expenses (C-D) </t>
        </is>
      </c>
      <c r="B44" s="105">
        <f>B9-B28</f>
        <v/>
      </c>
      <c r="C44" s="467">
        <f>C9-C28</f>
        <v/>
      </c>
      <c r="D44" s="31" t="n"/>
      <c r="I44" s="467">
        <f>I9-I28</f>
        <v/>
      </c>
    </row>
    <row r="45" ht="16" customHeight="1" thickBot="1">
      <c r="A45" s="737" t="inlineStr">
        <is>
          <t xml:space="preserve"> Return over Total Expenses (C-G)</t>
        </is>
      </c>
      <c r="B45" s="160">
        <f>B9-B41</f>
        <v/>
      </c>
      <c r="C45" s="468">
        <f>C9-C41</f>
        <v/>
      </c>
      <c r="D45" s="31" t="n"/>
      <c r="I45" s="468">
        <f>I9-I41</f>
        <v/>
      </c>
    </row>
    <row r="46" ht="16" customHeight="1" thickBot="1">
      <c r="A46" s="73" t="n"/>
      <c r="B46" s="159" t="n"/>
      <c r="C46" s="600" t="n"/>
      <c r="D46" s="31" t="n"/>
      <c r="I46" s="464" t="n"/>
    </row>
    <row r="47" ht="16" customHeight="1">
      <c r="A47" s="96" t="inlineStr">
        <is>
          <t>BREAK-EVEN YIELD (lbs./ac.)</t>
        </is>
      </c>
      <c r="B47" s="161" t="n"/>
      <c r="C47" s="602" t="n"/>
      <c r="D47" s="31" t="n"/>
      <c r="I47" s="465" t="n"/>
    </row>
    <row r="48" ht="16" customHeight="1">
      <c r="A48" s="73" t="inlineStr">
        <is>
          <t>To Cover Variable Expenses</t>
        </is>
      </c>
      <c r="B48" s="99">
        <f>ROUND((B28)/B8,2)</f>
        <v/>
      </c>
      <c r="C48" s="467">
        <f>ROUND((C28)/C8,2)</f>
        <v/>
      </c>
      <c r="D48" s="31" t="n"/>
      <c r="I48" s="467">
        <f>ROUND((I28)/I8,2)</f>
        <v/>
      </c>
    </row>
    <row r="49" ht="16" customHeight="1" thickBot="1">
      <c r="A49" s="164" t="inlineStr">
        <is>
          <t>To Cover Total Expenses</t>
        </is>
      </c>
      <c r="B49" s="100">
        <f>ROUND(B41/B8,2)</f>
        <v/>
      </c>
      <c r="C49" s="468">
        <f>ROUND(C41/C8,2)</f>
        <v/>
      </c>
      <c r="D49" s="31" t="n"/>
      <c r="I49" s="468">
        <f>ROUND(I41/I8,2)</f>
        <v/>
      </c>
    </row>
    <row r="50" ht="16" customHeight="1" thickBot="1">
      <c r="A50" s="73" t="n"/>
      <c r="B50" s="873" t="n"/>
      <c r="C50" s="931" t="n"/>
      <c r="D50" s="31" t="n"/>
      <c r="I50" s="464" t="n"/>
    </row>
    <row r="51" ht="16" customHeight="1">
      <c r="A51" s="96" t="inlineStr">
        <is>
          <t>BREAK-EVEN PRICE ($/lb.)</t>
        </is>
      </c>
      <c r="B51" s="161" t="n"/>
      <c r="C51" s="602" t="n"/>
      <c r="D51" s="31" t="n"/>
      <c r="I51" s="465" t="n"/>
    </row>
    <row r="52" ht="16" customHeight="1">
      <c r="A52" s="73" t="inlineStr">
        <is>
          <t>To Cover Variable Expenses</t>
        </is>
      </c>
      <c r="B52" s="99">
        <f>ROUND((B28)/B7,2)</f>
        <v/>
      </c>
      <c r="C52" s="467">
        <f>ROUND((C28)/C7,2)</f>
        <v/>
      </c>
      <c r="D52" s="31" t="n"/>
      <c r="I52" s="467">
        <f>ROUND((I28)/I7,2)</f>
        <v/>
      </c>
    </row>
    <row r="53" ht="16" customHeight="1" thickBot="1">
      <c r="A53" s="164" t="inlineStr">
        <is>
          <t>To Cover Total Expenses</t>
        </is>
      </c>
      <c r="B53" s="100">
        <f>ROUND(B41/B7,2)</f>
        <v/>
      </c>
      <c r="C53" s="468">
        <f>ROUND(C41/C7,2)</f>
        <v/>
      </c>
      <c r="D53" s="31" t="n"/>
      <c r="I53" s="468">
        <f>ROUND(I41/I7,2)</f>
        <v/>
      </c>
    </row>
    <row r="54" ht="16" customHeight="1" thickBot="1">
      <c r="A54" s="168" t="n"/>
      <c r="B54" s="17" t="n"/>
      <c r="C54" s="612" t="n"/>
      <c r="D54" s="31" t="n"/>
    </row>
    <row r="55" ht="16" customHeight="1">
      <c r="A55" s="47" t="inlineStr">
        <is>
          <t>YIELD SENSITIVITY (same expenses but average yield)</t>
        </is>
      </c>
      <c r="B55" s="169" t="n"/>
      <c r="C55" s="604" t="n"/>
      <c r="D55" s="31" t="n"/>
    </row>
    <row r="56" ht="16" customHeight="1">
      <c r="A56" s="170" t="inlineStr">
        <is>
          <t>Provincial average yield (lb./ac)</t>
        </is>
      </c>
      <c r="B56" s="171" t="n"/>
      <c r="C56" s="472">
        <f>I7</f>
        <v/>
      </c>
      <c r="D56" s="31" t="n"/>
    </row>
    <row r="57" ht="16" customHeight="1">
      <c r="A57" s="170" t="inlineStr">
        <is>
          <t xml:space="preserve"> Return over Variable Expenses </t>
        </is>
      </c>
      <c r="B57" s="171" t="n"/>
      <c r="C57" s="472">
        <f>I44</f>
        <v/>
      </c>
      <c r="D57" s="31" t="n"/>
    </row>
    <row r="58" ht="16" customHeight="1" thickBot="1">
      <c r="A58" s="845" t="inlineStr">
        <is>
          <t xml:space="preserve"> Return over Total Expenses </t>
        </is>
      </c>
      <c r="B58" s="173" t="n"/>
      <c r="C58" s="430">
        <f>I45</f>
        <v/>
      </c>
      <c r="D58" s="750" t="n"/>
    </row>
    <row r="59" ht="16" customHeight="1">
      <c r="A59" s="22" t="inlineStr">
        <is>
          <t>*Farm managers need to determine their own actual labour and management costs and add it to total expenses.</t>
        </is>
      </c>
      <c r="B59" s="17" t="n"/>
      <c r="C59" s="17" t="n"/>
    </row>
    <row r="60">
      <c r="A60" s="874" t="n"/>
      <c r="B60" s="17" t="n"/>
      <c r="C60" s="17" t="n"/>
    </row>
    <row r="61">
      <c r="A61" s="22" t="n"/>
      <c r="B61" s="175" t="n"/>
      <c r="C61" s="532" t="n"/>
    </row>
    <row r="62">
      <c r="A62" s="22" t="n"/>
      <c r="B62" s="24" t="n"/>
      <c r="C62" s="24" t="n"/>
    </row>
    <row r="63">
      <c r="A63" s="24" t="n"/>
      <c r="B63" s="24" t="n"/>
      <c r="C63" s="24" t="n"/>
    </row>
    <row r="64">
      <c r="A64" s="24" t="n"/>
      <c r="B64" s="24" t="n"/>
      <c r="C64" s="24" t="n"/>
    </row>
    <row r="65">
      <c r="A65" s="176" t="n"/>
      <c r="B65" s="177" t="n"/>
      <c r="C65" s="177" t="n"/>
    </row>
    <row r="66">
      <c r="A66" s="176" t="n"/>
      <c r="B66" s="178" t="n"/>
      <c r="C66" s="178" t="n"/>
    </row>
  </sheetData>
  <mergeCells count="2">
    <mergeCell ref="D4:D58"/>
    <mergeCell ref="B3:D3"/>
  </mergeCells>
  <pageMargins left="0.7" right="0.7" top="0.75" bottom="0.75" header="0.3" footer="0.3"/>
  <pageSetup orientation="portrait"/>
</worksheet>
</file>

<file path=xl/worksheets/sheet31.xml><?xml version="1.0" encoding="utf-8"?>
<worksheet xmlns="http://schemas.openxmlformats.org/spreadsheetml/2006/main">
  <sheetPr>
    <outlinePr summaryBelow="1" summaryRight="1"/>
    <pageSetUpPr/>
  </sheetPr>
  <dimension ref="A1:BW66"/>
  <sheetViews>
    <sheetView showGridLines="0" topLeftCell="A53" workbookViewId="0">
      <selection activeCell="N27" sqref="N27"/>
    </sheetView>
  </sheetViews>
  <sheetFormatPr baseColWidth="8" defaultRowHeight="16" customHeight="1"/>
  <cols>
    <col width="55.7109375" customWidth="1" min="1" max="1"/>
    <col width="10" bestFit="1" customWidth="1" min="2" max="3"/>
    <col width="48" customWidth="1" min="4" max="4"/>
    <col width="12.28515625" customWidth="1" min="9" max="9"/>
  </cols>
  <sheetData>
    <row r="1" ht="16" customHeight="1">
      <c r="A1" s="150" t="inlineStr">
        <is>
          <t>CANARYSEED PRODUCTION COSTS ($/ACRE) FOR SASKATCHEWAN 2026</t>
        </is>
      </c>
      <c r="B1" s="150" t="n"/>
      <c r="C1" s="150" t="n"/>
    </row>
    <row r="2" ht="16" customHeight="1" thickBot="1">
      <c r="A2" s="151" t="n"/>
      <c r="B2" s="151" t="inlineStr">
        <is>
          <t>Economics</t>
        </is>
      </c>
      <c r="C2" s="151" t="n"/>
      <c r="D2" s="620" t="inlineStr">
        <is>
          <t>Agronomics</t>
        </is>
      </c>
    </row>
    <row r="3" ht="16" customHeight="1" thickBot="1">
      <c r="A3" s="153" t="inlineStr">
        <is>
          <t>CROP</t>
        </is>
      </c>
      <c r="B3" s="861" t="inlineStr">
        <is>
          <t>CANARY SEED</t>
        </is>
      </c>
      <c r="C3" s="680" t="n"/>
      <c r="D3" s="681" t="n"/>
    </row>
    <row r="4" ht="16" customHeight="1" thickBot="1">
      <c r="B4" s="862" t="inlineStr">
        <is>
          <t>My farm</t>
        </is>
      </c>
      <c r="C4" s="862" t="inlineStr">
        <is>
          <t>80th percentile</t>
        </is>
      </c>
      <c r="D4" s="836" t="inlineStr">
        <is>
          <t xml:space="preserve">Seeding: A seeding rate of 35 lb./ac. is assumed. Canary Seed is grown in all soil zones, but heavy clay soil is preferred.
Fertilization: Fertility costs are based on nutrient removal rates given the targeted crop yield. These are: 57 lb./ac. N, 48 lb./ac. P2O5, 29 lb./ac. K2O and 15 lb./ac. S. Producers are encouraged to use their own rates based on soil tests. 
Crop Rotation: Crop rotation can be used to reduce disease pressure by allowing infected crop residue to decompose between susceptible crops. 
Crop Protection                                                         Insect control: Canary Seed is susceptible to aphids, so an insecticide application to manage for aphids is assumed.
Disease control: Septoria leaf mottle is a foliar disease of canaryseed that can result in yield losses when environmental conditions favor disease development. A single fungicide application for septoria leaf mottle has been included in this estimate.  Fungicide application decisions should be made based on disease risk during the growing season.
Weed control: Canary Seed has limited herbicide options for grass control making application of a soil-active for wild oat control a necessity.  Herbicide costs are based on the following herbicide timings.  Please refer to general assumptions for details.  Please insert Herbicide application window. 
</t>
        </is>
      </c>
      <c r="I4" s="271" t="inlineStr">
        <is>
          <t>Average Yield</t>
        </is>
      </c>
    </row>
    <row r="5" ht="16" customHeight="1" thickBot="1">
      <c r="A5" s="863" t="inlineStr">
        <is>
          <t>Soil Zone</t>
        </is>
      </c>
      <c r="B5" s="156" t="n"/>
      <c r="C5" s="887" t="inlineStr">
        <is>
          <t>DkBrown</t>
        </is>
      </c>
      <c r="D5" s="31" t="n"/>
      <c r="I5" s="938" t="inlineStr">
        <is>
          <t>DkBrown</t>
        </is>
      </c>
    </row>
    <row r="6" ht="16" customHeight="1">
      <c r="A6" s="96" t="inlineStr">
        <is>
          <t>REVENUE PER ACRE</t>
        </is>
      </c>
      <c r="B6" s="123" t="n"/>
      <c r="C6" s="88" t="n"/>
      <c r="D6" s="31" t="n"/>
      <c r="I6" s="31" t="n"/>
    </row>
    <row r="7" ht="16" customFormat="1" customHeight="1" s="196">
      <c r="A7" s="689" t="inlineStr">
        <is>
          <t>Target Yield (lb./ac.) (A)</t>
        </is>
      </c>
      <c r="B7" s="120" t="n"/>
      <c r="C7" s="939" t="n">
        <v>1711.66898664</v>
      </c>
      <c r="D7" s="31" t="n"/>
      <c r="I7" s="693" t="n">
        <v>1208.519872640692</v>
      </c>
    </row>
    <row r="8" ht="16" customFormat="1" customHeight="1" s="196" thickBot="1">
      <c r="A8" s="689" t="inlineStr">
        <is>
          <t>Est. Farm Gate Price $/lb. (B)</t>
        </is>
      </c>
      <c r="B8" s="121" t="n"/>
      <c r="C8" s="772" t="n">
        <v>0.2211262825664583</v>
      </c>
      <c r="D8" s="31" t="n"/>
      <c r="I8" s="605">
        <f>C8</f>
        <v/>
      </c>
    </row>
    <row r="9" ht="16" customFormat="1" customHeight="1" s="196" thickBot="1">
      <c r="A9" s="164" t="inlineStr">
        <is>
          <t>Estimated Gross Revenue/ac (AxB)=C</t>
        </is>
      </c>
      <c r="B9" s="160">
        <f>ROUND((B8*B7),2)</f>
        <v/>
      </c>
      <c r="C9" s="500">
        <f>ROUND((C8*C7),2)</f>
        <v/>
      </c>
      <c r="D9" s="31" t="n"/>
      <c r="I9" s="606">
        <f>ROUND((I8*I7),2)</f>
        <v/>
      </c>
    </row>
    <row r="10" ht="16" customFormat="1" customHeight="1" s="196">
      <c r="A10" s="67" t="n"/>
      <c r="B10" s="119" t="n"/>
      <c r="C10" s="362" t="n"/>
      <c r="D10" s="31" t="n"/>
      <c r="I10" s="367" t="n"/>
    </row>
    <row r="11" ht="16" customFormat="1" customHeight="1" s="196">
      <c r="A11" s="73" t="inlineStr">
        <is>
          <t>EXPENSES PER ACRE</t>
        </is>
      </c>
      <c r="B11" s="119" t="n"/>
      <c r="C11" s="362" t="n"/>
      <c r="D11" s="31" t="n"/>
      <c r="I11" s="367" t="n"/>
    </row>
    <row r="12" ht="16" customFormat="1" customHeight="1" s="196">
      <c r="A12" s="73" t="inlineStr">
        <is>
          <t>Variable Expenses/acre</t>
        </is>
      </c>
      <c r="B12" s="119" t="n"/>
      <c r="C12" s="362" t="n"/>
      <c r="D12" s="31" t="n"/>
      <c r="I12" s="367" t="n"/>
    </row>
    <row r="13" ht="16" customFormat="1" customHeight="1" s="196">
      <c r="A13" s="689" t="inlineStr">
        <is>
          <t>Seed</t>
        </is>
      </c>
      <c r="B13" s="124" t="n"/>
      <c r="C13" s="605" t="n">
        <v>14.35</v>
      </c>
      <c r="D13" s="31" t="n"/>
      <c r="I13" s="605">
        <f>C13</f>
        <v/>
      </c>
    </row>
    <row r="14" ht="16" customFormat="1" customHeight="1" s="196">
      <c r="A14" s="689" t="inlineStr">
        <is>
          <t xml:space="preserve">                     -Seed Treatments/Inoculants</t>
        </is>
      </c>
      <c r="B14" s="124" t="n"/>
      <c r="C14" s="605" t="n">
        <v>0</v>
      </c>
      <c r="D14" s="31" t="n"/>
      <c r="I14" s="605">
        <f>C14</f>
        <v/>
      </c>
    </row>
    <row r="15" ht="16" customFormat="1" customHeight="1" s="196">
      <c r="A15" s="689" t="inlineStr">
        <is>
          <t>Fertilizer -Nitrogen (N)</t>
        </is>
      </c>
      <c r="B15" s="124" t="n"/>
      <c r="C15" s="920" t="n">
        <v>46.66416791604198</v>
      </c>
      <c r="D15" s="31" t="n"/>
      <c r="I15" s="605">
        <f>C15</f>
        <v/>
      </c>
    </row>
    <row r="16" ht="16" customFormat="1" customHeight="1" s="196">
      <c r="A16" s="689" t="inlineStr">
        <is>
          <t xml:space="preserve">               -Phosphorous (P2O5)</t>
        </is>
      </c>
      <c r="B16" s="124" t="n"/>
      <c r="C16" s="920" t="n">
        <v>46.13381568325149</v>
      </c>
      <c r="D16" s="31" t="n"/>
      <c r="I16" s="605">
        <f>C16</f>
        <v/>
      </c>
    </row>
    <row r="17" ht="16" customFormat="1" customHeight="1" s="196">
      <c r="A17" s="689" t="inlineStr">
        <is>
          <t xml:space="preserve">               -Sulphur and Other</t>
        </is>
      </c>
      <c r="B17" s="125" t="n"/>
      <c r="C17" s="921" t="n">
        <v>24.02</v>
      </c>
      <c r="D17" s="31" t="n"/>
      <c r="I17" s="605">
        <f>C17</f>
        <v/>
      </c>
    </row>
    <row r="18" ht="16" customFormat="1" customHeight="1" s="196">
      <c r="A18" s="689" t="inlineStr">
        <is>
          <t>Plant Protection -Herbicides</t>
        </is>
      </c>
      <c r="B18" s="124" t="n"/>
      <c r="C18" s="605" t="n">
        <v>57.33508255484157</v>
      </c>
      <c r="D18" s="31" t="n"/>
      <c r="I18" s="605">
        <f>C18</f>
        <v/>
      </c>
    </row>
    <row r="19" ht="16" customFormat="1" customHeight="1" s="196">
      <c r="A19" s="689" t="inlineStr">
        <is>
          <t xml:space="preserve">                     -Insecticides</t>
        </is>
      </c>
      <c r="B19" s="124" t="n"/>
      <c r="C19" s="605" t="n">
        <v>4.800000000000001</v>
      </c>
      <c r="D19" s="31" t="n"/>
      <c r="I19" s="605">
        <f>C19</f>
        <v/>
      </c>
    </row>
    <row r="20" ht="16" customFormat="1" customHeight="1" s="196">
      <c r="A20" s="689" t="inlineStr">
        <is>
          <t xml:space="preserve">                     -Fungicides</t>
        </is>
      </c>
      <c r="B20" s="124" t="n"/>
      <c r="C20" s="605" t="n">
        <v>7.15</v>
      </c>
      <c r="D20" s="31" t="n"/>
      <c r="I20" s="605">
        <f>C20</f>
        <v/>
      </c>
    </row>
    <row r="21" ht="16" customFormat="1" customHeight="1" s="196">
      <c r="A21" s="689" t="inlineStr">
        <is>
          <t>Machinery Operating -Fuel</t>
        </is>
      </c>
      <c r="B21" s="125" t="n"/>
      <c r="C21" s="922" t="n">
        <v>23.62028983333333</v>
      </c>
      <c r="D21" s="31" t="n"/>
      <c r="I21" s="605">
        <f>C21</f>
        <v/>
      </c>
    </row>
    <row r="22" ht="16" customFormat="1" customHeight="1" s="196">
      <c r="A22" s="689" t="inlineStr">
        <is>
          <t xml:space="preserve">                                  -Repair</t>
        </is>
      </c>
      <c r="B22" s="124" t="n"/>
      <c r="C22" s="605" t="n">
        <v>13.03949744699887</v>
      </c>
      <c r="D22" s="31" t="n"/>
      <c r="I22" s="605">
        <f>C22</f>
        <v/>
      </c>
    </row>
    <row r="23" ht="16" customFormat="1" customHeight="1" s="196">
      <c r="A23" s="689" t="inlineStr">
        <is>
          <t>Custom Work and Hired Labour</t>
        </is>
      </c>
      <c r="B23" s="124" t="n"/>
      <c r="C23" s="605" t="n">
        <v>23.25</v>
      </c>
      <c r="D23" s="31" t="n"/>
      <c r="I23" s="605">
        <f>C23</f>
        <v/>
      </c>
    </row>
    <row r="24" ht="16" customFormat="1" customHeight="1" s="196">
      <c r="A24" s="689" t="inlineStr">
        <is>
          <t>Crop Insurance Premium</t>
        </is>
      </c>
      <c r="B24" s="126" t="n"/>
      <c r="C24" s="923" t="n">
        <v>8.181274754147953</v>
      </c>
      <c r="D24" s="31" t="n"/>
      <c r="I24" s="605">
        <f>C24</f>
        <v/>
      </c>
    </row>
    <row r="25" ht="16" customFormat="1" customHeight="1" s="196">
      <c r="A25" s="689" t="inlineStr">
        <is>
          <t>Hail Insurance Premium</t>
        </is>
      </c>
      <c r="B25" s="126" t="n"/>
      <c r="C25" s="923" t="n">
        <v>14</v>
      </c>
      <c r="D25" s="31" t="n"/>
      <c r="I25" s="605">
        <f>C25</f>
        <v/>
      </c>
    </row>
    <row r="26" ht="16" customFormat="1" customHeight="1" s="196">
      <c r="A26" s="689" t="inlineStr">
        <is>
          <t>Utilities and Miscellaneous</t>
        </is>
      </c>
      <c r="B26" s="125" t="n"/>
      <c r="C26" s="922" t="n">
        <v>5.768849384517721</v>
      </c>
      <c r="D26" s="31" t="n"/>
      <c r="I26" s="605">
        <f>C26</f>
        <v/>
      </c>
    </row>
    <row r="27" ht="16" customFormat="1" customHeight="1" s="196" thickBot="1">
      <c r="A27" s="689" t="inlineStr">
        <is>
          <t>Interest on Variable Expenses</t>
        </is>
      </c>
      <c r="B27" s="124" t="n"/>
      <c r="C27" s="605" t="n">
        <v>10.91745141743597</v>
      </c>
      <c r="D27" s="31" t="n"/>
      <c r="I27" s="605">
        <f>C27</f>
        <v/>
      </c>
    </row>
    <row r="28" ht="16" customFormat="1" customHeight="1" s="196" thickBot="1">
      <c r="A28" s="70" t="inlineStr">
        <is>
          <t>Total Variable Expenses (D)</t>
        </is>
      </c>
      <c r="B28" s="133">
        <f>SUM(B13:B27)</f>
        <v/>
      </c>
      <c r="C28" s="595">
        <f>SUM(C13:C27)</f>
        <v/>
      </c>
      <c r="D28" s="31" t="n"/>
      <c r="I28" s="609">
        <f>SUM(I13:I27)</f>
        <v/>
      </c>
    </row>
    <row r="29" ht="16" customFormat="1" customHeight="1" s="196">
      <c r="A29" s="67" t="n"/>
      <c r="B29" s="119" t="n"/>
      <c r="C29" s="362" t="n"/>
      <c r="D29" s="31" t="n"/>
      <c r="I29" s="608" t="n"/>
    </row>
    <row r="30" ht="16" customFormat="1" customHeight="1" s="196">
      <c r="A30" s="73" t="inlineStr">
        <is>
          <t>Other Expenses/acre</t>
        </is>
      </c>
      <c r="B30" s="119" t="n"/>
      <c r="C30" s="362" t="n"/>
      <c r="D30" s="31" t="n"/>
      <c r="I30" s="608" t="n"/>
    </row>
    <row r="31" ht="16" customFormat="1" customHeight="1" s="196">
      <c r="A31" s="689" t="inlineStr">
        <is>
          <t>Building Repair</t>
        </is>
      </c>
      <c r="B31" s="866" t="n"/>
      <c r="C31" s="929" t="n">
        <v>0.9756414253534748</v>
      </c>
      <c r="D31" s="31" t="n"/>
      <c r="I31" s="937">
        <f>C31</f>
        <v/>
      </c>
    </row>
    <row r="32" ht="16" customFormat="1" customHeight="1" s="196">
      <c r="A32" s="689" t="inlineStr">
        <is>
          <t>Property Taxes</t>
        </is>
      </c>
      <c r="B32" s="868" t="n"/>
      <c r="C32" s="928" t="n">
        <v>6.642698188180902</v>
      </c>
      <c r="D32" s="31" t="n"/>
      <c r="I32" s="937">
        <f>C32</f>
        <v/>
      </c>
    </row>
    <row r="33" ht="16" customFormat="1" customHeight="1" s="196">
      <c r="A33" s="689" t="inlineStr">
        <is>
          <t>Business Overhead</t>
        </is>
      </c>
      <c r="B33" s="869" t="n"/>
      <c r="C33" s="929" t="n">
        <v>3.986427684117127</v>
      </c>
      <c r="D33" s="31" t="n"/>
      <c r="I33" s="937">
        <f>C33</f>
        <v/>
      </c>
    </row>
    <row r="34" ht="16" customFormat="1" customHeight="1" s="196">
      <c r="A34" s="689" t="inlineStr">
        <is>
          <t>Machinery Depreciation</t>
        </is>
      </c>
      <c r="B34" s="870" t="n"/>
      <c r="C34" s="928" t="n">
        <v>53.66254718572614</v>
      </c>
      <c r="D34" s="31" t="n"/>
      <c r="I34" s="937">
        <f>C34</f>
        <v/>
      </c>
    </row>
    <row r="35" ht="16" customFormat="1" customHeight="1" s="196">
      <c r="A35" s="689" t="inlineStr">
        <is>
          <t>Building Depreciation</t>
        </is>
      </c>
      <c r="B35" s="866" t="n"/>
      <c r="C35" s="929" t="n">
        <v>1.9</v>
      </c>
      <c r="D35" s="31" t="n"/>
      <c r="I35" s="937">
        <f>C35</f>
        <v/>
      </c>
    </row>
    <row r="36" ht="16" customFormat="1" customHeight="1" s="196">
      <c r="A36" s="689" t="inlineStr">
        <is>
          <t>Machinery Investment</t>
        </is>
      </c>
      <c r="B36" s="870" t="n"/>
      <c r="C36" s="928" t="n">
        <v>33.85254144893939</v>
      </c>
      <c r="D36" s="31" t="n"/>
      <c r="I36" s="937">
        <f>C36</f>
        <v/>
      </c>
    </row>
    <row r="37" ht="16" customFormat="1" customHeight="1" s="196">
      <c r="A37" s="689" t="inlineStr">
        <is>
          <t>Building Investment</t>
        </is>
      </c>
      <c r="B37" s="866" t="n"/>
      <c r="C37" s="929" t="n">
        <v>1.737866666666666</v>
      </c>
      <c r="D37" s="31" t="n"/>
      <c r="I37" s="937">
        <f>C37</f>
        <v/>
      </c>
    </row>
    <row r="38" ht="16" customFormat="1" customHeight="1" s="196" thickBot="1">
      <c r="A38" s="689" t="inlineStr">
        <is>
          <t>Land Investment</t>
        </is>
      </c>
      <c r="B38" s="868" t="n"/>
      <c r="C38" s="928" t="n">
        <v>80.65649999999999</v>
      </c>
      <c r="D38" s="31" t="n"/>
      <c r="I38" s="937">
        <f>C38</f>
        <v/>
      </c>
    </row>
    <row r="39" ht="16" customHeight="1" thickBot="1">
      <c r="A39" s="70" t="inlineStr">
        <is>
          <t>Total Other Expenses (E)</t>
        </is>
      </c>
      <c r="B39" s="133">
        <f>SUM(B31:B38)</f>
        <v/>
      </c>
      <c r="C39" s="582">
        <f>SUM(C31:C38)</f>
        <v/>
      </c>
      <c r="D39" s="31" t="n"/>
      <c r="I39" s="428">
        <f>SUM(I31:I38)</f>
        <v/>
      </c>
    </row>
    <row r="40" ht="16" customHeight="1" thickBot="1">
      <c r="A40" s="764" t="inlineStr">
        <is>
          <t>Labour and Management (F)*</t>
        </is>
      </c>
      <c r="B40" s="125" t="n"/>
      <c r="C40" s="607" t="n"/>
      <c r="D40" s="31" t="n"/>
      <c r="I40" s="464" t="n"/>
    </row>
    <row r="41" ht="16" customHeight="1" thickBot="1">
      <c r="A41" s="89" t="inlineStr">
        <is>
          <t xml:space="preserve">Total Expenses (D+E+F)=(G) </t>
        </is>
      </c>
      <c r="B41" s="133">
        <f>B28+B39+B40</f>
        <v/>
      </c>
      <c r="C41" s="582">
        <f>C28+C39+C40</f>
        <v/>
      </c>
      <c r="D41" s="31" t="n"/>
      <c r="I41" s="428">
        <f>I28+I39+I40</f>
        <v/>
      </c>
    </row>
    <row r="42" ht="16" customHeight="1" thickBot="1">
      <c r="A42" s="90" t="n"/>
      <c r="B42" s="159" t="n"/>
      <c r="C42" s="600" t="n"/>
      <c r="D42" s="31" t="n"/>
      <c r="I42" s="464" t="n"/>
    </row>
    <row r="43" ht="16" customHeight="1">
      <c r="A43" s="93" t="inlineStr">
        <is>
          <t>RETURNS PER ACRE</t>
        </is>
      </c>
      <c r="B43" s="123" t="n"/>
      <c r="C43" s="601" t="n"/>
      <c r="D43" s="31" t="n"/>
      <c r="I43" s="465" t="n"/>
    </row>
    <row r="44" ht="16" customHeight="1">
      <c r="A44" s="49" t="inlineStr">
        <is>
          <t xml:space="preserve"> Return over Variable Expenses (C-D) </t>
        </is>
      </c>
      <c r="B44" s="105">
        <f>B9-B28</f>
        <v/>
      </c>
      <c r="C44" s="467">
        <f>C9-C28</f>
        <v/>
      </c>
      <c r="D44" s="31" t="n"/>
      <c r="I44" s="467">
        <f>I9-I28</f>
        <v/>
      </c>
    </row>
    <row r="45" ht="16" customHeight="1" thickBot="1">
      <c r="A45" s="737" t="inlineStr">
        <is>
          <t xml:space="preserve"> Return over Total Expenses (C-G)</t>
        </is>
      </c>
      <c r="B45" s="160">
        <f>B9-B41</f>
        <v/>
      </c>
      <c r="C45" s="468">
        <f>C9-C41</f>
        <v/>
      </c>
      <c r="D45" s="31" t="n"/>
      <c r="I45" s="468">
        <f>I9-I41</f>
        <v/>
      </c>
    </row>
    <row r="46" ht="16" customHeight="1" thickBot="1">
      <c r="A46" s="73" t="n"/>
      <c r="B46" s="159" t="n"/>
      <c r="C46" s="600" t="n"/>
      <c r="D46" s="31" t="n"/>
      <c r="I46" s="464" t="n"/>
    </row>
    <row r="47" ht="16" customHeight="1">
      <c r="A47" s="96" t="inlineStr">
        <is>
          <t>BREAK-EVEN YIELD (lbs./ac.)</t>
        </is>
      </c>
      <c r="B47" s="161" t="n"/>
      <c r="C47" s="602" t="n"/>
      <c r="D47" s="31" t="n"/>
      <c r="I47" s="465" t="n"/>
    </row>
    <row r="48" ht="16" customHeight="1">
      <c r="A48" s="73" t="inlineStr">
        <is>
          <t>To Cover Variable Expenses</t>
        </is>
      </c>
      <c r="B48" s="99">
        <f>ROUND((B28)/B8,2)</f>
        <v/>
      </c>
      <c r="C48" s="467">
        <f>ROUND((C28)/C8,2)</f>
        <v/>
      </c>
      <c r="D48" s="31" t="n"/>
      <c r="I48" s="467">
        <f>ROUND((I28)/I8,2)</f>
        <v/>
      </c>
    </row>
    <row r="49" ht="16" customHeight="1" thickBot="1">
      <c r="A49" s="164" t="inlineStr">
        <is>
          <t>To Cover Total Expenses</t>
        </is>
      </c>
      <c r="B49" s="100">
        <f>ROUND(B41/B8,2)</f>
        <v/>
      </c>
      <c r="C49" s="468">
        <f>ROUND(C41/C8,2)</f>
        <v/>
      </c>
      <c r="D49" s="31" t="n"/>
      <c r="I49" s="468">
        <f>ROUND(I41/I8,2)</f>
        <v/>
      </c>
    </row>
    <row r="50" ht="16" customHeight="1" thickBot="1">
      <c r="A50" s="73" t="n"/>
      <c r="B50" s="873" t="n"/>
      <c r="C50" s="931" t="n"/>
      <c r="D50" s="31" t="n"/>
      <c r="I50" s="464" t="n"/>
    </row>
    <row r="51" ht="16" customHeight="1">
      <c r="A51" s="96" t="inlineStr">
        <is>
          <t>BREAK-EVEN PRICE ($/lb.)</t>
        </is>
      </c>
      <c r="B51" s="161" t="n"/>
      <c r="C51" s="602" t="n"/>
      <c r="D51" s="31" t="n"/>
      <c r="I51" s="465" t="n"/>
    </row>
    <row r="52" ht="16" customHeight="1">
      <c r="A52" s="73" t="inlineStr">
        <is>
          <t>To Cover Variable Expenses</t>
        </is>
      </c>
      <c r="B52" s="99">
        <f>ROUND((B28)/B7,2)</f>
        <v/>
      </c>
      <c r="C52" s="467">
        <f>ROUND((C28)/C7,2)</f>
        <v/>
      </c>
      <c r="D52" s="31" t="n"/>
      <c r="I52" s="467">
        <f>ROUND((I28)/I7,2)</f>
        <v/>
      </c>
    </row>
    <row r="53" ht="16" customHeight="1" thickBot="1">
      <c r="A53" s="164" t="inlineStr">
        <is>
          <t>To Cover Total Expenses</t>
        </is>
      </c>
      <c r="B53" s="100">
        <f>ROUND(B41/B7,2)</f>
        <v/>
      </c>
      <c r="C53" s="468">
        <f>ROUND(C41/C7,2)</f>
        <v/>
      </c>
      <c r="D53" s="31" t="n"/>
      <c r="I53" s="468">
        <f>ROUND(I41/I7,2)</f>
        <v/>
      </c>
    </row>
    <row r="54" ht="16" customHeight="1" thickBot="1">
      <c r="A54" s="168" t="n"/>
      <c r="B54" s="17" t="n"/>
      <c r="C54" s="612" t="n"/>
      <c r="D54" s="31" t="n"/>
    </row>
    <row r="55" ht="16" customHeight="1">
      <c r="A55" s="47" t="inlineStr">
        <is>
          <t>YIELD SENSITIVITY (same expenses but average yield)</t>
        </is>
      </c>
      <c r="B55" s="169" t="n"/>
      <c r="C55" s="604" t="n"/>
      <c r="D55" s="31" t="n"/>
    </row>
    <row r="56" ht="16" customHeight="1">
      <c r="A56" s="170" t="inlineStr">
        <is>
          <t>Provincial average yield (lb./ac)</t>
        </is>
      </c>
      <c r="B56" s="171" t="n"/>
      <c r="C56" s="472">
        <f>I7</f>
        <v/>
      </c>
      <c r="D56" s="31" t="n"/>
    </row>
    <row r="57" ht="16" customHeight="1">
      <c r="A57" s="170" t="inlineStr">
        <is>
          <t xml:space="preserve"> Return over Variable Expenses </t>
        </is>
      </c>
      <c r="B57" s="171" t="n"/>
      <c r="C57" s="472">
        <f>I44</f>
        <v/>
      </c>
      <c r="D57" s="31" t="n"/>
    </row>
    <row r="58" ht="16" customHeight="1" thickBot="1">
      <c r="A58" s="845" t="inlineStr">
        <is>
          <t xml:space="preserve"> Return over Total Expenses </t>
        </is>
      </c>
      <c r="B58" s="173" t="n"/>
      <c r="C58" s="430">
        <f>I45</f>
        <v/>
      </c>
      <c r="D58" s="750" t="n"/>
    </row>
    <row r="59" ht="16" customHeight="1">
      <c r="A59" s="22" t="inlineStr">
        <is>
          <t>*Farm managers need to determine their own actual labour and management costs and add it to total expenses.</t>
        </is>
      </c>
      <c r="B59" s="17" t="n"/>
      <c r="C59" s="17" t="n"/>
    </row>
    <row r="60">
      <c r="A60" s="874" t="n"/>
      <c r="B60" s="17" t="n"/>
      <c r="C60" s="17" t="n"/>
    </row>
    <row r="61">
      <c r="A61" s="22" t="n"/>
      <c r="B61" s="175" t="n"/>
      <c r="C61" s="532" t="n"/>
    </row>
    <row r="62">
      <c r="A62" s="22" t="n"/>
      <c r="B62" s="24" t="n"/>
      <c r="C62" s="419" t="n"/>
    </row>
    <row r="63">
      <c r="A63" s="24" t="n"/>
      <c r="B63" s="24" t="n"/>
      <c r="C63" s="24" t="n"/>
    </row>
    <row r="64">
      <c r="A64" s="24" t="n"/>
      <c r="B64" s="24" t="n"/>
      <c r="C64" s="24" t="n"/>
    </row>
    <row r="65">
      <c r="A65" s="176" t="n"/>
      <c r="B65" s="177" t="n"/>
      <c r="C65" s="177" t="n"/>
    </row>
    <row r="66">
      <c r="A66" s="176" t="n"/>
      <c r="B66" s="178" t="n"/>
      <c r="C66" s="178" t="n"/>
    </row>
  </sheetData>
  <mergeCells count="2">
    <mergeCell ref="D4:D58"/>
    <mergeCell ref="B3:D3"/>
  </mergeCells>
  <pageMargins left="0.7" right="0.7" top="0.75" bottom="0.75" header="0.3" footer="0.3"/>
  <pageSetup orientation="portrait"/>
</worksheet>
</file>

<file path=xl/worksheets/sheet32.xml><?xml version="1.0" encoding="utf-8"?>
<worksheet xmlns="http://schemas.openxmlformats.org/spreadsheetml/2006/main">
  <sheetPr>
    <outlinePr summaryBelow="1" summaryRight="1"/>
    <pageSetUpPr/>
  </sheetPr>
  <dimension ref="A1:I66"/>
  <sheetViews>
    <sheetView showGridLines="0" workbookViewId="0">
      <selection activeCell="C28" sqref="C28"/>
    </sheetView>
  </sheetViews>
  <sheetFormatPr baseColWidth="8" defaultRowHeight="16" customHeight="1"/>
  <cols>
    <col width="55.7109375" customWidth="1" min="1" max="1"/>
    <col width="10" bestFit="1" customWidth="1" min="2" max="3"/>
    <col width="47.7109375" customWidth="1" min="4" max="4"/>
    <col width="12.28515625" bestFit="1" customWidth="1" min="7" max="7"/>
    <col width="12.28515625" customWidth="1" min="9" max="9"/>
  </cols>
  <sheetData>
    <row r="1" ht="16" customHeight="1">
      <c r="A1" s="150" t="inlineStr">
        <is>
          <t>CARAWAY PRODUCTION COSTS ($/ACRE) FOR SASKATCHEWAN 2026</t>
        </is>
      </c>
      <c r="B1" s="150" t="n"/>
      <c r="C1" s="150" t="n"/>
    </row>
    <row r="2" ht="16" customHeight="1" thickBot="1">
      <c r="A2" s="151" t="n"/>
      <c r="B2" s="151" t="inlineStr">
        <is>
          <t>Economics</t>
        </is>
      </c>
      <c r="C2" s="151" t="n"/>
      <c r="D2" s="620" t="inlineStr">
        <is>
          <t>Agronomics</t>
        </is>
      </c>
    </row>
    <row r="3" ht="16" customHeight="1" thickBot="1">
      <c r="A3" s="153" t="inlineStr">
        <is>
          <t>CROP</t>
        </is>
      </c>
      <c r="B3" s="861" t="inlineStr">
        <is>
          <t>CARAWAY</t>
        </is>
      </c>
      <c r="C3" s="680" t="n"/>
      <c r="D3" s="681" t="n"/>
    </row>
    <row r="4" ht="16" customHeight="1" thickBot="1">
      <c r="A4" s="154" t="n"/>
      <c r="B4" s="862" t="inlineStr">
        <is>
          <t>My farm</t>
        </is>
      </c>
      <c r="C4" s="862" t="inlineStr">
        <is>
          <t>80th percentile</t>
        </is>
      </c>
      <c r="D4" s="836" t="inlineStr">
        <is>
          <t xml:space="preserve">Seeding: Seed rate of 12 lb./ac. is used. Caraway is primarily a biennial crop and typically seeded with a companion crop so that the field provides a return in both crop years. Caraway and Coriander have the same management cost. Therefore, if no companion crop is sown, include production costs used for coriander, with the exception of seeding, harvest and handling, to account for management costs of caraway in the first year. Recommended soil is black.
Fertilization: Fertility costs are based on nutrient removal rates given the targeted crop yield. These are: 34 lb./ac. N, 27 lb./ac. P2O5 and 16 lb./ac. K2O. Producers are encouraged to use their own rates based on soil tests. 
Crop Rotation: Crop rotation can be used to reduce disease pressure by allowing infected crop residue to decompose between susceptible crops. Crops in the carrot family are very sensitive to Group 2 residues in the soil. Please refer to the ministry’s Guide to Crop Protection available at saskatchewan.ca/crops for more information.
Crop Protection                                                  Insect control: A limited number of registered products is available for slugs in field crops. 
Disease control:  Blossom blight can result in yield losses when conditions favor disease development. The cost of fungicide is not included in this estimate. 
Weed control: Herbicide costs below are only for the second year of production. If caraway is not companion cropped in the first year, it requires the same weed control as coriander. Refer to the coriander section for more information. Herbicide costs are based on the following herbicide timings. Please refer to general assumptions for details. Please insert Herbicide application window. </t>
        </is>
      </c>
      <c r="I4" s="271" t="inlineStr">
        <is>
          <t>Average Yield</t>
        </is>
      </c>
    </row>
    <row r="5" ht="16" customHeight="1" thickBot="1">
      <c r="A5" s="863" t="inlineStr">
        <is>
          <t>Soil Zone</t>
        </is>
      </c>
      <c r="B5" s="156" t="n"/>
      <c r="C5" s="888" t="inlineStr">
        <is>
          <t>Black</t>
        </is>
      </c>
      <c r="D5" s="31" t="n"/>
      <c r="I5" s="841" t="inlineStr">
        <is>
          <t>Black</t>
        </is>
      </c>
    </row>
    <row r="6" ht="16" customHeight="1">
      <c r="A6" s="96" t="inlineStr">
        <is>
          <t>REVENUE PER ACRE</t>
        </is>
      </c>
      <c r="B6" s="123" t="n"/>
      <c r="C6" s="136" t="n"/>
      <c r="D6" s="31" t="n"/>
      <c r="I6" s="31" t="n"/>
    </row>
    <row r="7" ht="16" customHeight="1">
      <c r="A7" s="689" t="inlineStr">
        <is>
          <t>Target Yield (lb./ac.) (A)</t>
        </is>
      </c>
      <c r="B7" s="120" t="n"/>
      <c r="C7" s="939" t="n">
        <v>648.1590444</v>
      </c>
      <c r="D7" s="31" t="n"/>
      <c r="I7" s="693" t="n">
        <v>333.6324234149333</v>
      </c>
    </row>
    <row r="8" ht="16" customHeight="1" thickBot="1">
      <c r="A8" s="689" t="inlineStr">
        <is>
          <t>Est. Farm Gate Price $/lb. (B)</t>
        </is>
      </c>
      <c r="B8" s="121" t="n"/>
      <c r="C8" s="772" t="n">
        <v>1.25</v>
      </c>
      <c r="D8" s="31" t="n"/>
      <c r="I8" s="427">
        <f>C8</f>
        <v/>
      </c>
    </row>
    <row r="9" ht="16" customHeight="1" thickBot="1">
      <c r="A9" s="70" t="inlineStr">
        <is>
          <t>Estimated Gross Revenue/ac (AxB)=C</t>
        </is>
      </c>
      <c r="B9" s="158">
        <f>ROUND((B8*B7),2)</f>
        <v/>
      </c>
      <c r="C9" s="501">
        <f>ROUND((C8*C7),2)</f>
        <v/>
      </c>
      <c r="D9" s="31" t="n"/>
      <c r="I9" s="474">
        <f>ROUND((I8*I7),2)</f>
        <v/>
      </c>
    </row>
    <row r="10">
      <c r="A10" s="67" t="n"/>
      <c r="B10" s="119" t="n"/>
      <c r="C10" s="359" t="n"/>
      <c r="D10" s="31" t="n"/>
      <c r="I10" s="332" t="n"/>
    </row>
    <row r="11" ht="16" customHeight="1">
      <c r="A11" s="73" t="inlineStr">
        <is>
          <t>EXPENSES PER ACRE</t>
        </is>
      </c>
      <c r="B11" s="119" t="n"/>
      <c r="C11" s="359" t="n"/>
      <c r="D11" s="31" t="n"/>
      <c r="I11" s="332" t="n"/>
    </row>
    <row r="12" ht="16" customHeight="1">
      <c r="A12" s="73" t="inlineStr">
        <is>
          <t>Variable Expenses/acre</t>
        </is>
      </c>
      <c r="B12" s="119" t="n"/>
      <c r="C12" s="359" t="n"/>
      <c r="D12" s="31" t="n"/>
      <c r="I12" s="332" t="n"/>
    </row>
    <row r="13" ht="16" customHeight="1">
      <c r="A13" s="689" t="inlineStr">
        <is>
          <t>Seed</t>
        </is>
      </c>
      <c r="B13" s="124" t="n"/>
      <c r="C13" s="716" t="n">
        <v>15</v>
      </c>
      <c r="D13" s="31" t="n"/>
      <c r="I13" s="427">
        <f>C13</f>
        <v/>
      </c>
    </row>
    <row r="14" ht="16" customHeight="1">
      <c r="A14" s="689" t="inlineStr">
        <is>
          <t xml:space="preserve">                     -Seed Treatments/Inoculants</t>
        </is>
      </c>
      <c r="B14" s="124" t="n"/>
      <c r="C14" s="716" t="n">
        <v>0</v>
      </c>
      <c r="D14" s="31" t="n"/>
      <c r="I14" s="427">
        <f>C14</f>
        <v/>
      </c>
    </row>
    <row r="15" ht="16" customHeight="1">
      <c r="A15" s="689" t="inlineStr">
        <is>
          <t>Fertilizer -Nitrogen (N)</t>
        </is>
      </c>
      <c r="B15" s="124" t="n"/>
      <c r="C15" s="794" t="n">
        <v>27.83476682711276</v>
      </c>
      <c r="D15" s="31" t="n"/>
      <c r="I15" s="427">
        <f>C15</f>
        <v/>
      </c>
    </row>
    <row r="16" ht="16" customHeight="1">
      <c r="A16" s="689" t="inlineStr">
        <is>
          <t xml:space="preserve">               -Phosphorous (P2O5)</t>
        </is>
      </c>
      <c r="B16" s="124" t="n"/>
      <c r="C16" s="794" t="n">
        <v>25.95027132182896</v>
      </c>
      <c r="D16" s="31" t="n"/>
      <c r="I16" s="427">
        <f>C16</f>
        <v/>
      </c>
    </row>
    <row r="17" ht="16" customHeight="1">
      <c r="A17" s="689" t="inlineStr">
        <is>
          <t xml:space="preserve">               -Sulphur and Other</t>
        </is>
      </c>
      <c r="B17" s="125" t="n"/>
      <c r="C17" s="797" t="n">
        <v>8.711433756805809</v>
      </c>
      <c r="D17" s="31" t="n"/>
      <c r="I17" s="427">
        <f>C17</f>
        <v/>
      </c>
    </row>
    <row r="18" ht="16" customHeight="1">
      <c r="A18" s="689" t="inlineStr">
        <is>
          <t>Plant Protection -Herbicides</t>
        </is>
      </c>
      <c r="B18" s="124" t="n"/>
      <c r="C18" s="716" t="n">
        <v>80.72057867841409</v>
      </c>
      <c r="D18" s="31" t="n"/>
      <c r="I18" s="427">
        <f>C18</f>
        <v/>
      </c>
    </row>
    <row r="19" ht="16" customHeight="1">
      <c r="A19" s="689" t="inlineStr">
        <is>
          <t xml:space="preserve">                     -Insecticides</t>
        </is>
      </c>
      <c r="B19" s="124" t="n"/>
      <c r="C19" s="716" t="n">
        <v>0</v>
      </c>
      <c r="D19" s="31" t="n"/>
      <c r="I19" s="427">
        <f>C19</f>
        <v/>
      </c>
    </row>
    <row r="20" ht="16" customHeight="1">
      <c r="A20" s="689" t="inlineStr">
        <is>
          <t xml:space="preserve">                     -Fungicides</t>
        </is>
      </c>
      <c r="B20" s="124" t="n"/>
      <c r="C20" s="716" t="n">
        <v>0</v>
      </c>
      <c r="D20" s="31" t="n"/>
      <c r="I20" s="427">
        <f>C20</f>
        <v/>
      </c>
    </row>
    <row r="21" ht="16" customHeight="1">
      <c r="A21" s="689" t="inlineStr">
        <is>
          <t>Machinery Operating -Fuel</t>
        </is>
      </c>
      <c r="B21" s="125" t="n"/>
      <c r="C21" s="771" t="n">
        <v>47.24057966666667</v>
      </c>
      <c r="D21" s="31" t="n"/>
      <c r="I21" s="427">
        <f>C21</f>
        <v/>
      </c>
    </row>
    <row r="22" ht="16" customHeight="1">
      <c r="A22" s="689" t="inlineStr">
        <is>
          <t xml:space="preserve">                                  -Repair</t>
        </is>
      </c>
      <c r="B22" s="124" t="n"/>
      <c r="C22" s="716" t="n">
        <v>29.51580494800816</v>
      </c>
      <c r="D22" s="31" t="n"/>
      <c r="I22" s="427">
        <f>C22</f>
        <v/>
      </c>
    </row>
    <row r="23" ht="16" customHeight="1">
      <c r="A23" s="689" t="inlineStr">
        <is>
          <t>Custom Work and Hired Labour</t>
        </is>
      </c>
      <c r="B23" s="124" t="n"/>
      <c r="C23" s="716" t="n">
        <v>21</v>
      </c>
      <c r="D23" s="31" t="n"/>
      <c r="I23" s="427">
        <f>C23</f>
        <v/>
      </c>
    </row>
    <row r="24" ht="16" customHeight="1">
      <c r="A24" s="689" t="inlineStr">
        <is>
          <t>Crop Insurance Premium</t>
        </is>
      </c>
      <c r="B24" s="126" t="n"/>
      <c r="C24" s="831" t="n">
        <v>7.826477744807121</v>
      </c>
      <c r="D24" s="31" t="n"/>
      <c r="I24" s="427">
        <f>C24</f>
        <v/>
      </c>
    </row>
    <row r="25" ht="16" customHeight="1">
      <c r="A25" s="689" t="inlineStr">
        <is>
          <t>Hail Insurance Premium</t>
        </is>
      </c>
      <c r="B25" s="126" t="n"/>
      <c r="C25" s="831" t="n">
        <v>14</v>
      </c>
      <c r="D25" s="31" t="n"/>
      <c r="I25" s="427">
        <f>C25</f>
        <v/>
      </c>
    </row>
    <row r="26" ht="16" customHeight="1">
      <c r="A26" s="689" t="inlineStr">
        <is>
          <t>Utilities and Miscellaneous</t>
        </is>
      </c>
      <c r="B26" s="125" t="n"/>
      <c r="C26" s="771" t="n">
        <v>6.656364674443524</v>
      </c>
      <c r="D26" s="31" t="n"/>
      <c r="I26" s="427">
        <f>C26</f>
        <v/>
      </c>
    </row>
    <row r="27" ht="16" customHeight="1" thickBot="1">
      <c r="A27" s="689" t="inlineStr">
        <is>
          <t>Interest on Variable Expenses</t>
        </is>
      </c>
      <c r="B27" s="124" t="n"/>
      <c r="C27" s="771" t="n">
        <v>10.7714110458049</v>
      </c>
      <c r="D27" s="31" t="n"/>
      <c r="I27" s="427">
        <f>C27</f>
        <v/>
      </c>
    </row>
    <row r="28" ht="16" customHeight="1" thickBot="1">
      <c r="A28" s="70" t="inlineStr">
        <is>
          <t>Total Variable Expenses (D)</t>
        </is>
      </c>
      <c r="B28" s="133">
        <f>SUM(B13:B27)</f>
        <v/>
      </c>
      <c r="C28" s="426">
        <f>SUM(C13:C27)</f>
        <v/>
      </c>
      <c r="D28" s="31" t="n"/>
      <c r="I28" s="428">
        <f>SUM(I13:I27)</f>
        <v/>
      </c>
    </row>
    <row r="29">
      <c r="A29" s="67" t="n"/>
      <c r="B29" s="119" t="n"/>
      <c r="C29" s="359" t="n"/>
      <c r="D29" s="31" t="n"/>
      <c r="I29" s="464" t="n"/>
    </row>
    <row r="30" ht="16" customHeight="1">
      <c r="A30" s="73" t="inlineStr">
        <is>
          <t>Other Expenses/acre</t>
        </is>
      </c>
      <c r="B30" s="119" t="n"/>
      <c r="C30" s="359" t="n"/>
      <c r="D30" s="31" t="n"/>
      <c r="I30" s="464" t="n"/>
    </row>
    <row r="31" ht="16" customHeight="1">
      <c r="A31" s="689" t="inlineStr">
        <is>
          <t>Building Repair</t>
        </is>
      </c>
      <c r="B31" s="866" t="n"/>
      <c r="C31" s="774" t="n">
        <v>2.670176532546352</v>
      </c>
      <c r="D31" s="31" t="n"/>
      <c r="I31" s="776">
        <f>C31</f>
        <v/>
      </c>
    </row>
    <row r="32" ht="16" customHeight="1">
      <c r="A32" s="689" t="inlineStr">
        <is>
          <t>Property Taxes</t>
        </is>
      </c>
      <c r="B32" s="868" t="n"/>
      <c r="C32" s="778" t="n">
        <v>20.14411726984941</v>
      </c>
      <c r="D32" s="31" t="n"/>
      <c r="I32" s="776">
        <f>C32</f>
        <v/>
      </c>
    </row>
    <row r="33" ht="16" customHeight="1">
      <c r="A33" s="689" t="inlineStr">
        <is>
          <t>Business Overhead</t>
        </is>
      </c>
      <c r="B33" s="869" t="n"/>
      <c r="C33" s="774" t="n">
        <v>9.351808340727597</v>
      </c>
      <c r="D33" s="31" t="n"/>
      <c r="I33" s="776">
        <f>C33</f>
        <v/>
      </c>
    </row>
    <row r="34" ht="16" customHeight="1">
      <c r="A34" s="689" t="inlineStr">
        <is>
          <t>Machinery Depreciation</t>
        </is>
      </c>
      <c r="B34" s="870" t="n"/>
      <c r="C34" s="778" t="n">
        <v>121.4688895937259</v>
      </c>
      <c r="D34" s="31" t="n"/>
      <c r="I34" s="776">
        <f>C34</f>
        <v/>
      </c>
    </row>
    <row r="35" ht="16" customHeight="1">
      <c r="A35" s="689" t="inlineStr">
        <is>
          <t>Building Depreciation</t>
        </is>
      </c>
      <c r="B35" s="866" t="n"/>
      <c r="C35" s="774" t="n">
        <v>5.2</v>
      </c>
      <c r="D35" s="31" t="n"/>
      <c r="I35" s="776">
        <f>C35</f>
        <v/>
      </c>
    </row>
    <row r="36" ht="16" customHeight="1">
      <c r="A36" s="689" t="inlineStr">
        <is>
          <t>Machinery Investment</t>
        </is>
      </c>
      <c r="B36" s="870" t="n"/>
      <c r="C36" s="778" t="n">
        <v>76.62757053809813</v>
      </c>
      <c r="D36" s="31" t="n"/>
      <c r="I36" s="776">
        <f>C36</f>
        <v/>
      </c>
    </row>
    <row r="37" ht="16" customHeight="1">
      <c r="A37" s="689" t="inlineStr">
        <is>
          <t>Building Investment</t>
        </is>
      </c>
      <c r="B37" s="866" t="n"/>
      <c r="C37" s="774" t="n">
        <v>4.756266666666666</v>
      </c>
      <c r="D37" s="31" t="n"/>
      <c r="I37" s="776">
        <f>C37</f>
        <v/>
      </c>
    </row>
    <row r="38" ht="16" customHeight="1" thickBot="1">
      <c r="A38" s="689" t="inlineStr">
        <is>
          <t>Land Investment</t>
        </is>
      </c>
      <c r="B38" s="868" t="n"/>
      <c r="C38" s="778" t="n">
        <v>150.7605</v>
      </c>
      <c r="D38" s="31" t="n"/>
      <c r="I38" s="776">
        <f>C38</f>
        <v/>
      </c>
    </row>
    <row r="39" ht="16" customHeight="1" thickBot="1">
      <c r="A39" s="70" t="inlineStr">
        <is>
          <t>Total Other Expenses *</t>
        </is>
      </c>
      <c r="B39" s="133">
        <f>SUM(B31:B38)</f>
        <v/>
      </c>
      <c r="C39" s="426">
        <f>SUM(C31:C38)</f>
        <v/>
      </c>
      <c r="D39" s="31" t="n"/>
      <c r="I39" s="428">
        <f>SUM(I31:I38)</f>
        <v/>
      </c>
    </row>
    <row r="40" ht="16" customHeight="1" thickBot="1">
      <c r="A40" s="689" t="inlineStr">
        <is>
          <t>Labour and Management (F)**</t>
        </is>
      </c>
      <c r="B40" s="125" t="n"/>
      <c r="C40" s="433" t="n"/>
      <c r="D40" s="31" t="n"/>
      <c r="I40" s="464" t="n"/>
    </row>
    <row r="41" ht="16" customHeight="1" thickBot="1">
      <c r="A41" s="89" t="inlineStr">
        <is>
          <t xml:space="preserve">Total Expenses (D+E+F)=(G) </t>
        </is>
      </c>
      <c r="B41" s="133">
        <f>B28+B39+B40</f>
        <v/>
      </c>
      <c r="C41" s="426">
        <f>C28+C39+C40</f>
        <v/>
      </c>
      <c r="D41" s="31" t="n"/>
      <c r="I41" s="428">
        <f>I28+I39+I40</f>
        <v/>
      </c>
    </row>
    <row r="42" ht="16" customHeight="1" thickBot="1">
      <c r="A42" s="90" t="n"/>
      <c r="B42" s="159" t="n"/>
      <c r="C42" s="612" t="n"/>
      <c r="D42" s="31" t="n"/>
      <c r="I42" s="464" t="n"/>
    </row>
    <row r="43" ht="16" customHeight="1">
      <c r="A43" s="93" t="inlineStr">
        <is>
          <t>RETURNS PER ACRE</t>
        </is>
      </c>
      <c r="B43" s="123" t="n"/>
      <c r="C43" s="515" t="n"/>
      <c r="D43" s="31" t="n"/>
      <c r="I43" s="465" t="n"/>
    </row>
    <row r="44" ht="16" customHeight="1">
      <c r="A44" s="49" t="inlineStr">
        <is>
          <t xml:space="preserve"> Return over Variable Expenses (C-D) </t>
        </is>
      </c>
      <c r="B44" s="105">
        <f>B9-B28</f>
        <v/>
      </c>
      <c r="C44" s="453">
        <f>C9-C28</f>
        <v/>
      </c>
      <c r="D44" s="31" t="n"/>
      <c r="I44" s="467">
        <f>I9-I28</f>
        <v/>
      </c>
    </row>
    <row r="45" ht="16" customHeight="1" thickBot="1">
      <c r="A45" s="737" t="inlineStr">
        <is>
          <t xml:space="preserve"> Return over Total Expenses (C-G)</t>
        </is>
      </c>
      <c r="B45" s="160">
        <f>B9-B41</f>
        <v/>
      </c>
      <c r="C45" s="456">
        <f>C9-C41</f>
        <v/>
      </c>
      <c r="D45" s="31" t="n"/>
      <c r="I45" s="468">
        <f>I9-I41</f>
        <v/>
      </c>
    </row>
    <row r="46" ht="16" customHeight="1" thickBot="1">
      <c r="A46" s="73" t="n"/>
      <c r="B46" s="159" t="n"/>
      <c r="C46" s="612" t="n"/>
      <c r="D46" s="31" t="n"/>
      <c r="I46" s="464" t="n"/>
    </row>
    <row r="47" ht="16" customHeight="1">
      <c r="A47" s="96" t="inlineStr">
        <is>
          <t>BREAK-EVEN YIELD (lbs./ac.)</t>
        </is>
      </c>
      <c r="B47" s="161" t="n"/>
      <c r="C47" s="517" t="n"/>
      <c r="D47" s="31" t="n"/>
      <c r="I47" s="465" t="n"/>
    </row>
    <row r="48" ht="16" customHeight="1">
      <c r="A48" s="73" t="inlineStr">
        <is>
          <t>To Cover Variable Expenses</t>
        </is>
      </c>
      <c r="B48" s="162">
        <f>ROUND((B28)/B8,2)</f>
        <v/>
      </c>
      <c r="C48" s="613">
        <f>ROUND((C28)/C8,2)</f>
        <v/>
      </c>
      <c r="D48" s="31" t="n"/>
      <c r="I48" s="527">
        <f>ROUND((I28)/I8,2)</f>
        <v/>
      </c>
    </row>
    <row r="49" ht="16" customHeight="1" thickBot="1">
      <c r="A49" s="164" t="inlineStr">
        <is>
          <t>To Cover Total Expenses</t>
        </is>
      </c>
      <c r="B49" s="165">
        <f>ROUND(B41/B8,2)</f>
        <v/>
      </c>
      <c r="C49" s="614">
        <f>ROUND(C41/C8,2)</f>
        <v/>
      </c>
      <c r="D49" s="31" t="n"/>
      <c r="I49" s="528">
        <f>ROUND(I41/I8,2)</f>
        <v/>
      </c>
    </row>
    <row r="50" ht="16" customHeight="1" thickBot="1">
      <c r="A50" s="73" t="n"/>
      <c r="B50" s="873" t="n"/>
      <c r="C50" s="833" t="n"/>
      <c r="D50" s="31" t="n"/>
      <c r="I50" s="464" t="n"/>
    </row>
    <row r="51" ht="16" customHeight="1">
      <c r="A51" s="96" t="inlineStr">
        <is>
          <t>BREAK-EVEN PRICE ($/lb.)</t>
        </is>
      </c>
      <c r="B51" s="161" t="n"/>
      <c r="C51" s="517" t="n"/>
      <c r="D51" s="31" t="n"/>
      <c r="I51" s="465" t="n"/>
    </row>
    <row r="52" ht="16" customHeight="1">
      <c r="A52" s="73" t="inlineStr">
        <is>
          <t>To Cover Variable Expenses</t>
        </is>
      </c>
      <c r="B52" s="16">
        <f>ROUND((B28)/B7,2)</f>
        <v/>
      </c>
      <c r="C52" s="453">
        <f>ROUND((C28)/C7,2)</f>
        <v/>
      </c>
      <c r="D52" s="31" t="n"/>
      <c r="I52" s="467">
        <f>ROUND((I28)/I7,2)</f>
        <v/>
      </c>
    </row>
    <row r="53" ht="16" customHeight="1" thickBot="1">
      <c r="A53" s="164" t="inlineStr">
        <is>
          <t>To Cover Total Expenses</t>
        </is>
      </c>
      <c r="B53" s="18">
        <f>ROUND(B41/B7,2)</f>
        <v/>
      </c>
      <c r="C53" s="456">
        <f>ROUND(C41/C7,2)</f>
        <v/>
      </c>
      <c r="D53" s="31" t="n"/>
      <c r="I53" s="468">
        <f>ROUND(I41/I7,2)</f>
        <v/>
      </c>
    </row>
    <row r="54" ht="16" customHeight="1" thickBot="1">
      <c r="A54" s="168" t="n"/>
      <c r="B54" s="17" t="n"/>
      <c r="C54" s="612" t="n"/>
      <c r="D54" s="31" t="n"/>
    </row>
    <row r="55" ht="16" customHeight="1">
      <c r="A55" s="47" t="inlineStr">
        <is>
          <t>YIELD SENSITIVITY (same expenses but average yield)</t>
        </is>
      </c>
      <c r="B55" s="169" t="n"/>
      <c r="C55" s="604" t="n"/>
      <c r="D55" s="31" t="n"/>
    </row>
    <row r="56" ht="16" customHeight="1">
      <c r="A56" s="170" t="inlineStr">
        <is>
          <t>Provincial average yield (lb./ac)</t>
        </is>
      </c>
      <c r="B56" s="171" t="n"/>
      <c r="C56" s="472">
        <f>I7</f>
        <v/>
      </c>
      <c r="D56" s="31" t="n"/>
    </row>
    <row r="57" ht="16" customHeight="1">
      <c r="A57" s="170" t="inlineStr">
        <is>
          <t xml:space="preserve"> Return over Variable Expenses </t>
        </is>
      </c>
      <c r="B57" s="171" t="n"/>
      <c r="C57" s="472">
        <f>I44</f>
        <v/>
      </c>
      <c r="D57" s="31" t="n"/>
    </row>
    <row r="58" ht="16" customHeight="1" thickBot="1">
      <c r="A58" s="845" t="inlineStr">
        <is>
          <t xml:space="preserve"> Return over Total Expenses </t>
        </is>
      </c>
      <c r="B58" s="173" t="n"/>
      <c r="C58" s="430">
        <f>I45</f>
        <v/>
      </c>
      <c r="D58" s="750" t="n"/>
    </row>
    <row r="59" ht="16" customHeight="1">
      <c r="A59" s="874" t="inlineStr">
        <is>
          <t>*These other costs are carried for two years because caraway is a biennial crop. If a cover crop is grown and harvested in the first year, these costs could be halved.</t>
        </is>
      </c>
      <c r="B59" s="17" t="n"/>
      <c r="C59" s="17" t="n"/>
    </row>
    <row r="60" ht="16" customHeight="1">
      <c r="A60" s="22" t="inlineStr">
        <is>
          <t>**Farm managers need to determine their own actual labour and management costs and add it to total expenses.</t>
        </is>
      </c>
      <c r="B60" s="17" t="n"/>
      <c r="C60" s="17" t="n"/>
    </row>
    <row r="61">
      <c r="A61" s="22" t="n"/>
      <c r="B61" s="175" t="n"/>
      <c r="C61" s="175" t="n"/>
    </row>
    <row r="62">
      <c r="A62" s="22" t="n"/>
      <c r="B62" s="24" t="n"/>
      <c r="C62" s="419" t="n"/>
    </row>
    <row r="63">
      <c r="A63" s="24" t="n"/>
      <c r="B63" s="24" t="n"/>
      <c r="C63" s="419" t="n"/>
    </row>
    <row r="64">
      <c r="A64" s="24" t="n"/>
      <c r="B64" s="24" t="n"/>
      <c r="C64" s="24" t="n"/>
    </row>
    <row r="65">
      <c r="A65" s="176" t="n"/>
      <c r="B65" s="177" t="n"/>
      <c r="C65" s="177" t="n"/>
    </row>
    <row r="66">
      <c r="A66" s="176" t="n"/>
      <c r="B66" s="178" t="n"/>
      <c r="C66" s="178" t="n"/>
    </row>
  </sheetData>
  <mergeCells count="2">
    <mergeCell ref="D4:D58"/>
    <mergeCell ref="B3:D3"/>
  </mergeCells>
  <pageMargins left="0.7" right="0.7" top="0.75" bottom="0.75" header="0.3" footer="0.3"/>
  <pageSetup orientation="portrait"/>
</worksheet>
</file>

<file path=xl/worksheets/sheet33.xml><?xml version="1.0" encoding="utf-8"?>
<worksheet xmlns="http://schemas.openxmlformats.org/spreadsheetml/2006/main">
  <sheetPr>
    <outlinePr summaryBelow="1" summaryRight="1"/>
    <pageSetUpPr/>
  </sheetPr>
  <dimension ref="A1:I66"/>
  <sheetViews>
    <sheetView showGridLines="0" topLeftCell="A39" workbookViewId="0">
      <selection activeCell="C28" sqref="C28"/>
    </sheetView>
  </sheetViews>
  <sheetFormatPr baseColWidth="8" defaultRowHeight="16" customHeight="1"/>
  <cols>
    <col width="55.7109375" customWidth="1" min="1" max="1"/>
    <col width="10" bestFit="1" customWidth="1" min="2" max="3"/>
    <col width="48" customWidth="1" min="4" max="4"/>
    <col width="12.5703125" bestFit="1" customWidth="1" min="7" max="7"/>
    <col width="12.28515625" customWidth="1" min="9" max="9"/>
  </cols>
  <sheetData>
    <row r="1" ht="16" customHeight="1">
      <c r="A1" s="150" t="inlineStr">
        <is>
          <t>CORIANDER PRODUCTION COSTS ($/ACRE) FOR SASKATCHEWAN 2026</t>
        </is>
      </c>
      <c r="B1" s="150" t="n"/>
      <c r="C1" s="150" t="n"/>
    </row>
    <row r="2" ht="16" customHeight="1" thickBot="1">
      <c r="A2" s="151" t="n"/>
      <c r="B2" s="151" t="inlineStr">
        <is>
          <t>Economics</t>
        </is>
      </c>
      <c r="C2" s="151" t="n"/>
      <c r="D2" s="620" t="inlineStr">
        <is>
          <t>Agronomics</t>
        </is>
      </c>
    </row>
    <row r="3" ht="16" customHeight="1" thickBot="1">
      <c r="A3" s="153" t="inlineStr">
        <is>
          <t>CROP</t>
        </is>
      </c>
      <c r="B3" s="861" t="inlineStr">
        <is>
          <t>CORIANDER</t>
        </is>
      </c>
      <c r="C3" s="680" t="n"/>
      <c r="D3" s="681" t="n"/>
    </row>
    <row r="4" ht="16" customHeight="1" thickBot="1">
      <c r="A4" s="154" t="n"/>
      <c r="B4" s="862" t="inlineStr">
        <is>
          <t>My farm</t>
        </is>
      </c>
      <c r="C4" s="862" t="inlineStr">
        <is>
          <t>80th percentile</t>
        </is>
      </c>
      <c r="D4" s="836" t="inlineStr">
        <is>
          <t xml:space="preserve">Seeding: A seed rate of 25 lb./ac. is used. The dark brown soil zone is recommended.
Fertilization: Fertility costs are based on nutrient removal rates given the targeted crop yield. These are: 49 lb./ac. N and 28 lb./ac. P2O5. Producers are encouraged to use their own rates based on soil tests. 
Crop Rotation: Crop rotation can be used to reduce disease pressure. Crops in the carrot family are very sensitive to Group 2 residues in the soil. Please refer to the Ministry’s Guide to Crop Protection available at saskatchewan.ca/crops for more information.
Crop Protection                                                   Insect control: A limited number of products are registered for aphid and slug control.
Disease control: Blossom blight can result in yield losses when conditions favour disease development. A single application of fungicide for blossom blight management is included in this estimate. Fungicide applications should be made based on disease risk during the growing season. 
Weed control: Herbicide costs are based on the following herbicide timings. Please refer to general assumptions for details.  Please insert Herbicide application window. 
</t>
        </is>
      </c>
      <c r="I4" s="271" t="inlineStr">
        <is>
          <t>Average Yield</t>
        </is>
      </c>
    </row>
    <row r="5" ht="16" customHeight="1" thickBot="1">
      <c r="A5" s="863" t="inlineStr">
        <is>
          <t>Soil Zone</t>
        </is>
      </c>
      <c r="B5" s="156" t="n"/>
      <c r="C5" s="887" t="inlineStr">
        <is>
          <t>DkBrown</t>
        </is>
      </c>
      <c r="D5" s="31" t="n"/>
      <c r="I5" s="889" t="inlineStr">
        <is>
          <t>DkBrown</t>
        </is>
      </c>
    </row>
    <row r="6" ht="16" customHeight="1">
      <c r="A6" s="96" t="inlineStr">
        <is>
          <t>REVENUE PER ACRE</t>
        </is>
      </c>
      <c r="B6" s="123" t="n"/>
      <c r="C6" s="136" t="n"/>
      <c r="D6" s="31" t="n"/>
      <c r="I6" s="31" t="n"/>
    </row>
    <row r="7" ht="16" customHeight="1">
      <c r="A7" s="689" t="inlineStr">
        <is>
          <t>Target Yield (lb./ac.) (A)</t>
        </is>
      </c>
      <c r="B7" s="120" t="n"/>
      <c r="C7" s="918" t="n">
        <v>1199.3146944</v>
      </c>
      <c r="D7" s="31" t="n"/>
      <c r="I7" s="693" t="n">
        <v>845.9719516547772</v>
      </c>
    </row>
    <row r="8" ht="16" customHeight="1" thickBot="1">
      <c r="A8" s="689" t="inlineStr">
        <is>
          <t>Est. Farm Gate Price $/lb. (B)</t>
        </is>
      </c>
      <c r="B8" s="121" t="n"/>
      <c r="C8" s="922" t="n">
        <v>0.58</v>
      </c>
      <c r="D8" s="31" t="n"/>
      <c r="I8" s="427">
        <f>C8</f>
        <v/>
      </c>
    </row>
    <row r="9" ht="16" customHeight="1" thickBot="1">
      <c r="A9" s="70" t="inlineStr">
        <is>
          <t>Estimated Gross Revenue/ac (AxB)=C</t>
        </is>
      </c>
      <c r="B9" s="158">
        <f>ROUND((B8*B7),2)</f>
        <v/>
      </c>
      <c r="C9" s="588">
        <f>ROUND((C8*C7),2)</f>
        <v/>
      </c>
      <c r="D9" s="31" t="n"/>
      <c r="I9" s="474">
        <f>ROUND((I8*I7),2)</f>
        <v/>
      </c>
    </row>
    <row r="10">
      <c r="A10" s="67" t="n"/>
      <c r="B10" s="119" t="n"/>
      <c r="C10" s="362" t="n"/>
      <c r="D10" s="31" t="n"/>
      <c r="I10" s="464" t="n"/>
    </row>
    <row r="11" ht="16" customHeight="1">
      <c r="A11" s="73" t="inlineStr">
        <is>
          <t>EXPENSES PER ACRE</t>
        </is>
      </c>
      <c r="B11" s="119" t="n"/>
      <c r="C11" s="362" t="n"/>
      <c r="D11" s="31" t="n"/>
      <c r="I11" s="464" t="n"/>
    </row>
    <row r="12" ht="16" customHeight="1">
      <c r="A12" s="73" t="inlineStr">
        <is>
          <t>Variable Expenses/acre</t>
        </is>
      </c>
      <c r="B12" s="119" t="n"/>
      <c r="C12" s="362" t="n"/>
      <c r="D12" s="31" t="n"/>
      <c r="I12" s="464" t="n"/>
    </row>
    <row r="13" ht="16" customHeight="1">
      <c r="A13" s="689" t="inlineStr">
        <is>
          <t>Seed</t>
        </is>
      </c>
      <c r="B13" s="124" t="n"/>
      <c r="C13" s="605" t="n">
        <v>14.5</v>
      </c>
      <c r="D13" s="31" t="n"/>
      <c r="I13" s="427">
        <f>C13</f>
        <v/>
      </c>
    </row>
    <row r="14" ht="16" customHeight="1">
      <c r="A14" s="689" t="inlineStr">
        <is>
          <t xml:space="preserve">                     -Seed Treatments/Inoculants</t>
        </is>
      </c>
      <c r="B14" s="124" t="n"/>
      <c r="C14" s="605" t="n">
        <v>0</v>
      </c>
      <c r="D14" s="31" t="n"/>
      <c r="I14" s="427">
        <f>C14</f>
        <v/>
      </c>
    </row>
    <row r="15" ht="16" customHeight="1">
      <c r="A15" s="689" t="inlineStr">
        <is>
          <t>Fertilizer -Nitrogen (N)</t>
        </is>
      </c>
      <c r="B15" s="124" t="n"/>
      <c r="C15" s="920" t="n">
        <v>40.11481101554486</v>
      </c>
      <c r="D15" s="31" t="n"/>
      <c r="I15" s="427">
        <f>C15</f>
        <v/>
      </c>
    </row>
    <row r="16" ht="16" customHeight="1">
      <c r="A16" s="689" t="inlineStr">
        <is>
          <t xml:space="preserve">               -Phosphorous (P2O5)</t>
        </is>
      </c>
      <c r="B16" s="124" t="n"/>
      <c r="C16" s="920" t="n">
        <v>26.9113924818967</v>
      </c>
      <c r="D16" s="31" t="n"/>
      <c r="I16" s="427">
        <f>C16</f>
        <v/>
      </c>
    </row>
    <row r="17" ht="16" customHeight="1">
      <c r="A17" s="689" t="inlineStr">
        <is>
          <t xml:space="preserve">               -Sulphur and Other</t>
        </is>
      </c>
      <c r="B17" s="125" t="n"/>
      <c r="C17" s="921" t="n">
        <v>0</v>
      </c>
      <c r="D17" s="31" t="n"/>
      <c r="I17" s="427">
        <f>C17</f>
        <v/>
      </c>
    </row>
    <row r="18" ht="16" customHeight="1">
      <c r="A18" s="689" t="inlineStr">
        <is>
          <t>Plant Protection -Herbicides</t>
        </is>
      </c>
      <c r="B18" s="124" t="n"/>
      <c r="C18" s="605" t="n">
        <v>78.32057867841409</v>
      </c>
      <c r="D18" s="31" t="n"/>
      <c r="I18" s="427">
        <f>C18</f>
        <v/>
      </c>
    </row>
    <row r="19" ht="16" customHeight="1">
      <c r="A19" s="689" t="inlineStr">
        <is>
          <t xml:space="preserve">                     -Insecticides</t>
        </is>
      </c>
      <c r="B19" s="124" t="n"/>
      <c r="C19" s="605" t="n">
        <v>0</v>
      </c>
      <c r="D19" s="31" t="n"/>
      <c r="I19" s="427">
        <f>C19</f>
        <v/>
      </c>
    </row>
    <row r="20" ht="16" customHeight="1">
      <c r="A20" s="689" t="inlineStr">
        <is>
          <t xml:space="preserve">                     -Fungicides</t>
        </is>
      </c>
      <c r="B20" s="124" t="n"/>
      <c r="C20" s="605" t="n">
        <v>34.99</v>
      </c>
      <c r="D20" s="31" t="n"/>
      <c r="I20" s="427">
        <f>C20</f>
        <v/>
      </c>
    </row>
    <row r="21" ht="16" customHeight="1">
      <c r="A21" s="689" t="inlineStr">
        <is>
          <t>Machinery Operating -Fuel</t>
        </is>
      </c>
      <c r="B21" s="125" t="n"/>
      <c r="C21" s="922" t="n">
        <v>23.62028983333333</v>
      </c>
      <c r="D21" s="31" t="n"/>
      <c r="I21" s="427">
        <f>C21</f>
        <v/>
      </c>
    </row>
    <row r="22" ht="16" customHeight="1">
      <c r="A22" s="689" t="inlineStr">
        <is>
          <t xml:space="preserve">                                  -Repair</t>
        </is>
      </c>
      <c r="B22" s="124" t="n"/>
      <c r="C22" s="605" t="n">
        <v>13.03949744699887</v>
      </c>
      <c r="D22" s="31" t="n"/>
      <c r="I22" s="427">
        <f>C22</f>
        <v/>
      </c>
    </row>
    <row r="23" ht="16" customHeight="1">
      <c r="A23" s="689" t="inlineStr">
        <is>
          <t>Custom Work and Hired Labour</t>
        </is>
      </c>
      <c r="B23" s="124" t="n"/>
      <c r="C23" s="605" t="n">
        <v>21</v>
      </c>
      <c r="D23" s="31" t="n"/>
      <c r="I23" s="427">
        <f>C23</f>
        <v/>
      </c>
    </row>
    <row r="24" ht="16" customHeight="1">
      <c r="A24" s="689" t="inlineStr">
        <is>
          <t>Crop Insurance Premium</t>
        </is>
      </c>
      <c r="B24" s="126" t="n"/>
      <c r="C24" s="923" t="n">
        <v>10.80995278070739</v>
      </c>
      <c r="D24" s="31" t="n"/>
      <c r="I24" s="427">
        <f>C24</f>
        <v/>
      </c>
    </row>
    <row r="25" ht="16" customHeight="1">
      <c r="A25" s="689" t="inlineStr">
        <is>
          <t>Hail Insurance Premium</t>
        </is>
      </c>
      <c r="B25" s="126" t="n"/>
      <c r="C25" s="923" t="n">
        <v>14</v>
      </c>
      <c r="D25" s="31" t="n"/>
      <c r="I25" s="427">
        <f>C25</f>
        <v/>
      </c>
    </row>
    <row r="26" ht="16" customHeight="1">
      <c r="A26" s="689" t="inlineStr">
        <is>
          <t>Utilities and Miscellaneous</t>
        </is>
      </c>
      <c r="B26" s="125" t="n"/>
      <c r="C26" s="922" t="n">
        <v>5.768849384517721</v>
      </c>
      <c r="D26" s="31" t="n"/>
      <c r="I26" s="427">
        <f>C26</f>
        <v/>
      </c>
    </row>
    <row r="27" ht="16" customHeight="1" thickBot="1">
      <c r="A27" s="689" t="inlineStr">
        <is>
          <t>Interest on Variable Expenses</t>
        </is>
      </c>
      <c r="B27" s="124" t="n"/>
      <c r="C27" s="605" t="n">
        <v>10.71912073873084</v>
      </c>
      <c r="D27" s="31" t="n"/>
      <c r="I27" s="427">
        <f>C27</f>
        <v/>
      </c>
    </row>
    <row r="28" ht="16" customHeight="1" thickBot="1">
      <c r="A28" s="70" t="inlineStr">
        <is>
          <t>Total Variable Expenses (D)</t>
        </is>
      </c>
      <c r="B28" s="133">
        <f>SUM(B13:B27)</f>
        <v/>
      </c>
      <c r="C28" s="595">
        <f>SUM(C13:C27)</f>
        <v/>
      </c>
      <c r="D28" s="31" t="n"/>
      <c r="I28" s="428">
        <f>SUM(I13:I27)</f>
        <v/>
      </c>
    </row>
    <row r="29">
      <c r="A29" s="67" t="n"/>
      <c r="B29" s="119" t="n"/>
      <c r="C29" s="362" t="n"/>
      <c r="D29" s="31" t="n"/>
      <c r="I29" s="464" t="n"/>
    </row>
    <row r="30" ht="16" customHeight="1">
      <c r="A30" s="73" t="inlineStr">
        <is>
          <t>Other Expenses/acre</t>
        </is>
      </c>
      <c r="B30" s="119" t="n"/>
      <c r="C30" s="362" t="n"/>
      <c r="D30" s="31" t="n"/>
      <c r="I30" s="464" t="n"/>
    </row>
    <row r="31" ht="16" customHeight="1">
      <c r="A31" s="689" t="inlineStr">
        <is>
          <t>Building Repair</t>
        </is>
      </c>
      <c r="B31" s="866" t="n"/>
      <c r="C31" s="929" t="n">
        <v>0.9756414253534748</v>
      </c>
      <c r="D31" s="31" t="n"/>
      <c r="I31" s="776">
        <f>C31</f>
        <v/>
      </c>
    </row>
    <row r="32" ht="16" customHeight="1">
      <c r="A32" s="689" t="inlineStr">
        <is>
          <t>Property Taxes</t>
        </is>
      </c>
      <c r="B32" s="868" t="n"/>
      <c r="C32" s="928" t="n">
        <v>6.642698188180902</v>
      </c>
      <c r="D32" s="31" t="n"/>
      <c r="I32" s="776">
        <f>C32</f>
        <v/>
      </c>
    </row>
    <row r="33" ht="16" customHeight="1">
      <c r="A33" s="689" t="inlineStr">
        <is>
          <t>Business Overhead</t>
        </is>
      </c>
      <c r="B33" s="869" t="n"/>
      <c r="C33" s="929" t="n">
        <v>3.986427684117127</v>
      </c>
      <c r="D33" s="31" t="n"/>
      <c r="I33" s="776">
        <f>C33</f>
        <v/>
      </c>
    </row>
    <row r="34" ht="16" customHeight="1">
      <c r="A34" s="689" t="inlineStr">
        <is>
          <t>Machinery Depreciation</t>
        </is>
      </c>
      <c r="B34" s="870" t="n"/>
      <c r="C34" s="928" t="n">
        <v>53.66254718572614</v>
      </c>
      <c r="D34" s="31" t="n"/>
      <c r="I34" s="776">
        <f>C34</f>
        <v/>
      </c>
    </row>
    <row r="35" ht="16" customHeight="1">
      <c r="A35" s="689" t="inlineStr">
        <is>
          <t>Building Depreciation</t>
        </is>
      </c>
      <c r="B35" s="866" t="n"/>
      <c r="C35" s="929" t="n">
        <v>1.9</v>
      </c>
      <c r="D35" s="31" t="n"/>
      <c r="I35" s="776">
        <f>C35</f>
        <v/>
      </c>
    </row>
    <row r="36" ht="16" customHeight="1">
      <c r="A36" s="689" t="inlineStr">
        <is>
          <t>Machinery Investment</t>
        </is>
      </c>
      <c r="B36" s="870" t="n"/>
      <c r="C36" s="928" t="n">
        <v>33.85254144893939</v>
      </c>
      <c r="D36" s="31" t="n"/>
      <c r="I36" s="776">
        <f>C36</f>
        <v/>
      </c>
    </row>
    <row r="37" ht="16" customHeight="1">
      <c r="A37" s="689" t="inlineStr">
        <is>
          <t>Building Investment</t>
        </is>
      </c>
      <c r="B37" s="866" t="n"/>
      <c r="C37" s="929" t="n">
        <v>1.737866666666666</v>
      </c>
      <c r="D37" s="31" t="n"/>
      <c r="I37" s="776">
        <f>C37</f>
        <v/>
      </c>
    </row>
    <row r="38" ht="16" customHeight="1" thickBot="1">
      <c r="A38" s="689" t="inlineStr">
        <is>
          <t>Land Investment</t>
        </is>
      </c>
      <c r="B38" s="868" t="n"/>
      <c r="C38" s="928" t="n">
        <v>80.65649999999999</v>
      </c>
      <c r="D38" s="31" t="n"/>
      <c r="I38" s="776">
        <f>C38</f>
        <v/>
      </c>
    </row>
    <row r="39" ht="16" customHeight="1" thickBot="1">
      <c r="A39" s="70" t="inlineStr">
        <is>
          <t>Total Other Expenses (E)</t>
        </is>
      </c>
      <c r="B39" s="133">
        <f>SUM(B31:B38)</f>
        <v/>
      </c>
      <c r="C39" s="595">
        <f>SUM(C31:C38)</f>
        <v/>
      </c>
      <c r="D39" s="31" t="n"/>
      <c r="I39" s="428">
        <f>SUM(I31:I38)</f>
        <v/>
      </c>
    </row>
    <row r="40" ht="16" customHeight="1" thickBot="1">
      <c r="A40" s="764" t="inlineStr">
        <is>
          <t>Labour and Management (F)*</t>
        </is>
      </c>
      <c r="B40" s="125" t="n"/>
      <c r="C40" s="607" t="n"/>
      <c r="D40" s="31" t="n"/>
      <c r="I40" s="464" t="n"/>
    </row>
    <row r="41" ht="16" customHeight="1" thickBot="1">
      <c r="A41" s="89" t="inlineStr">
        <is>
          <t xml:space="preserve">Total Expenses (D+E+F)=(G) </t>
        </is>
      </c>
      <c r="B41" s="133">
        <f>B28+B39+B40</f>
        <v/>
      </c>
      <c r="C41" s="582">
        <f>C28+C39+C40</f>
        <v/>
      </c>
      <c r="D41" s="31" t="n"/>
      <c r="I41" s="428">
        <f>I28+I39+I40</f>
        <v/>
      </c>
    </row>
    <row r="42" ht="16" customHeight="1" thickBot="1">
      <c r="A42" s="90" t="n"/>
      <c r="B42" s="159" t="n"/>
      <c r="C42" s="600" t="n"/>
      <c r="D42" s="31" t="n"/>
      <c r="I42" s="464" t="n"/>
    </row>
    <row r="43" ht="16" customHeight="1">
      <c r="A43" s="93" t="inlineStr">
        <is>
          <t>RETURNS PER ACRE</t>
        </is>
      </c>
      <c r="B43" s="123" t="n"/>
      <c r="C43" s="601" t="n"/>
      <c r="D43" s="31" t="n"/>
      <c r="I43" s="465" t="n"/>
    </row>
    <row r="44" ht="16" customHeight="1">
      <c r="A44" s="49" t="inlineStr">
        <is>
          <t xml:space="preserve"> Return over Variable Expenses (C-D) </t>
        </is>
      </c>
      <c r="B44" s="105">
        <f>B9-B28</f>
        <v/>
      </c>
      <c r="C44" s="467">
        <f>C9-C28</f>
        <v/>
      </c>
      <c r="D44" s="31" t="n"/>
      <c r="I44" s="467">
        <f>I9-I28</f>
        <v/>
      </c>
    </row>
    <row r="45" ht="16" customHeight="1" thickBot="1">
      <c r="A45" s="737" t="inlineStr">
        <is>
          <t xml:space="preserve"> Return over Total Expenses (C-G)</t>
        </is>
      </c>
      <c r="B45" s="160">
        <f>B9-B41</f>
        <v/>
      </c>
      <c r="C45" s="468">
        <f>C9-C41</f>
        <v/>
      </c>
      <c r="D45" s="31" t="n"/>
      <c r="I45" s="468">
        <f>I9-I41</f>
        <v/>
      </c>
    </row>
    <row r="46" ht="16" customHeight="1" thickBot="1">
      <c r="A46" s="73" t="n"/>
      <c r="B46" s="159" t="n"/>
      <c r="C46" s="600" t="n"/>
      <c r="D46" s="31" t="n"/>
      <c r="I46" s="464" t="n"/>
    </row>
    <row r="47" ht="16" customHeight="1">
      <c r="A47" s="96" t="inlineStr">
        <is>
          <t>BREAK-EVEN YIELD (lbs./ac.)</t>
        </is>
      </c>
      <c r="B47" s="161" t="n"/>
      <c r="C47" s="602" t="n"/>
      <c r="D47" s="31" t="n"/>
      <c r="I47" s="465" t="n"/>
    </row>
    <row r="48" ht="16" customHeight="1">
      <c r="A48" s="73" t="inlineStr">
        <is>
          <t>To Cover Variable Expenses</t>
        </is>
      </c>
      <c r="B48" s="99">
        <f>ROUND((B28)/B8,2)</f>
        <v/>
      </c>
      <c r="C48" s="467">
        <f>ROUND((C28)/C8,2)</f>
        <v/>
      </c>
      <c r="D48" s="31" t="n"/>
      <c r="I48" s="467">
        <f>ROUND((I28)/I8,2)</f>
        <v/>
      </c>
    </row>
    <row r="49" ht="16" customHeight="1" thickBot="1">
      <c r="A49" s="164" t="inlineStr">
        <is>
          <t>To Cover Total Expenses</t>
        </is>
      </c>
      <c r="B49" s="100">
        <f>ROUND(B41/B8,2)</f>
        <v/>
      </c>
      <c r="C49" s="468">
        <f>ROUND(C41/C8,2)</f>
        <v/>
      </c>
      <c r="D49" s="31" t="n"/>
      <c r="I49" s="468">
        <f>ROUND(I41/I8,2)</f>
        <v/>
      </c>
    </row>
    <row r="50" ht="16" customHeight="1" thickBot="1">
      <c r="A50" s="73" t="n"/>
      <c r="B50" s="873" t="n"/>
      <c r="C50" s="931" t="n"/>
      <c r="D50" s="31" t="n"/>
      <c r="I50" s="464" t="n"/>
    </row>
    <row r="51" ht="16" customHeight="1">
      <c r="A51" s="96" t="inlineStr">
        <is>
          <t>BREAK-EVEN PRICE ($/lb.)</t>
        </is>
      </c>
      <c r="B51" s="187" t="n"/>
      <c r="C51" s="616" t="n"/>
      <c r="D51" s="31" t="n"/>
      <c r="I51" s="465" t="n"/>
    </row>
    <row r="52" ht="16" customHeight="1">
      <c r="A52" s="73" t="inlineStr">
        <is>
          <t>To Cover Variable Expenses</t>
        </is>
      </c>
      <c r="B52" s="99">
        <f>ROUND((B28)/B7,2)</f>
        <v/>
      </c>
      <c r="C52" s="467">
        <f>ROUND((C28)/C7,2)</f>
        <v/>
      </c>
      <c r="D52" s="31" t="n"/>
      <c r="I52" s="467">
        <f>ROUND((I28)/I7,2)</f>
        <v/>
      </c>
    </row>
    <row r="53" ht="16" customHeight="1" thickBot="1">
      <c r="A53" s="164" t="inlineStr">
        <is>
          <t>To Cover Total Expenses</t>
        </is>
      </c>
      <c r="B53" s="100">
        <f>ROUND(B41/B7,2)</f>
        <v/>
      </c>
      <c r="C53" s="468">
        <f>ROUND(C41/C7,2)</f>
        <v/>
      </c>
      <c r="D53" s="31" t="n"/>
      <c r="I53" s="468">
        <f>ROUND(I41/I7,2)</f>
        <v/>
      </c>
    </row>
    <row r="54" ht="16" customHeight="1" thickBot="1">
      <c r="A54" s="168" t="n"/>
      <c r="B54" s="17" t="n"/>
      <c r="C54" s="612" t="n"/>
      <c r="D54" s="31" t="n"/>
    </row>
    <row r="55" ht="16" customHeight="1">
      <c r="A55" s="47" t="inlineStr">
        <is>
          <t>YIELD SENSITIVITY (same expenses but average yield)</t>
        </is>
      </c>
      <c r="B55" s="169" t="n"/>
      <c r="C55" s="604" t="n"/>
      <c r="D55" s="31" t="n"/>
    </row>
    <row r="56" ht="16" customHeight="1">
      <c r="A56" s="170" t="inlineStr">
        <is>
          <t>Provincial average yield (lb./ac)</t>
        </is>
      </c>
      <c r="B56" s="171" t="n"/>
      <c r="C56" s="472">
        <f>I7</f>
        <v/>
      </c>
      <c r="D56" s="31" t="n"/>
    </row>
    <row r="57" ht="16" customHeight="1">
      <c r="A57" s="170" t="inlineStr">
        <is>
          <t xml:space="preserve"> Return over Variable Expenses </t>
        </is>
      </c>
      <c r="B57" s="171" t="n"/>
      <c r="C57" s="472">
        <f>(C56*C8)-C28</f>
        <v/>
      </c>
      <c r="D57" s="31" t="n"/>
    </row>
    <row r="58" ht="16" customHeight="1" thickBot="1">
      <c r="A58" s="845" t="inlineStr">
        <is>
          <t xml:space="preserve"> Return over Total Expenses </t>
        </is>
      </c>
      <c r="B58" s="173" t="n"/>
      <c r="C58" s="430">
        <f>(C56*C8)-C41</f>
        <v/>
      </c>
      <c r="D58" s="750" t="n"/>
    </row>
    <row r="59" ht="16" customHeight="1">
      <c r="A59" s="22" t="inlineStr">
        <is>
          <t>*Farm managers need to determine their own actual labour and management costs and add it to total expenses.</t>
        </is>
      </c>
      <c r="B59" s="17" t="n"/>
      <c r="C59" s="17" t="n"/>
    </row>
    <row r="60">
      <c r="A60" s="874" t="n"/>
      <c r="B60" s="17" t="n"/>
      <c r="C60" s="17" t="n"/>
    </row>
    <row r="61">
      <c r="A61" s="22" t="n"/>
      <c r="B61" s="175" t="n"/>
      <c r="C61" s="532" t="n"/>
    </row>
    <row r="62">
      <c r="A62" s="22" t="n"/>
      <c r="B62" s="24" t="n"/>
      <c r="C62" s="24" t="n"/>
    </row>
    <row r="63">
      <c r="A63" s="24" t="n"/>
      <c r="B63" s="24" t="n"/>
      <c r="C63" s="24" t="n"/>
    </row>
    <row r="64">
      <c r="A64" s="24" t="n"/>
      <c r="B64" s="24" t="n"/>
      <c r="C64" s="24" t="n"/>
    </row>
    <row r="65">
      <c r="A65" s="176" t="n"/>
      <c r="B65" s="177" t="n"/>
      <c r="C65" s="177" t="n"/>
    </row>
    <row r="66">
      <c r="A66" s="176" t="n"/>
      <c r="B66" s="178" t="n"/>
      <c r="C66" s="178" t="n"/>
    </row>
  </sheetData>
  <mergeCells count="2">
    <mergeCell ref="D4:D58"/>
    <mergeCell ref="B3:D3"/>
  </mergeCells>
  <pageMargins left="0.7" right="0.7" top="0.75" bottom="0.75" header="0.3" footer="0.3"/>
  <pageSetup orientation="portrait"/>
</worksheet>
</file>

<file path=xl/worksheets/sheet34.xml><?xml version="1.0" encoding="utf-8"?>
<worksheet xmlns="http://schemas.openxmlformats.org/spreadsheetml/2006/main">
  <sheetPr>
    <outlinePr summaryBelow="1" summaryRight="1"/>
    <pageSetUpPr/>
  </sheetPr>
  <dimension ref="A1:I66"/>
  <sheetViews>
    <sheetView showGridLines="0" topLeftCell="A18" workbookViewId="0">
      <selection activeCell="C28" sqref="C28"/>
    </sheetView>
  </sheetViews>
  <sheetFormatPr baseColWidth="8" defaultRowHeight="16" customHeight="1"/>
  <cols>
    <col width="55.7109375" customWidth="1" min="1" max="1"/>
    <col width="10" bestFit="1" customWidth="1" min="2" max="3"/>
    <col width="48" customWidth="1" min="4" max="4"/>
    <col width="12.28515625" customWidth="1" min="9" max="9"/>
    <col width="9.7109375" bestFit="1" customWidth="1" min="15" max="15"/>
  </cols>
  <sheetData>
    <row r="1" ht="16" customHeight="1">
      <c r="A1" s="150" t="inlineStr">
        <is>
          <t>FENUGREEK PRODUCTION COSTS ($/ACRE) FOR SASKATCHEWAN 2026</t>
        </is>
      </c>
      <c r="B1" s="150" t="n"/>
      <c r="C1" s="150" t="n"/>
    </row>
    <row r="2" ht="16" customHeight="1" thickBot="1">
      <c r="A2" s="151" t="n"/>
      <c r="B2" s="151" t="inlineStr">
        <is>
          <t>Economics</t>
        </is>
      </c>
      <c r="C2" s="151" t="n"/>
      <c r="D2" s="620" t="inlineStr">
        <is>
          <t>Agronomics</t>
        </is>
      </c>
    </row>
    <row r="3" ht="16" customHeight="1" thickBot="1">
      <c r="A3" s="153" t="inlineStr">
        <is>
          <t>CROP</t>
        </is>
      </c>
      <c r="B3" s="861" t="inlineStr">
        <is>
          <t>FENUGREEK</t>
        </is>
      </c>
      <c r="C3" s="680" t="n"/>
      <c r="D3" s="681" t="n"/>
    </row>
    <row r="4" ht="16" customHeight="1" thickBot="1">
      <c r="A4" s="154" t="n"/>
      <c r="B4" s="862" t="inlineStr">
        <is>
          <t>My farm</t>
        </is>
      </c>
      <c r="C4" s="862" t="inlineStr">
        <is>
          <t>80th percentile</t>
        </is>
      </c>
      <c r="D4" s="836" t="inlineStr">
        <is>
          <t xml:space="preserve">Seeding: A seed rate of 30 lb./ac. is used. The brown soil zone is recommended.
Fertilization: Fertility costs are based on nutrient removal rates given the targeted crop yield. These are: 3 lb./ac. N and 14 lb./ac. P2O5. Producers are encouraged to use their own rates based on soil tests. 
Crop Rotation: Crop rotation can be used to reduce disease pressure and pathogen levels in the field. 
Crop Protection                                                          Disease control:  The cost of fungicide is not included in this estimate. Disease risk assessment is encouraged to guide fungicide application decisions. 
Weed control: Fenugreek has limited herbicide options. Herbicide costs are based on the following herbicide timings. Please refer to general assumptions for details. Please insert Herbicide application window. </t>
        </is>
      </c>
      <c r="I4" s="271" t="inlineStr">
        <is>
          <t>Average Yield</t>
        </is>
      </c>
    </row>
    <row r="5" ht="16" customHeight="1" thickBot="1">
      <c r="A5" s="863" t="inlineStr">
        <is>
          <t>Soil Zone</t>
        </is>
      </c>
      <c r="B5" s="940" t="inlineStr">
        <is>
          <t>Brown</t>
        </is>
      </c>
      <c r="C5" s="940" t="inlineStr">
        <is>
          <t>Brown</t>
        </is>
      </c>
      <c r="D5" s="31" t="n"/>
      <c r="I5" s="841" t="inlineStr">
        <is>
          <t>Brown</t>
        </is>
      </c>
    </row>
    <row r="6" ht="16" customHeight="1">
      <c r="A6" s="96" t="inlineStr">
        <is>
          <t>REVENUE PER ACRE</t>
        </is>
      </c>
      <c r="B6" s="123" t="n"/>
      <c r="C6" s="123" t="n"/>
      <c r="D6" s="31" t="n"/>
      <c r="I6" s="31" t="n"/>
    </row>
    <row r="7" ht="16" customHeight="1">
      <c r="A7" s="689" t="inlineStr">
        <is>
          <t>Target Yield (lb./ac.) (A)</t>
        </is>
      </c>
      <c r="B7" s="120" t="n"/>
      <c r="C7" s="849" t="n">
        <v>1175</v>
      </c>
      <c r="D7" s="31" t="n"/>
      <c r="I7" s="941" t="n">
        <v>740.3</v>
      </c>
    </row>
    <row r="8" ht="16" customHeight="1" thickBot="1">
      <c r="A8" s="689" t="inlineStr">
        <is>
          <t>Est. Farm Gate Price $/lb. (B)</t>
        </is>
      </c>
      <c r="B8" s="121" t="n"/>
      <c r="C8" s="854" t="n">
        <v>0.33</v>
      </c>
      <c r="D8" s="31" t="n"/>
      <c r="I8" s="38">
        <f>C8</f>
        <v/>
      </c>
    </row>
    <row r="9" ht="16" customHeight="1" thickBot="1">
      <c r="A9" s="70" t="inlineStr">
        <is>
          <t>Estimated Gross Revenue/ac (AxB)=C</t>
        </is>
      </c>
      <c r="B9" s="158">
        <f>ROUND((B8*B7),2)</f>
        <v/>
      </c>
      <c r="C9" s="158">
        <f>ROUND((C8*C7),2)</f>
        <v/>
      </c>
      <c r="D9" s="31" t="n"/>
      <c r="I9" s="40">
        <f>ROUND((I8*I7),2)</f>
        <v/>
      </c>
    </row>
    <row r="10">
      <c r="A10" s="67" t="n"/>
      <c r="B10" s="119" t="n"/>
      <c r="C10" s="119" t="n"/>
      <c r="D10" s="31" t="n"/>
      <c r="I10" s="31" t="n"/>
    </row>
    <row r="11" ht="16" customHeight="1">
      <c r="A11" s="73" t="inlineStr">
        <is>
          <t>EXPENSES PER ACRE</t>
        </is>
      </c>
      <c r="B11" s="119" t="n"/>
      <c r="C11" s="119" t="n"/>
      <c r="D11" s="31" t="n"/>
      <c r="I11" s="31" t="n"/>
    </row>
    <row r="12" ht="16" customHeight="1">
      <c r="A12" s="73" t="inlineStr">
        <is>
          <t>Variable Expenses/acre</t>
        </is>
      </c>
      <c r="B12" s="119" t="n"/>
      <c r="C12" s="119" t="n"/>
      <c r="D12" s="31" t="n"/>
      <c r="I12" s="31" t="n"/>
    </row>
    <row r="13" ht="16" customHeight="1">
      <c r="A13" s="689" t="inlineStr">
        <is>
          <t>Seed</t>
        </is>
      </c>
      <c r="B13" s="124" t="n"/>
      <c r="C13" s="851" t="n">
        <v>15</v>
      </c>
      <c r="D13" s="31" t="n"/>
      <c r="I13" s="38">
        <f>C13</f>
        <v/>
      </c>
    </row>
    <row r="14" ht="16" customHeight="1">
      <c r="A14" s="689" t="inlineStr">
        <is>
          <t xml:space="preserve">                     -Seed Treatments/Inoculants</t>
        </is>
      </c>
      <c r="B14" s="124" t="n"/>
      <c r="C14" s="851" t="n">
        <v>0</v>
      </c>
      <c r="D14" s="31" t="n"/>
      <c r="I14" s="38">
        <f>C14</f>
        <v/>
      </c>
    </row>
    <row r="15" ht="16" customHeight="1">
      <c r="A15" s="689" t="inlineStr">
        <is>
          <t>Fertilizer -Nitrogen (N)</t>
        </is>
      </c>
      <c r="B15" s="124" t="n"/>
      <c r="C15" s="852" t="n">
        <v>2.45600883768642</v>
      </c>
      <c r="D15" s="31" t="n"/>
      <c r="I15" s="38">
        <f>C15</f>
        <v/>
      </c>
    </row>
    <row r="16" ht="16" customHeight="1">
      <c r="A16" s="689" t="inlineStr">
        <is>
          <t xml:space="preserve">               -Phosphorous (P2O5)</t>
        </is>
      </c>
      <c r="B16" s="124" t="n"/>
      <c r="C16" s="852" t="n">
        <v>13.45569624094835</v>
      </c>
      <c r="D16" s="31" t="n"/>
      <c r="I16" s="38">
        <f>C16</f>
        <v/>
      </c>
    </row>
    <row r="17" ht="16" customHeight="1">
      <c r="A17" s="689" t="inlineStr">
        <is>
          <t xml:space="preserve">               -Sulphur and Other</t>
        </is>
      </c>
      <c r="B17" s="125" t="n"/>
      <c r="C17" s="853" t="n">
        <v>0</v>
      </c>
      <c r="D17" s="31" t="n"/>
      <c r="I17" s="38">
        <f>C17</f>
        <v/>
      </c>
    </row>
    <row r="18" ht="16" customHeight="1">
      <c r="A18" s="689" t="inlineStr">
        <is>
          <t>Plant Protection -Herbicides</t>
        </is>
      </c>
      <c r="B18" s="124" t="n"/>
      <c r="C18" s="851" t="n">
        <v>33.20625</v>
      </c>
      <c r="D18" s="31" t="n"/>
      <c r="I18" s="38">
        <f>C18</f>
        <v/>
      </c>
    </row>
    <row r="19" ht="16" customHeight="1">
      <c r="A19" s="689" t="inlineStr">
        <is>
          <t xml:space="preserve">                     -Insecticides</t>
        </is>
      </c>
      <c r="B19" s="124" t="n"/>
      <c r="C19" s="851" t="n">
        <v>0</v>
      </c>
      <c r="D19" s="31" t="n"/>
      <c r="I19" s="38">
        <f>C19</f>
        <v/>
      </c>
    </row>
    <row r="20" ht="16" customHeight="1">
      <c r="A20" s="689" t="inlineStr">
        <is>
          <t xml:space="preserve">                     -Fungicides</t>
        </is>
      </c>
      <c r="B20" s="124" t="n"/>
      <c r="C20" s="851" t="n">
        <v>0</v>
      </c>
      <c r="D20" s="31" t="n"/>
      <c r="I20" s="38">
        <f>C20</f>
        <v/>
      </c>
    </row>
    <row r="21" ht="16" customHeight="1">
      <c r="A21" s="689" t="inlineStr">
        <is>
          <t>Machinery Operating -Fuel</t>
        </is>
      </c>
      <c r="B21" s="125" t="n"/>
      <c r="C21" s="854" t="n">
        <v>20.07724635833333</v>
      </c>
      <c r="D21" s="31" t="n"/>
      <c r="I21" s="38">
        <f>C21</f>
        <v/>
      </c>
    </row>
    <row r="22" ht="16" customHeight="1">
      <c r="A22" s="689" t="inlineStr">
        <is>
          <t xml:space="preserve">                                  -Repair</t>
        </is>
      </c>
      <c r="B22" s="124" t="n"/>
      <c r="C22" s="851" t="n">
        <v>11.56328841689489</v>
      </c>
      <c r="D22" s="31" t="n"/>
      <c r="I22" s="38">
        <f>C22</f>
        <v/>
      </c>
    </row>
    <row r="23" ht="16" customHeight="1">
      <c r="A23" s="689" t="inlineStr">
        <is>
          <t>Custom Work and Hired Labour</t>
        </is>
      </c>
      <c r="B23" s="124" t="n"/>
      <c r="C23" s="851" t="n">
        <v>21</v>
      </c>
      <c r="D23" s="31" t="n"/>
      <c r="I23" s="38">
        <f>C23</f>
        <v/>
      </c>
    </row>
    <row r="24" ht="16" customHeight="1">
      <c r="A24" s="689" t="inlineStr">
        <is>
          <t>Crop Insurance Premium</t>
        </is>
      </c>
      <c r="B24" s="126" t="n"/>
      <c r="C24" s="855" t="n">
        <v>0</v>
      </c>
      <c r="D24" s="31" t="n"/>
      <c r="I24" s="38">
        <f>C24</f>
        <v/>
      </c>
    </row>
    <row r="25" ht="16" customHeight="1">
      <c r="A25" s="689" t="inlineStr">
        <is>
          <t>Hail Insurance Premium</t>
        </is>
      </c>
      <c r="B25" s="126" t="n"/>
      <c r="C25" s="855" t="n">
        <v>14</v>
      </c>
      <c r="D25" s="31" t="n"/>
      <c r="I25" s="38">
        <f>C25</f>
        <v/>
      </c>
    </row>
    <row r="26" ht="16" customHeight="1">
      <c r="A26" s="689" t="inlineStr">
        <is>
          <t>Utilities and Miscellaneous</t>
        </is>
      </c>
      <c r="B26" s="125" t="n"/>
      <c r="C26" s="854" t="n">
        <v>4.399979104955096</v>
      </c>
      <c r="D26" s="31" t="n"/>
      <c r="I26" s="38">
        <f>C26</f>
        <v/>
      </c>
    </row>
    <row r="27" ht="16" customHeight="1" thickBot="1">
      <c r="A27" s="689" t="inlineStr">
        <is>
          <t>Interest on Variable Expenses</t>
        </is>
      </c>
      <c r="B27" s="124" t="n"/>
      <c r="C27" s="851" t="n">
        <v>5.118000691240578</v>
      </c>
      <c r="D27" s="31" t="n"/>
      <c r="I27" s="38">
        <f>C27</f>
        <v/>
      </c>
    </row>
    <row r="28" ht="16" customHeight="1" thickBot="1">
      <c r="A28" s="70" t="inlineStr">
        <is>
          <t>Total Variable Expenses (D)</t>
        </is>
      </c>
      <c r="B28" s="133">
        <f>SUM(B13:B27)</f>
        <v/>
      </c>
      <c r="C28" s="133">
        <f>SUM(C13:C27)</f>
        <v/>
      </c>
      <c r="D28" s="31" t="n"/>
      <c r="I28" s="43">
        <f>SUM(I13:I27)</f>
        <v/>
      </c>
    </row>
    <row r="29">
      <c r="A29" s="67" t="n"/>
      <c r="B29" s="119" t="n"/>
      <c r="C29" s="362" t="n"/>
      <c r="D29" s="31" t="n"/>
      <c r="I29" s="31" t="n"/>
    </row>
    <row r="30" ht="16" customHeight="1">
      <c r="A30" s="73" t="inlineStr">
        <is>
          <t>Other Expenses/acre</t>
        </is>
      </c>
      <c r="B30" s="119" t="n"/>
      <c r="C30" s="362" t="n"/>
      <c r="D30" s="31" t="n"/>
      <c r="I30" s="31" t="n"/>
    </row>
    <row r="31" ht="16" customHeight="1">
      <c r="A31" s="689" t="inlineStr">
        <is>
          <t>Building Repair</t>
        </is>
      </c>
      <c r="B31" s="866" t="n"/>
      <c r="C31" s="857" t="n">
        <v>0.7445684561908097</v>
      </c>
      <c r="D31" s="31" t="n"/>
      <c r="I31" s="942">
        <f>C31</f>
        <v/>
      </c>
    </row>
    <row r="32" ht="16" customHeight="1">
      <c r="A32" s="689" t="inlineStr">
        <is>
          <t>Property Taxes</t>
        </is>
      </c>
      <c r="B32" s="868" t="n"/>
      <c r="C32" s="858" t="n">
        <v>5.076533574707355</v>
      </c>
      <c r="D32" s="31" t="n"/>
      <c r="I32" s="942">
        <f>C32</f>
        <v/>
      </c>
    </row>
    <row r="33" ht="16" customHeight="1">
      <c r="A33" s="689" t="inlineStr">
        <is>
          <t>Business Overhead</t>
        </is>
      </c>
      <c r="B33" s="869" t="n"/>
      <c r="C33" s="857" t="n">
        <v>2.607474711623781</v>
      </c>
      <c r="D33" s="31" t="n"/>
      <c r="I33" s="942">
        <f>C33</f>
        <v/>
      </c>
    </row>
    <row r="34" ht="16" customHeight="1">
      <c r="A34" s="689" t="inlineStr">
        <is>
          <t>Machinery Depreciation</t>
        </is>
      </c>
      <c r="B34" s="870" t="n"/>
      <c r="C34" s="858" t="n">
        <v>47.58737925414436</v>
      </c>
      <c r="D34" s="31" t="n"/>
      <c r="I34" s="942">
        <f>C34</f>
        <v/>
      </c>
    </row>
    <row r="35" ht="16" customHeight="1">
      <c r="A35" s="689" t="inlineStr">
        <is>
          <t>Building Depreciation</t>
        </is>
      </c>
      <c r="B35" s="866" t="n"/>
      <c r="C35" s="857" t="n">
        <v>1.45</v>
      </c>
      <c r="D35" s="31" t="n"/>
      <c r="I35" s="942">
        <f>C35</f>
        <v/>
      </c>
    </row>
    <row r="36" ht="16" customHeight="1">
      <c r="A36" s="689" t="inlineStr">
        <is>
          <t>Machinery Investment</t>
        </is>
      </c>
      <c r="B36" s="870" t="n"/>
      <c r="C36" s="858" t="n">
        <v>30.02007569770789</v>
      </c>
      <c r="D36" s="31" t="n"/>
      <c r="I36" s="942">
        <f>C36</f>
        <v/>
      </c>
    </row>
    <row r="37" ht="16" customHeight="1">
      <c r="A37" s="689" t="inlineStr">
        <is>
          <t>Building Investment</t>
        </is>
      </c>
      <c r="B37" s="866" t="n"/>
      <c r="C37" s="857" t="n">
        <v>1.326266666666666</v>
      </c>
      <c r="D37" s="31" t="n"/>
      <c r="I37" s="942">
        <f>C37</f>
        <v/>
      </c>
    </row>
    <row r="38" ht="16" customHeight="1" thickBot="1">
      <c r="A38" s="689" t="inlineStr">
        <is>
          <t>Land Investment</t>
        </is>
      </c>
      <c r="B38" s="868" t="n"/>
      <c r="C38" s="858" t="n">
        <v>70.10399999999998</v>
      </c>
      <c r="D38" s="31" t="n"/>
      <c r="I38" s="942">
        <f>C38</f>
        <v/>
      </c>
    </row>
    <row r="39" ht="16" customHeight="1" thickBot="1">
      <c r="A39" s="70" t="inlineStr">
        <is>
          <t>Total Other Expenses (E)</t>
        </is>
      </c>
      <c r="B39" s="133">
        <f>SUM(B31:B38)</f>
        <v/>
      </c>
      <c r="C39" s="133">
        <f>SUM(C31:C38)</f>
        <v/>
      </c>
      <c r="D39" s="31" t="n"/>
      <c r="I39" s="43">
        <f>SUM(I31:I38)</f>
        <v/>
      </c>
    </row>
    <row r="40" ht="16" customHeight="1" thickBot="1">
      <c r="A40" s="764" t="inlineStr">
        <is>
          <t>Labour and Management (F)*</t>
        </is>
      </c>
      <c r="B40" s="125" t="n"/>
      <c r="C40" s="134" t="n"/>
      <c r="D40" s="31" t="n"/>
      <c r="I40" s="31" t="n"/>
    </row>
    <row r="41" ht="16" customHeight="1" thickBot="1">
      <c r="A41" s="89" t="inlineStr">
        <is>
          <t xml:space="preserve">Total Expenses (D+E+F)=(G) </t>
        </is>
      </c>
      <c r="B41" s="133">
        <f>B28+B39+B40</f>
        <v/>
      </c>
      <c r="C41" s="106">
        <f>C28+C39+C40</f>
        <v/>
      </c>
      <c r="D41" s="31" t="n"/>
      <c r="I41" s="43">
        <f>I28+I39+I40</f>
        <v/>
      </c>
    </row>
    <row r="42" ht="16" customHeight="1" thickBot="1">
      <c r="A42" s="90" t="n"/>
      <c r="B42" s="159" t="n"/>
      <c r="C42" s="135" t="n"/>
      <c r="D42" s="31" t="n"/>
      <c r="I42" s="31" t="n"/>
    </row>
    <row r="43" ht="16" customHeight="1">
      <c r="A43" s="93" t="inlineStr">
        <is>
          <t>RETURNS PER ACRE</t>
        </is>
      </c>
      <c r="B43" s="123" t="n"/>
      <c r="C43" s="136" t="n"/>
      <c r="D43" s="31" t="n"/>
      <c r="I43" s="29" t="n"/>
    </row>
    <row r="44" ht="16" customHeight="1">
      <c r="A44" s="49" t="inlineStr">
        <is>
          <t xml:space="preserve"> Return over Variable Expenses (C-D) </t>
        </is>
      </c>
      <c r="B44" s="105">
        <f>B9-B28</f>
        <v/>
      </c>
      <c r="C44" s="99">
        <f>C9-C28</f>
        <v/>
      </c>
      <c r="D44" s="31" t="n"/>
      <c r="I44" s="99">
        <f>I9-I28</f>
        <v/>
      </c>
    </row>
    <row r="45" ht="16" customHeight="1" thickBot="1">
      <c r="A45" s="737" t="inlineStr">
        <is>
          <t xml:space="preserve"> Return over Total Expenses (C-G)</t>
        </is>
      </c>
      <c r="B45" s="160">
        <f>B9-B41</f>
        <v/>
      </c>
      <c r="C45" s="100">
        <f>C9-C41</f>
        <v/>
      </c>
      <c r="D45" s="31" t="n"/>
      <c r="I45" s="100">
        <f>I9-I41</f>
        <v/>
      </c>
    </row>
    <row r="46" ht="16" customHeight="1" thickBot="1">
      <c r="A46" s="73" t="n"/>
      <c r="B46" s="159" t="n"/>
      <c r="C46" s="135" t="n"/>
      <c r="D46" s="31" t="n"/>
      <c r="I46" s="31" t="n"/>
    </row>
    <row r="47" ht="16" customHeight="1">
      <c r="A47" s="96" t="inlineStr">
        <is>
          <t>BREAK-EVEN YIELD (lbs./ac.)</t>
        </is>
      </c>
      <c r="B47" s="161" t="n"/>
      <c r="C47" s="137" t="n"/>
      <c r="D47" s="31" t="n"/>
      <c r="I47" s="29" t="n"/>
    </row>
    <row r="48" ht="16" customHeight="1">
      <c r="A48" s="73" t="inlineStr">
        <is>
          <t>To Cover Variable Expenses</t>
        </is>
      </c>
      <c r="B48" s="99">
        <f>ROUND((B28)/B8,2)</f>
        <v/>
      </c>
      <c r="C48" s="99">
        <f>ROUND((C28)/C8,2)</f>
        <v/>
      </c>
      <c r="D48" s="31" t="n"/>
      <c r="I48" s="99">
        <f>ROUND((I28)/I8,2)</f>
        <v/>
      </c>
    </row>
    <row r="49" ht="16" customHeight="1" thickBot="1">
      <c r="A49" s="164" t="inlineStr">
        <is>
          <t>To Cover Total Expenses</t>
        </is>
      </c>
      <c r="B49" s="100">
        <f>ROUND(B41/B8,2)</f>
        <v/>
      </c>
      <c r="C49" s="100">
        <f>ROUND(C41/C8,2)</f>
        <v/>
      </c>
      <c r="D49" s="31" t="n"/>
      <c r="I49" s="100">
        <f>ROUND(I41/I8,2)</f>
        <v/>
      </c>
    </row>
    <row r="50" ht="16" customHeight="1" thickBot="1">
      <c r="A50" s="73" t="n"/>
      <c r="B50" s="873" t="n"/>
      <c r="C50" s="860" t="n"/>
      <c r="D50" s="31" t="n"/>
      <c r="I50" s="31" t="n"/>
    </row>
    <row r="51" ht="16" customHeight="1">
      <c r="A51" s="96" t="inlineStr">
        <is>
          <t>BREAK-EVEN PRICE ($/lb.)</t>
        </is>
      </c>
      <c r="B51" s="161" t="n"/>
      <c r="C51" s="137" t="n"/>
      <c r="D51" s="31" t="n"/>
      <c r="I51" s="29" t="n"/>
    </row>
    <row r="52" ht="16" customHeight="1">
      <c r="A52" s="73" t="inlineStr">
        <is>
          <t>To Cover Variable Expenses</t>
        </is>
      </c>
      <c r="B52" s="99">
        <f>ROUND((B28)/B7,2)</f>
        <v/>
      </c>
      <c r="C52" s="99">
        <f>ROUND((C28)/C7,2)</f>
        <v/>
      </c>
      <c r="D52" s="31" t="n"/>
      <c r="I52" s="99">
        <f>ROUND((I28)/I7,2)</f>
        <v/>
      </c>
    </row>
    <row r="53" ht="16" customHeight="1" thickBot="1">
      <c r="A53" s="164" t="inlineStr">
        <is>
          <t>To Cover Total Expenses</t>
        </is>
      </c>
      <c r="B53" s="100">
        <f>ROUND(B41/B7,2)</f>
        <v/>
      </c>
      <c r="C53" s="100">
        <f>ROUND(C41/C7,2)</f>
        <v/>
      </c>
      <c r="D53" s="31" t="n"/>
      <c r="I53" s="100">
        <f>ROUND(I41/I7,2)</f>
        <v/>
      </c>
    </row>
    <row r="54" ht="16" customHeight="1" thickBot="1">
      <c r="A54" s="168" t="n"/>
      <c r="B54" s="17" t="n"/>
      <c r="C54" s="17" t="n"/>
      <c r="D54" s="31" t="n"/>
    </row>
    <row r="55" ht="16" customHeight="1">
      <c r="A55" s="47" t="inlineStr">
        <is>
          <t>YIELD SENSITIVITY (same expenses but average yield)</t>
        </is>
      </c>
      <c r="B55" s="169" t="n"/>
      <c r="C55" s="107" t="n"/>
      <c r="D55" s="31" t="n"/>
    </row>
    <row r="56" ht="16" customHeight="1">
      <c r="A56" s="170" t="inlineStr">
        <is>
          <t>Provincial average yield (lb./ac)</t>
        </is>
      </c>
      <c r="B56" s="171" t="n"/>
      <c r="C56" s="92">
        <f>I7</f>
        <v/>
      </c>
      <c r="D56" s="31" t="n"/>
    </row>
    <row r="57" ht="16" customHeight="1">
      <c r="A57" s="170" t="inlineStr">
        <is>
          <t xml:space="preserve"> Return over Variable Expenses </t>
        </is>
      </c>
      <c r="B57" s="171" t="n"/>
      <c r="C57" s="92">
        <f>I44</f>
        <v/>
      </c>
      <c r="D57" s="31" t="n"/>
    </row>
    <row r="58" ht="16" customHeight="1" thickBot="1">
      <c r="A58" s="845" t="inlineStr">
        <is>
          <t xml:space="preserve"> Return over Total Expenses </t>
        </is>
      </c>
      <c r="B58" s="173" t="n"/>
      <c r="C58" s="102">
        <f>I45</f>
        <v/>
      </c>
      <c r="D58" s="750" t="n"/>
    </row>
    <row r="59" ht="16" customHeight="1">
      <c r="A59" s="22" t="inlineStr">
        <is>
          <t>*Farm managers need to determine their own actual labour and management costs and add it to total expenses.</t>
        </is>
      </c>
      <c r="B59" s="17" t="n"/>
      <c r="C59" s="17" t="n"/>
    </row>
    <row r="60">
      <c r="A60" s="874" t="n"/>
      <c r="B60" s="17" t="n"/>
      <c r="C60" s="17" t="n"/>
    </row>
    <row r="61">
      <c r="A61" s="22" t="n"/>
      <c r="B61" s="175" t="n"/>
      <c r="C61" s="532" t="n"/>
    </row>
    <row r="62">
      <c r="A62" s="22" t="n"/>
      <c r="B62" s="24" t="n"/>
      <c r="C62" s="24" t="n"/>
    </row>
    <row r="63">
      <c r="A63" s="24" t="n"/>
      <c r="B63" s="24" t="n"/>
      <c r="C63" s="24" t="n"/>
    </row>
    <row r="64">
      <c r="A64" s="24" t="n"/>
      <c r="B64" s="24" t="n"/>
      <c r="C64" s="24" t="n"/>
    </row>
    <row r="65">
      <c r="A65" s="176" t="n"/>
      <c r="B65" s="177" t="n"/>
      <c r="C65" s="177" t="n"/>
    </row>
    <row r="66">
      <c r="A66" s="176" t="n"/>
      <c r="B66" s="178" t="n"/>
      <c r="C66" s="178" t="n"/>
    </row>
  </sheetData>
  <mergeCells count="2">
    <mergeCell ref="D4:D58"/>
    <mergeCell ref="B3:D3"/>
  </mergeCells>
  <pageMargins left="0.7" right="0.7" top="0.75" bottom="0.75" header="0.3" footer="0.3"/>
  <pageSetup orientation="portrait"/>
</worksheet>
</file>

<file path=xl/worksheets/sheet35.xml><?xml version="1.0" encoding="utf-8"?>
<worksheet xmlns="http://schemas.openxmlformats.org/spreadsheetml/2006/main">
  <sheetPr>
    <outlinePr summaryBelow="1" summaryRight="1"/>
    <pageSetUpPr/>
  </sheetPr>
  <dimension ref="A1:JC66"/>
  <sheetViews>
    <sheetView showGridLines="0" topLeftCell="A39" workbookViewId="0">
      <selection activeCell="D4" sqref="D4:D58"/>
    </sheetView>
  </sheetViews>
  <sheetFormatPr baseColWidth="8" defaultRowHeight="16" customHeight="1"/>
  <cols>
    <col width="55.7109375" customWidth="1" min="1" max="1"/>
    <col width="10" bestFit="1" customWidth="1" min="2" max="3"/>
    <col width="48" customWidth="1" min="4" max="4"/>
    <col width="12.28515625" customWidth="1" min="9" max="9"/>
  </cols>
  <sheetData>
    <row r="1" ht="16" customHeight="1">
      <c r="A1" s="150" t="inlineStr">
        <is>
          <t>QUINOA PRODUCTION COSTS ($/ACRE) FOR SASKATCHEWAN 2026</t>
        </is>
      </c>
      <c r="B1" s="150" t="n"/>
      <c r="C1" s="150" t="n"/>
    </row>
    <row r="2" ht="16" customHeight="1" thickBot="1">
      <c r="A2" s="151" t="n"/>
      <c r="B2" s="151" t="inlineStr">
        <is>
          <t>Economics</t>
        </is>
      </c>
      <c r="C2" s="151" t="n"/>
      <c r="D2" s="620" t="inlineStr">
        <is>
          <t>Agronomics</t>
        </is>
      </c>
    </row>
    <row r="3" ht="16" customHeight="1" thickBot="1">
      <c r="A3" s="153" t="inlineStr">
        <is>
          <t>CROP</t>
        </is>
      </c>
      <c r="B3" s="861" t="inlineStr">
        <is>
          <t>QUINOA</t>
        </is>
      </c>
      <c r="C3" s="680" t="n"/>
      <c r="D3" s="681" t="n"/>
    </row>
    <row r="4" ht="16" customHeight="1" thickBot="1">
      <c r="B4" s="862" t="inlineStr">
        <is>
          <t>My farm</t>
        </is>
      </c>
      <c r="C4" s="862" t="inlineStr">
        <is>
          <t>80th percentile</t>
        </is>
      </c>
      <c r="D4" s="836" t="inlineStr">
        <is>
          <t xml:space="preserve">Seeding: A seed rate of 10 lb./ac. is used. The black soil zone is recommended.
Fertilization: Fertility costs are based on nutrient removal rates given the targeted crop yield. These are: 42 lb./ac. N, 18 lb./ac. P2O5, 11 lb./ac. K2O and 6 lb./ac. S. Producers are encouraged to use their own rates based on soil tests. 
Crop Rotation: Crop rotation can be used to reduce disease pressure and pathogen levels in the field. 
Crop Protection                                                       Insect control: A limited number of insecticides are registered for control of European corn borer, lygus, beet webworm, and goosefoot groundling moth. 
Disease control: The cost of fungicide is not included in this estimate. Disease risk assessment is encouraged to guide fungicide application decisions. 
Weed control: Quinoa has no registered herbicide options. However, producers can apply a pre-harvest application of glyphosate in the previous crop to manage perennial weeds, as well as a glyphosate burn off prior to seeding. Please see below chart and refer to general assumptions for details on pre-harvest glyphosate application.  Please insert Herbicide application window. 
</t>
        </is>
      </c>
      <c r="I4" s="271" t="inlineStr">
        <is>
          <t>Average Yield</t>
        </is>
      </c>
    </row>
    <row r="5" ht="16" customHeight="1" thickBot="1">
      <c r="A5" s="863" t="inlineStr">
        <is>
          <t>Soil Zone</t>
        </is>
      </c>
      <c r="B5" s="156" t="n"/>
      <c r="C5" s="839" t="inlineStr">
        <is>
          <t>Black</t>
        </is>
      </c>
      <c r="D5" s="31" t="n"/>
      <c r="I5" s="841" t="inlineStr">
        <is>
          <t>Black</t>
        </is>
      </c>
    </row>
    <row r="6" ht="16" customHeight="1">
      <c r="A6" s="96" t="inlineStr">
        <is>
          <t>REVENUE PER ACRE</t>
        </is>
      </c>
      <c r="B6" s="123" t="n"/>
      <c r="C6" s="88" t="n"/>
      <c r="D6" s="31" t="n"/>
      <c r="I6" s="31" t="n"/>
    </row>
    <row r="7" ht="16" customFormat="1" customHeight="1" s="196">
      <c r="A7" s="689" t="inlineStr">
        <is>
          <t>Target Yield (lb./ac.) (A)</t>
        </is>
      </c>
      <c r="B7" s="120" t="n"/>
      <c r="C7" s="939" t="n">
        <v>1000</v>
      </c>
      <c r="D7" s="31" t="n"/>
      <c r="I7" s="941" t="n">
        <v>630</v>
      </c>
    </row>
    <row r="8" ht="16" customFormat="1" customHeight="1" s="196" thickBot="1">
      <c r="A8" s="689" t="inlineStr">
        <is>
          <t>Est. Farm Gate Price $/lb. (B)</t>
        </is>
      </c>
      <c r="B8" s="121" t="n"/>
      <c r="C8" s="772" t="n">
        <v>0.8</v>
      </c>
      <c r="D8" s="31" t="n"/>
      <c r="I8" s="197">
        <f>C8</f>
        <v/>
      </c>
    </row>
    <row r="9" ht="16" customFormat="1" customHeight="1" s="196" thickBot="1">
      <c r="A9" s="164" t="inlineStr">
        <is>
          <t>Estimated Gross Revenue/ac (AxB)=C</t>
        </is>
      </c>
      <c r="B9" s="160">
        <f>ROUND((B8*B7),2)</f>
        <v/>
      </c>
      <c r="C9" s="500">
        <f>ROUND((C8*C7),2)</f>
        <v/>
      </c>
      <c r="D9" s="31" t="n"/>
      <c r="I9" s="199">
        <f>ROUND((I8*I7),2)</f>
        <v/>
      </c>
    </row>
    <row r="10" ht="16" customFormat="1" customHeight="1" s="196">
      <c r="A10" s="67" t="n"/>
      <c r="B10" s="119" t="n"/>
      <c r="C10" s="362" t="n"/>
      <c r="D10" s="31" t="n"/>
      <c r="I10" s="198" t="n"/>
    </row>
    <row r="11" ht="16" customFormat="1" customHeight="1" s="196">
      <c r="A11" s="73" t="inlineStr">
        <is>
          <t>EXPENSES PER ACRE</t>
        </is>
      </c>
      <c r="B11" s="119" t="n"/>
      <c r="C11" s="362" t="n"/>
      <c r="D11" s="31" t="n"/>
      <c r="I11" s="198" t="n"/>
    </row>
    <row r="12" ht="16" customFormat="1" customHeight="1" s="196">
      <c r="A12" s="73" t="inlineStr">
        <is>
          <t>Variable Expenses/acre</t>
        </is>
      </c>
      <c r="B12" s="119" t="n"/>
      <c r="C12" s="362" t="n"/>
      <c r="D12" s="31" t="n"/>
      <c r="I12" s="198" t="n"/>
    </row>
    <row r="13" ht="16" customFormat="1" customHeight="1" s="196">
      <c r="A13" s="689" t="inlineStr">
        <is>
          <t>Seed</t>
        </is>
      </c>
      <c r="B13" s="124" t="n"/>
      <c r="C13" s="605" t="n">
        <v>65</v>
      </c>
      <c r="D13" s="31" t="n"/>
      <c r="I13" s="197">
        <f>C13</f>
        <v/>
      </c>
    </row>
    <row r="14" ht="16" customFormat="1" customHeight="1" s="196">
      <c r="A14" s="689" t="inlineStr">
        <is>
          <t xml:space="preserve">                     -Seed Treatments/Inoculants</t>
        </is>
      </c>
      <c r="B14" s="124" t="n"/>
      <c r="C14" s="605" t="n">
        <v>0</v>
      </c>
      <c r="D14" s="31" t="n"/>
      <c r="I14" s="197">
        <f>C14</f>
        <v/>
      </c>
    </row>
    <row r="15" ht="16" customFormat="1" customHeight="1" s="196">
      <c r="A15" s="689" t="inlineStr">
        <is>
          <t>Fertilizer -Nitrogen (N)</t>
        </is>
      </c>
      <c r="B15" s="124" t="n"/>
      <c r="C15" s="920" t="n">
        <v>34.38412372760988</v>
      </c>
      <c r="D15" s="31" t="n"/>
      <c r="I15" s="197">
        <f>C15</f>
        <v/>
      </c>
    </row>
    <row r="16" ht="16" customFormat="1" customHeight="1" s="196">
      <c r="A16" s="689" t="inlineStr">
        <is>
          <t xml:space="preserve">               -Phosphorous (P2O5)</t>
        </is>
      </c>
      <c r="B16" s="124" t="n"/>
      <c r="C16" s="920" t="n">
        <v>17.30018088121931</v>
      </c>
      <c r="D16" s="31" t="n"/>
      <c r="I16" s="197">
        <f>C16</f>
        <v/>
      </c>
    </row>
    <row r="17" ht="16" customFormat="1" customHeight="1" s="196">
      <c r="A17" s="689" t="inlineStr">
        <is>
          <t xml:space="preserve">               -Sulphur and Other</t>
        </is>
      </c>
      <c r="B17" s="125" t="n"/>
      <c r="C17" s="921" t="n">
        <v>9.279999999999999</v>
      </c>
      <c r="D17" s="31" t="n"/>
      <c r="I17" s="197">
        <f>C17</f>
        <v/>
      </c>
    </row>
    <row r="18" ht="16" customFormat="1" customHeight="1" s="196">
      <c r="A18" s="689" t="inlineStr">
        <is>
          <t>Plant Protection -Herbicides</t>
        </is>
      </c>
      <c r="B18" s="124" t="n"/>
      <c r="C18" s="605" t="n">
        <v>9.6</v>
      </c>
      <c r="D18" s="31" t="n"/>
      <c r="I18" s="197">
        <f>C18</f>
        <v/>
      </c>
    </row>
    <row r="19" ht="16" customFormat="1" customHeight="1" s="196">
      <c r="A19" s="689" t="inlineStr">
        <is>
          <t xml:space="preserve">                     -Insecticides</t>
        </is>
      </c>
      <c r="B19" s="124" t="n"/>
      <c r="C19" s="605" t="n">
        <v>40.40000000000001</v>
      </c>
      <c r="D19" s="31" t="n"/>
      <c r="I19" s="197">
        <f>C19</f>
        <v/>
      </c>
    </row>
    <row r="20" ht="16" customFormat="1" customHeight="1" s="196">
      <c r="A20" s="689" t="inlineStr">
        <is>
          <t xml:space="preserve">                     -Fungicides</t>
        </is>
      </c>
      <c r="B20" s="124" t="n"/>
      <c r="C20" s="605" t="n">
        <v>0</v>
      </c>
      <c r="D20" s="31" t="n"/>
      <c r="I20" s="197">
        <f>C20</f>
        <v/>
      </c>
    </row>
    <row r="21" ht="16" customFormat="1" customHeight="1" s="196">
      <c r="A21" s="689" t="inlineStr">
        <is>
          <t>Machinery Operating -Fuel</t>
        </is>
      </c>
      <c r="B21" s="125" t="n"/>
      <c r="C21" s="922" t="n">
        <v>20.07724635833333</v>
      </c>
      <c r="D21" s="31" t="n"/>
      <c r="I21" s="197">
        <f>C21</f>
        <v/>
      </c>
    </row>
    <row r="22" ht="16" customFormat="1" customHeight="1" s="196">
      <c r="A22" s="689" t="inlineStr">
        <is>
          <t xml:space="preserve">                                  -Repair</t>
        </is>
      </c>
      <c r="B22" s="124" t="n"/>
      <c r="C22" s="605" t="n">
        <v>14.75790247400408</v>
      </c>
      <c r="D22" s="31" t="n"/>
      <c r="I22" s="197">
        <f>C22</f>
        <v/>
      </c>
    </row>
    <row r="23" ht="16" customFormat="1" customHeight="1" s="196">
      <c r="A23" s="689" t="inlineStr">
        <is>
          <t>Custom Work and Hired Labour</t>
        </is>
      </c>
      <c r="B23" s="124" t="n"/>
      <c r="C23" s="605" t="n">
        <v>21</v>
      </c>
      <c r="D23" s="31" t="n"/>
      <c r="I23" s="197">
        <f>C23</f>
        <v/>
      </c>
    </row>
    <row r="24" ht="16" customFormat="1" customHeight="1" s="196">
      <c r="A24" s="689" t="inlineStr">
        <is>
          <t>Crop Insurance Premium</t>
        </is>
      </c>
      <c r="B24" s="126" t="n"/>
      <c r="C24" s="923" t="n">
        <v>0</v>
      </c>
      <c r="D24" s="31" t="n"/>
      <c r="I24" s="197">
        <f>C24</f>
        <v/>
      </c>
    </row>
    <row r="25" ht="16" customFormat="1" customHeight="1" s="196">
      <c r="A25" s="689" t="inlineStr">
        <is>
          <t>Hail Insurance Premium</t>
        </is>
      </c>
      <c r="B25" s="126" t="n"/>
      <c r="C25" s="923" t="n">
        <v>14</v>
      </c>
      <c r="D25" s="31" t="n"/>
      <c r="I25" s="197">
        <f>C25</f>
        <v/>
      </c>
    </row>
    <row r="26" ht="16" customFormat="1" customHeight="1" s="196">
      <c r="A26" s="689" t="inlineStr">
        <is>
          <t>Utilities and Miscellaneous</t>
        </is>
      </c>
      <c r="B26" s="125" t="n"/>
      <c r="C26" s="922" t="n">
        <v>6.656364674443524</v>
      </c>
      <c r="D26" s="31" t="n"/>
      <c r="I26" s="197">
        <f>C26</f>
        <v/>
      </c>
    </row>
    <row r="27" ht="16" customFormat="1" customHeight="1" s="196" thickBot="1">
      <c r="A27" s="689" t="inlineStr">
        <is>
          <t>Interest on Variable Expenses</t>
        </is>
      </c>
      <c r="B27" s="124" t="n"/>
      <c r="C27" s="605" t="n">
        <v>9.559660312644436</v>
      </c>
      <c r="D27" s="31" t="n"/>
      <c r="I27" s="197">
        <f>C27</f>
        <v/>
      </c>
    </row>
    <row r="28" ht="16" customFormat="1" customHeight="1" s="196" thickBot="1">
      <c r="A28" s="70" t="inlineStr">
        <is>
          <t>Total Variable Expenses (D)</t>
        </is>
      </c>
      <c r="B28" s="133">
        <f>SUM(B13:B27)</f>
        <v/>
      </c>
      <c r="C28" s="595">
        <f>SUM(C13:C27)</f>
        <v/>
      </c>
      <c r="D28" s="31" t="n"/>
      <c r="I28" s="199">
        <f>SUM(I13:I27)</f>
        <v/>
      </c>
    </row>
    <row r="29" ht="16" customFormat="1" customHeight="1" s="196">
      <c r="A29" s="67" t="n"/>
      <c r="B29" s="119" t="n"/>
      <c r="C29" s="362" t="n"/>
      <c r="D29" s="31" t="n"/>
      <c r="I29" s="198" t="n"/>
    </row>
    <row r="30" ht="16" customFormat="1" customHeight="1" s="196">
      <c r="A30" s="73" t="inlineStr">
        <is>
          <t>Other Expenses/acre</t>
        </is>
      </c>
      <c r="B30" s="119" t="n"/>
      <c r="C30" s="362" t="n"/>
      <c r="D30" s="31" t="n"/>
      <c r="I30" s="198" t="n"/>
    </row>
    <row r="31" ht="16" customFormat="1" customHeight="1" s="196">
      <c r="A31" s="689" t="inlineStr">
        <is>
          <t>Building Repair</t>
        </is>
      </c>
      <c r="B31" s="866" t="n"/>
      <c r="C31" s="929" t="n">
        <v>1.335088266273176</v>
      </c>
      <c r="D31" s="31" t="n"/>
      <c r="I31" s="943">
        <f>C31</f>
        <v/>
      </c>
    </row>
    <row r="32" ht="16" customFormat="1" customHeight="1" s="196">
      <c r="A32" s="689" t="inlineStr">
        <is>
          <t>Property Taxes</t>
        </is>
      </c>
      <c r="B32" s="868" t="n"/>
      <c r="C32" s="928" t="n">
        <v>10.0720586349247</v>
      </c>
      <c r="D32" s="31" t="n"/>
      <c r="I32" s="943">
        <f>C32</f>
        <v/>
      </c>
    </row>
    <row r="33" ht="16" customFormat="1" customHeight="1" s="196">
      <c r="A33" s="689" t="inlineStr">
        <is>
          <t>Business Overhead</t>
        </is>
      </c>
      <c r="B33" s="869" t="n"/>
      <c r="C33" s="929" t="n">
        <v>4.675904170363799</v>
      </c>
      <c r="D33" s="31" t="n"/>
      <c r="I33" s="943">
        <f>C33</f>
        <v/>
      </c>
    </row>
    <row r="34" ht="16" customFormat="1" customHeight="1" s="196">
      <c r="A34" s="689" t="inlineStr">
        <is>
          <t>Machinery Depreciation</t>
        </is>
      </c>
      <c r="B34" s="870" t="n"/>
      <c r="C34" s="928" t="n">
        <v>60.73444479686295</v>
      </c>
      <c r="D34" s="31" t="n"/>
      <c r="I34" s="943">
        <f>C34</f>
        <v/>
      </c>
    </row>
    <row r="35" ht="16" customFormat="1" customHeight="1" s="196">
      <c r="A35" s="689" t="inlineStr">
        <is>
          <t>Building Depreciation</t>
        </is>
      </c>
      <c r="B35" s="866" t="n"/>
      <c r="C35" s="929" t="n">
        <v>2.6</v>
      </c>
      <c r="D35" s="31" t="n"/>
      <c r="I35" s="943">
        <f>C35</f>
        <v/>
      </c>
    </row>
    <row r="36" ht="16" customFormat="1" customHeight="1" s="196">
      <c r="A36" s="689" t="inlineStr">
        <is>
          <t>Machinery Investment</t>
        </is>
      </c>
      <c r="B36" s="870" t="n"/>
      <c r="C36" s="928" t="n">
        <v>38.31378526904906</v>
      </c>
      <c r="D36" s="31" t="n"/>
      <c r="I36" s="943">
        <f>C36</f>
        <v/>
      </c>
    </row>
    <row r="37" ht="16" customFormat="1" customHeight="1" s="196">
      <c r="A37" s="689" t="inlineStr">
        <is>
          <t>Building Investment</t>
        </is>
      </c>
      <c r="B37" s="866" t="n"/>
      <c r="C37" s="929" t="n">
        <v>2.378133333333333</v>
      </c>
      <c r="D37" s="31" t="n"/>
      <c r="I37" s="943">
        <f>C37</f>
        <v/>
      </c>
    </row>
    <row r="38" ht="16" customFormat="1" customHeight="1" s="196" thickBot="1">
      <c r="A38" s="689" t="inlineStr">
        <is>
          <t>Land Investment</t>
        </is>
      </c>
      <c r="B38" s="868" t="n"/>
      <c r="C38" s="928" t="n">
        <v>75.38025</v>
      </c>
      <c r="D38" s="31" t="n"/>
      <c r="I38" s="943">
        <f>C38</f>
        <v/>
      </c>
    </row>
    <row r="39" ht="16" customHeight="1" thickBot="1">
      <c r="A39" s="70" t="inlineStr">
        <is>
          <t>Total Other Expenses (E)</t>
        </is>
      </c>
      <c r="B39" s="133">
        <f>SUM(B31:B38)</f>
        <v/>
      </c>
      <c r="C39" s="582">
        <f>SUM(C31:C38)</f>
        <v/>
      </c>
      <c r="D39" s="31" t="n"/>
      <c r="I39" s="43">
        <f>SUM(I31:I38)</f>
        <v/>
      </c>
    </row>
    <row r="40" ht="16" customHeight="1" thickBot="1">
      <c r="A40" s="764" t="inlineStr">
        <is>
          <t>Labour and Management (F)*</t>
        </is>
      </c>
      <c r="B40" s="125" t="n"/>
      <c r="C40" s="607" t="n"/>
      <c r="D40" s="31" t="n"/>
      <c r="I40" s="31" t="n"/>
    </row>
    <row r="41" ht="16" customHeight="1" thickBot="1">
      <c r="A41" s="89" t="inlineStr">
        <is>
          <t xml:space="preserve">Total Expenses (D+E+F)=(G) </t>
        </is>
      </c>
      <c r="B41" s="133">
        <f>B28+B39+B40</f>
        <v/>
      </c>
      <c r="C41" s="582">
        <f>C28+C39+C40</f>
        <v/>
      </c>
      <c r="D41" s="31" t="n"/>
      <c r="I41" s="43">
        <f>I28+I39+I40</f>
        <v/>
      </c>
    </row>
    <row r="42" ht="16" customHeight="1" thickBot="1">
      <c r="A42" s="90" t="n"/>
      <c r="B42" s="159" t="n"/>
      <c r="C42" s="600" t="n"/>
      <c r="D42" s="31" t="n"/>
      <c r="I42" s="31" t="n"/>
    </row>
    <row r="43" ht="16" customHeight="1">
      <c r="A43" s="93" t="inlineStr">
        <is>
          <t>RETURNS PER ACRE</t>
        </is>
      </c>
      <c r="B43" s="123" t="n"/>
      <c r="C43" s="601" t="n"/>
      <c r="D43" s="31" t="n"/>
      <c r="I43" s="29" t="n"/>
    </row>
    <row r="44" ht="16" customHeight="1">
      <c r="A44" s="49" t="inlineStr">
        <is>
          <t xml:space="preserve"> Return over Variable Expenses (C-D) </t>
        </is>
      </c>
      <c r="B44" s="105">
        <f>B9-B28</f>
        <v/>
      </c>
      <c r="C44" s="467">
        <f>C9-C28</f>
        <v/>
      </c>
      <c r="D44" s="31" t="n"/>
      <c r="I44" s="99">
        <f>I9-I28</f>
        <v/>
      </c>
    </row>
    <row r="45" ht="16" customHeight="1" thickBot="1">
      <c r="A45" s="737" t="inlineStr">
        <is>
          <t xml:space="preserve"> Return over Total Expenses (C-G)</t>
        </is>
      </c>
      <c r="B45" s="160">
        <f>B9-B41</f>
        <v/>
      </c>
      <c r="C45" s="468">
        <f>C9-C41</f>
        <v/>
      </c>
      <c r="D45" s="31" t="n"/>
      <c r="I45" s="100">
        <f>I9-I41</f>
        <v/>
      </c>
    </row>
    <row r="46" ht="16" customHeight="1" thickBot="1">
      <c r="A46" s="73" t="n"/>
      <c r="B46" s="159" t="n"/>
      <c r="C46" s="600" t="n"/>
      <c r="D46" s="31" t="n"/>
      <c r="I46" s="31" t="n"/>
    </row>
    <row r="47" ht="16" customHeight="1">
      <c r="A47" s="96" t="inlineStr">
        <is>
          <t>BREAK-EVEN YIELD (lbs./ac.)</t>
        </is>
      </c>
      <c r="B47" s="161" t="n"/>
      <c r="C47" s="602" t="n"/>
      <c r="D47" s="31" t="n"/>
      <c r="I47" s="29" t="n"/>
    </row>
    <row r="48" ht="16" customHeight="1">
      <c r="A48" s="73" t="inlineStr">
        <is>
          <t>To Cover Variable Expenses</t>
        </is>
      </c>
      <c r="B48" s="99">
        <f>ROUND((B28)/B8,2)</f>
        <v/>
      </c>
      <c r="C48" s="467">
        <f>ROUND((C28)/C8,2)</f>
        <v/>
      </c>
      <c r="D48" s="31" t="n"/>
      <c r="I48" s="99">
        <f>ROUND((I28)/I8,2)</f>
        <v/>
      </c>
    </row>
    <row r="49" ht="16" customHeight="1" thickBot="1">
      <c r="A49" s="164" t="inlineStr">
        <is>
          <t>To Cover Total Expenses</t>
        </is>
      </c>
      <c r="B49" s="100">
        <f>ROUND(B41/B8,2)</f>
        <v/>
      </c>
      <c r="C49" s="468">
        <f>ROUND(C41/C8,2)</f>
        <v/>
      </c>
      <c r="D49" s="31" t="n"/>
      <c r="I49" s="100">
        <f>ROUND(I41/I8,2)</f>
        <v/>
      </c>
    </row>
    <row r="50" ht="16" customHeight="1" thickBot="1">
      <c r="A50" s="73" t="n"/>
      <c r="B50" s="873" t="n"/>
      <c r="C50" s="931" t="n"/>
      <c r="D50" s="31" t="n"/>
      <c r="I50" s="31" t="n"/>
    </row>
    <row r="51" ht="16" customHeight="1">
      <c r="A51" s="96" t="inlineStr">
        <is>
          <t>BREAK-EVEN PRICE ($/lb.)</t>
        </is>
      </c>
      <c r="B51" s="161" t="n"/>
      <c r="C51" s="602" t="n"/>
      <c r="D51" s="31" t="n"/>
      <c r="I51" s="29" t="n"/>
    </row>
    <row r="52" ht="16" customHeight="1">
      <c r="A52" s="73" t="inlineStr">
        <is>
          <t>To Cover Variable Expenses</t>
        </is>
      </c>
      <c r="B52" s="99">
        <f>ROUND((B28)/B7,2)</f>
        <v/>
      </c>
      <c r="C52" s="467">
        <f>ROUND((C28)/C7,2)</f>
        <v/>
      </c>
      <c r="D52" s="31" t="n"/>
      <c r="I52" s="99">
        <f>ROUND((I28)/I7,2)</f>
        <v/>
      </c>
    </row>
    <row r="53" ht="16" customHeight="1" thickBot="1">
      <c r="A53" s="164" t="inlineStr">
        <is>
          <t>To Cover Total Expenses</t>
        </is>
      </c>
      <c r="B53" s="100">
        <f>ROUND(B41/B7,2)</f>
        <v/>
      </c>
      <c r="C53" s="468">
        <f>ROUND(C41/C7,2)</f>
        <v/>
      </c>
      <c r="D53" s="31" t="n"/>
      <c r="I53" s="100">
        <f>ROUND(I41/I7,2)</f>
        <v/>
      </c>
    </row>
    <row r="54" ht="16" customHeight="1" thickBot="1">
      <c r="A54" s="168" t="n"/>
      <c r="B54" s="17" t="n"/>
      <c r="C54" s="612" t="n"/>
      <c r="D54" s="31" t="n"/>
    </row>
    <row r="55" ht="16" customHeight="1">
      <c r="A55" s="47" t="inlineStr">
        <is>
          <t>YIELD SENSITIVITY (same expenses but average yield)</t>
        </is>
      </c>
      <c r="B55" s="169" t="n"/>
      <c r="C55" s="604" t="n"/>
      <c r="D55" s="31" t="n"/>
    </row>
    <row r="56" ht="16" customHeight="1">
      <c r="A56" s="170" t="inlineStr">
        <is>
          <t>Provincial average yield (lb./ac)</t>
        </is>
      </c>
      <c r="B56" s="171" t="n"/>
      <c r="C56" s="472">
        <f>I7</f>
        <v/>
      </c>
      <c r="D56" s="31" t="n"/>
    </row>
    <row r="57" ht="16" customHeight="1">
      <c r="A57" s="170" t="inlineStr">
        <is>
          <t xml:space="preserve"> Return over Variable Expenses </t>
        </is>
      </c>
      <c r="B57" s="171" t="n"/>
      <c r="C57" s="472">
        <f>I44</f>
        <v/>
      </c>
      <c r="D57" s="31" t="n"/>
    </row>
    <row r="58" ht="16" customHeight="1" thickBot="1">
      <c r="A58" s="845" t="inlineStr">
        <is>
          <t xml:space="preserve"> Return over Total Expenses </t>
        </is>
      </c>
      <c r="B58" s="173" t="n"/>
      <c r="C58" s="430">
        <f>I45</f>
        <v/>
      </c>
      <c r="D58" s="750" t="n"/>
    </row>
    <row r="59" ht="16" customHeight="1">
      <c r="A59" s="22" t="inlineStr">
        <is>
          <t>*Farm managers need to determine their own actual labour and management costs and add it to total expenses.</t>
        </is>
      </c>
      <c r="B59" s="17" t="n"/>
      <c r="C59" s="17" t="n"/>
    </row>
    <row r="60">
      <c r="A60" s="874" t="n"/>
      <c r="B60" s="17" t="n"/>
      <c r="C60" s="17" t="n"/>
    </row>
    <row r="61">
      <c r="A61" s="22" t="n"/>
      <c r="B61" s="175" t="n"/>
      <c r="C61" s="532" t="n"/>
    </row>
    <row r="62">
      <c r="A62" s="22" t="n"/>
      <c r="B62" s="24" t="n"/>
      <c r="C62" s="24" t="n"/>
    </row>
    <row r="63">
      <c r="A63" s="24" t="n"/>
      <c r="B63" s="24" t="n"/>
      <c r="C63" s="24" t="n"/>
    </row>
    <row r="64">
      <c r="A64" s="24" t="n"/>
      <c r="B64" s="24" t="n"/>
      <c r="C64" s="24" t="n"/>
    </row>
    <row r="65">
      <c r="A65" s="176" t="n"/>
      <c r="B65" s="177" t="n"/>
      <c r="C65" s="177" t="n"/>
    </row>
    <row r="66">
      <c r="A66" s="176" t="n"/>
      <c r="B66" s="178" t="n"/>
      <c r="C66" s="178" t="n"/>
    </row>
  </sheetData>
  <mergeCells count="2">
    <mergeCell ref="D4:D58"/>
    <mergeCell ref="B3:D3"/>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Sask. Agriculture &amp; Food</dc:creator>
  <dcterms:created xsi:type="dcterms:W3CDTF">2001-01-29T14:38:03Z</dcterms:created>
  <dcterms:modified xsi:type="dcterms:W3CDTF">2026-08-17T02:27:47Z</dcterms:modified>
  <cp:lastModifiedBy>Maciag, Joseph AG</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0x01010063364664D0FAE840834E12CF41B080CC</vt:lpwstr>
  </property>
  <property name="_dlc_DocIdItemGuid" fmtid="{D5CDD505-2E9C-101B-9397-08002B2CF9AE}" pid="3">
    <vt:lpwstr>c8cc27a6-b412-425f-ab2a-6f5595928c28</vt:lpwstr>
  </property>
  <property name="MediaServiceImageTags" fmtid="{D5CDD505-2E9C-101B-9397-08002B2CF9AE}" pid="4">
    <vt:lpwstr/>
  </property>
</Properties>
</file>