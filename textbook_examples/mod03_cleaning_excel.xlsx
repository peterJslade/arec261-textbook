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175" documentId="11_2EC58D42972F256C2DD3C8734E5ED87656CD7F61" xr6:coauthVersionLast="47" xr6:coauthVersionMax="47" xr10:uidLastSave="{934E9118-83A8-6743-ABF7-05AAAC734369}"/>
  <bookViews>
    <workbookView xWindow="0" yWindow="620" windowWidth="38400" windowHeight="20980" activeTab="1" xr2:uid="{00000000-000D-0000-FFFF-FFFF00000000}"/>
  </bookViews>
  <sheets>
    <sheet name="Raw" sheetId="3" r:id="rId1"/>
    <sheet name="Checking" sheetId="2" r:id="rId2"/>
    <sheet name="Cleaning" sheetId="1" r:id="rId3"/>
  </sheets>
  <externalReferences>
    <externalReference r:id="rId4"/>
  </externalReferences>
  <definedNames>
    <definedName name="_xlchart.v1.0" hidden="1">Checking!$F$5:$F$23</definedName>
    <definedName name="_xlchart.v1.1" hidden="1">Checking!$E$5:$E$23</definedName>
    <definedName name="_xlchart.v1.2" hidden="1">Checking!$G$19:$G$23</definedName>
    <definedName name="_xlchart.v1.3" hidden="1">Checking!$G$4:$G$18</definedName>
    <definedName name="_xlchart.v1.4" hidden="1">Checking!$F$19:$F$23</definedName>
    <definedName name="_xlchart.v1.5" hidden="1">Checking!$F$4:$F$18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2" l="1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23" i="2"/>
  <c r="I5" i="1"/>
  <c r="D33" i="1" s="1"/>
  <c r="D35" i="2" a="1"/>
  <c r="D35" i="2" s="1"/>
  <c r="E35" i="2" s="1"/>
  <c r="G31" i="2"/>
  <c r="F31" i="2"/>
  <c r="E31" i="2"/>
  <c r="D31" i="2"/>
  <c r="B31" i="2"/>
  <c r="B30" i="2"/>
  <c r="D30" i="2"/>
  <c r="C31" i="2"/>
  <c r="G30" i="2"/>
  <c r="F30" i="2"/>
  <c r="E30" i="2"/>
  <c r="C30" i="2"/>
  <c r="H23" i="3"/>
  <c r="G23" i="3"/>
  <c r="H22" i="3"/>
  <c r="G22" i="3"/>
  <c r="H21" i="3"/>
  <c r="G21" i="3"/>
  <c r="H20" i="3"/>
  <c r="G20" i="3"/>
  <c r="H19" i="3"/>
  <c r="G19" i="3"/>
  <c r="H18" i="3"/>
  <c r="G18" i="3"/>
  <c r="H17" i="3"/>
  <c r="G17" i="3"/>
  <c r="H16" i="3"/>
  <c r="G16" i="3"/>
  <c r="H15" i="3"/>
  <c r="G15" i="3"/>
  <c r="H14" i="3"/>
  <c r="G14" i="3"/>
  <c r="H13" i="3"/>
  <c r="G13" i="3"/>
  <c r="H12" i="3"/>
  <c r="G12" i="3"/>
  <c r="H11" i="3"/>
  <c r="G11" i="3"/>
  <c r="H10" i="3"/>
  <c r="G10" i="3"/>
  <c r="H9" i="3"/>
  <c r="G9" i="3"/>
  <c r="H8" i="3"/>
  <c r="G8" i="3"/>
  <c r="H7" i="3"/>
  <c r="G7" i="3"/>
  <c r="H6" i="3"/>
  <c r="G6" i="3"/>
  <c r="H5" i="3"/>
  <c r="G5" i="3"/>
  <c r="C28" i="2"/>
  <c r="C27" i="2"/>
  <c r="C26" i="2"/>
  <c r="E44" i="2"/>
  <c r="E43" i="2"/>
  <c r="F29" i="2"/>
  <c r="E29" i="2"/>
  <c r="G26" i="2"/>
  <c r="G27" i="2"/>
  <c r="F27" i="2"/>
  <c r="E27" i="2"/>
  <c r="F26" i="2"/>
  <c r="E26" i="2"/>
  <c r="D32" i="1"/>
  <c r="D31" i="1"/>
  <c r="D30" i="1"/>
  <c r="D29" i="1"/>
  <c r="D28" i="1"/>
  <c r="J23" i="1"/>
  <c r="I23" i="1"/>
  <c r="H23" i="1"/>
  <c r="G23" i="1"/>
  <c r="J22" i="1"/>
  <c r="I22" i="1"/>
  <c r="H22" i="1"/>
  <c r="G22" i="1"/>
  <c r="J21" i="1"/>
  <c r="I21" i="1"/>
  <c r="H21" i="1"/>
  <c r="G21" i="1"/>
  <c r="J20" i="1"/>
  <c r="I20" i="1"/>
  <c r="H20" i="1"/>
  <c r="G20" i="1"/>
  <c r="J19" i="1"/>
  <c r="I19" i="1"/>
  <c r="H19" i="1"/>
  <c r="G19" i="1"/>
  <c r="J18" i="1"/>
  <c r="I18" i="1"/>
  <c r="H18" i="1"/>
  <c r="G18" i="1"/>
  <c r="J17" i="1"/>
  <c r="I17" i="1"/>
  <c r="H17" i="1"/>
  <c r="G17" i="1"/>
  <c r="J16" i="1"/>
  <c r="I16" i="1"/>
  <c r="H16" i="1"/>
  <c r="G16" i="1"/>
  <c r="J15" i="1"/>
  <c r="I15" i="1"/>
  <c r="H15" i="1"/>
  <c r="G15" i="1"/>
  <c r="J14" i="1"/>
  <c r="I14" i="1"/>
  <c r="H14" i="1"/>
  <c r="G14" i="1"/>
  <c r="J13" i="1"/>
  <c r="I13" i="1"/>
  <c r="H13" i="1"/>
  <c r="G13" i="1"/>
  <c r="J12" i="1"/>
  <c r="I12" i="1"/>
  <c r="H12" i="1"/>
  <c r="G12" i="1"/>
  <c r="J11" i="1"/>
  <c r="I11" i="1"/>
  <c r="H11" i="1"/>
  <c r="G11" i="1"/>
  <c r="J10" i="1"/>
  <c r="I10" i="1"/>
  <c r="H10" i="1"/>
  <c r="G10" i="1"/>
  <c r="J9" i="1"/>
  <c r="I9" i="1"/>
  <c r="H9" i="1"/>
  <c r="G9" i="1"/>
  <c r="J8" i="1"/>
  <c r="I8" i="1"/>
  <c r="H8" i="1"/>
  <c r="G8" i="1"/>
  <c r="J7" i="1"/>
  <c r="I7" i="1"/>
  <c r="H7" i="1"/>
  <c r="G7" i="1"/>
  <c r="J6" i="1"/>
  <c r="I6" i="1"/>
  <c r="H6" i="1"/>
  <c r="G6" i="1"/>
  <c r="J5" i="1"/>
  <c r="H5" i="1"/>
  <c r="G5" i="1"/>
  <c r="G28" i="2" a="1"/>
  <c r="F28" i="2" a="1"/>
  <c r="E28" i="2" a="1"/>
  <c r="E33" i="1"/>
  <c r="E32" i="1"/>
  <c r="K19" i="1"/>
  <c r="E31" i="1"/>
  <c r="H25" i="1"/>
  <c r="E30" i="1"/>
  <c r="K23" i="1"/>
  <c r="E29" i="1"/>
  <c r="K18" i="1"/>
  <c r="K10" i="1"/>
  <c r="K21" i="1"/>
  <c r="K13" i="1"/>
  <c r="K5" i="1"/>
  <c r="E28" i="1"/>
  <c r="K16" i="1"/>
  <c r="K8" i="1"/>
  <c r="K11" i="1"/>
  <c r="I25" i="1"/>
  <c r="K22" i="1"/>
  <c r="K14" i="1"/>
  <c r="K6" i="1"/>
  <c r="K17" i="1"/>
  <c r="K9" i="1"/>
  <c r="G25" i="1"/>
  <c r="K20" i="1"/>
  <c r="K12" i="1"/>
  <c r="K15" i="1"/>
  <c r="K7" i="1"/>
  <c r="E37" i="2" l="1"/>
  <c r="E36" i="2"/>
  <c r="E38" i="2"/>
  <c r="E39" i="2"/>
  <c r="G28" i="2"/>
  <c r="F28" i="2"/>
  <c r="E28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<sst xmlns="http://schemas.openxmlformats.org/spreadsheetml/2006/main" count="227" uniqueCount="80">
  <si>
    <t>Cleaning a messy file in Excel</t>
  </si>
  <si>
    <t>Grain delivery tickets, as they arrived.  Columns A-F are the raw data.  Columns G-J are cleaning formulas: a tidied crop name, moisture with the decimal-entered values rescaled, a duplicate count on the ticket number, and a flag for impossible weights.  Column K shows the formula in the column to its left.  Nothing in A-F is changed; the cleaned version sits beside the original so you can still see what you started with.</t>
  </si>
  <si>
    <t>ticket_id</t>
  </si>
  <si>
    <t>delivery_date</t>
  </si>
  <si>
    <t>crop</t>
  </si>
  <si>
    <t>weight_tonnes</t>
  </si>
  <si>
    <t>moisture_pct</t>
  </si>
  <si>
    <t>grade</t>
  </si>
  <si>
    <t>crop_clean</t>
  </si>
  <si>
    <t>moisture_fixed</t>
  </si>
  <si>
    <t>ticket_count</t>
  </si>
  <si>
    <t>weight_flag</t>
  </si>
  <si>
    <t>formula (column J)</t>
  </si>
  <si>
    <t>T0001</t>
  </si>
  <si>
    <t>2025-09-07</t>
  </si>
  <si>
    <t>barley</t>
  </si>
  <si>
    <t>T0003</t>
  </si>
  <si>
    <t>2025-09-23</t>
  </si>
  <si>
    <t>T0004</t>
  </si>
  <si>
    <t>15/10/2025</t>
  </si>
  <si>
    <t>canola</t>
  </si>
  <si>
    <t>T0006</t>
  </si>
  <si>
    <t>2025-09-11</t>
  </si>
  <si>
    <t>Spring wheat</t>
  </si>
  <si>
    <t>T0008</t>
  </si>
  <si>
    <t>2025-10-27</t>
  </si>
  <si>
    <t>T0009</t>
  </si>
  <si>
    <t>2025-09-21</t>
  </si>
  <si>
    <t>T0010</t>
  </si>
  <si>
    <t>2025-10-28</t>
  </si>
  <si>
    <t xml:space="preserve">Canola </t>
  </si>
  <si>
    <t>T0013</t>
  </si>
  <si>
    <t>2025-09-10</t>
  </si>
  <si>
    <t>spring wheat</t>
  </si>
  <si>
    <t>T0014</t>
  </si>
  <si>
    <t>2025-10-11</t>
  </si>
  <si>
    <t>T0016</t>
  </si>
  <si>
    <t>2025-11-28</t>
  </si>
  <si>
    <t>T0017</t>
  </si>
  <si>
    <t>2025-11-15</t>
  </si>
  <si>
    <t>T0019</t>
  </si>
  <si>
    <t>2025-11-13</t>
  </si>
  <si>
    <t>T0020</t>
  </si>
  <si>
    <t>2025-11-06</t>
  </si>
  <si>
    <t>T0022</t>
  </si>
  <si>
    <t>2025-10-01</t>
  </si>
  <si>
    <t>peas</t>
  </si>
  <si>
    <t>N/A</t>
  </si>
  <si>
    <t>T0002</t>
  </si>
  <si>
    <t>2025-11-25</t>
  </si>
  <si>
    <t>Peas</t>
  </si>
  <si>
    <t>T0005</t>
  </si>
  <si>
    <t>2025-10-16</t>
  </si>
  <si>
    <t>T0007</t>
  </si>
  <si>
    <t>2025-11-20</t>
  </si>
  <si>
    <t>Barley</t>
  </si>
  <si>
    <t>T0011</t>
  </si>
  <si>
    <t>2025-09-17</t>
  </si>
  <si>
    <t>Formulas in G, H and I:</t>
  </si>
  <si>
    <t>Summary checks</t>
  </si>
  <si>
    <t>Smallest weight</t>
  </si>
  <si>
    <t>Largest moisture</t>
  </si>
  <si>
    <t>Smallest moisture</t>
  </si>
  <si>
    <t>Blank moisture readings</t>
  </si>
  <si>
    <t>Text in the moisture column</t>
  </si>
  <si>
    <t>Tickets entered more than once</t>
  </si>
  <si>
    <t>Min</t>
  </si>
  <si>
    <t>Max</t>
  </si>
  <si>
    <t>Mean</t>
  </si>
  <si>
    <t>Crop</t>
  </si>
  <si>
    <t>Count</t>
  </si>
  <si>
    <t>Summary statistics of numeric variables</t>
  </si>
  <si>
    <t>St dev</t>
  </si>
  <si>
    <t>Count of crops</t>
  </si>
  <si>
    <t>Count of rows</t>
  </si>
  <si>
    <t>Number of rows</t>
  </si>
  <si>
    <t>Numer of unique rows</t>
  </si>
  <si>
    <t>duplicate_ticket?</t>
  </si>
  <si>
    <t>NA values</t>
  </si>
  <si>
    <t>Blanks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</si>
</sst>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1"/>
      <color rgb="FFFFFFFF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b/>
      <sz val="11"/>
      <color rgb="FF4A7C59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24302A"/>
      <name val="Arial"/>
      <family val="2"/>
    </font>
    <font>
      <sz val="11"/>
      <color rgb="FF2F5D46"/>
      <name val="Arial"/>
      <family val="2"/>
    </font>
    <font>
      <sz val="11"/>
      <color rgb="FF5C6B62"/>
      <name val="Arial"/>
      <family val="2"/>
    </font>
    <font>
      <b/>
      <sz val="11"/>
      <color rgb="FF24302A"/>
      <name val="Arial"/>
      <family val="2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4A7C59"/>
      </patternFill>
    </fill>
    <fill>
      <patternFill patternType="solid">
        <fgColor rgb="FFF6EFD9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3" fillId="2" borderId="0" xfId="0" applyFont="1" applyFill="1"/>
    <xf numFmtId="0" fontId="4" fillId="0" borderId="0" xfId="0" applyFont="1"/>
    <xf numFmtId="0" fontId="4" fillId="3" borderId="0" xfId="0" applyFont="1" applyFill="1"/>
    <xf numFmtId="0" fontId="5" fillId="0" borderId="0" xfId="0" applyFont="1"/>
    <xf numFmtId="0" fontId="2" fillId="0" borderId="0" xfId="0" applyFont="1"/>
    <xf numFmtId="0" fontId="6" fillId="0" borderId="0" xfId="0" applyFont="1"/>
    <xf numFmtId="0" fontId="2" fillId="0" borderId="0" xfId="0" applyFont="1" applyAlignment="1">
      <alignment horizontal="left" vertical="top" wrapText="1"/>
    </xf>
    <xf numFmtId="0" fontId="0" fillId="0" borderId="0" xfId="0"/>
    <xf numFmtId="0" fontId="0" fillId="5" borderId="0" xfId="0" applyFill="1"/>
    <xf numFmtId="0" fontId="8" fillId="5" borderId="0" xfId="0" applyFont="1" applyFill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0" fillId="5" borderId="0" xfId="0" applyFont="1" applyFill="1"/>
    <xf numFmtId="0" fontId="9" fillId="5" borderId="0" xfId="0" applyFont="1" applyFill="1"/>
    <xf numFmtId="0" fontId="3" fillId="0" borderId="0" xfId="0" applyFont="1" applyFill="1"/>
    <xf numFmtId="0" fontId="9" fillId="0" borderId="0" xfId="0" applyFont="1" applyFill="1"/>
    <xf numFmtId="0" fontId="10" fillId="0" borderId="0" xfId="0" applyFont="1" applyFill="1"/>
    <xf numFmtId="0" fontId="7" fillId="4" borderId="0" xfId="0" applyFont="1" applyFill="1" applyAlignment="1">
      <alignment horizontal="center"/>
    </xf>
    <xf numFmtId="0" fontId="12" fillId="4" borderId="0" xfId="0" applyFont="1" applyFill="1"/>
    <xf numFmtId="0" fontId="8" fillId="0" borderId="0" xfId="0" applyFont="1" applyFill="1"/>
    <xf numFmtId="0" fontId="13" fillId="0" borderId="0" xfId="0" applyFont="1" applyFill="1"/>
    <xf numFmtId="0" fontId="4" fillId="0" borderId="0" xfId="0" applyFont="1" applyFill="1"/>
    <xf numFmtId="0" fontId="5" fillId="0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Histogram of weight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Histogram of weight</a:t>
          </a:r>
        </a:p>
      </cx:txPr>
    </cx:title>
    <cx:plotArea>
      <cx:plotAreaRegion>
        <cx:series layoutId="clusteredColumn" uniqueId="{00000000-89DD-7D42-8EE9-555B5DDC6195}">
          <cx:dataPt idx="0"/>
          <cx:dataId val="0"/>
          <cx:layoutPr>
            <cx:binning intervalClosed="r" underflow="auto" overflow="auto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HIstogram of moisture_pct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HIstogram of moisture_pct</a:t>
          </a:r>
        </a:p>
      </cx:txPr>
      <cx:extLst>
        <cx:ext uri="ext:featex">
          <cx:featureExtension feature="mp" drop="onModelChange">
            <cx:offset top="0.0555555559694767" left="0.055555582046508789"/>
          </cx:featureExtension>
        </cx:ext>
      </cx:extLst>
    </cx:title>
    <cx:plotArea>
      <cx:plotAreaRegion>
        <cx:series layoutId="clusteredColumn" uniqueId="{00000000-EC73-434A-BC4C-3AEBBD61B70C}">
          <cx:dataId val="0"/>
          <cx:layoutPr>
            <cx:binning intervalClosed="r" underflow="1" overflow="auto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>
      <cx:tx>
        <cx:txData>
          <cx:v>HIstogram of grade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HIstogram of grade</a:t>
          </a:r>
        </a:p>
      </cx:txPr>
    </cx:title>
    <cx:plotArea>
      <cx:plotAreaRegion>
        <cx:series layoutId="clusteredColumn" uniqueId="{00000000-8465-7D47-BEB8-010ACDA53A26}">
          <cx:tx>
            <cx:txData>
              <cx:f>_xlchart.v1.3</cx:f>
              <cx:v>grade 3 2 3 2 3 2 3 2 1 3 2 2 1 N/A</cx:v>
            </cx:txData>
          </cx:tx>
          <cx:dataId val="0"/>
          <cx:layoutPr>
            <cx:binning intervalClosed="r">
              <cx:binCount val="3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717550</xdr:colOff>
      <xdr:row>4</xdr:row>
      <xdr:rowOff>38100</xdr:rowOff>
    </xdr:from>
    <xdr:to>
      <xdr:col>13</xdr:col>
      <xdr:colOff>577850</xdr:colOff>
      <xdr:row>18</xdr:row>
      <xdr:rowOff>114300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A671AE36-1BD9-505E-46AF-63329C7770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12450" y="13843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736600</xdr:colOff>
      <xdr:row>19</xdr:row>
      <xdr:rowOff>50800</xdr:rowOff>
    </xdr:from>
    <xdr:to>
      <xdr:col>13</xdr:col>
      <xdr:colOff>596900</xdr:colOff>
      <xdr:row>33</xdr:row>
      <xdr:rowOff>127000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9A5DAB8A-DA1F-C43E-1078-EB57E270A03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31500" y="42545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825500</xdr:colOff>
      <xdr:row>34</xdr:row>
      <xdr:rowOff>76200</xdr:rowOff>
    </xdr:from>
    <xdr:to>
      <xdr:col>14</xdr:col>
      <xdr:colOff>12700</xdr:colOff>
      <xdr:row>48</xdr:row>
      <xdr:rowOff>152400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34EE642F-6E39-39F6-C1A5-F6F3395F75D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820400" y="71374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Users/peterslade/Downloads/XRealStats-Mac.xlam" TargetMode="External"/><Relationship Id="rId2" Type="http://schemas.openxmlformats.org/officeDocument/2006/relationships/externalLinkPath" Target="https://usaskca1-my.sharepoint.com/Users/peterslade/Downloads/XRealStats-Mac.xlam" TargetMode="External"/><Relationship Id="rId1" Type="http://schemas.openxmlformats.org/officeDocument/2006/relationships/externalLinkPath" Target="/Users/peterslade/Downloads/XRealStats-Mac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fig"/>
      <sheetName val="Wilcoxon Table"/>
      <sheetName val="Mann Table"/>
      <sheetName val="RSign Table"/>
      <sheetName val="Runs Table"/>
      <sheetName val="KS Table"/>
      <sheetName val="KS2 Table"/>
      <sheetName val="Lil Table"/>
      <sheetName val="AD Table"/>
      <sheetName val="AD2 Table"/>
      <sheetName val="SW Table"/>
      <sheetName val="Stud. Q Table"/>
      <sheetName val="Stud. Q Table 2"/>
      <sheetName val="Sp Rho Table"/>
      <sheetName val="Ken Tau Table"/>
      <sheetName val="Durbin Table"/>
      <sheetName val="Dunnett Table"/>
      <sheetName val="Dunnett 1"/>
      <sheetName val="Prime"/>
      <sheetName val="MSSD"/>
      <sheetName val="Dict"/>
      <sheetName val="ADict"/>
    </sheetNames>
    <definedNames>
      <definedName name="MEAN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E7FBA-A6BA-1E4E-8C05-5599C8734FB9}">
  <dimension ref="A1:K33"/>
  <sheetViews>
    <sheetView workbookViewId="0">
      <pane ySplit="4" topLeftCell="A5" activePane="bottomLeft" state="frozen"/>
      <selection pane="bottomLeft" activeCell="A23" sqref="A23:H23"/>
    </sheetView>
  </sheetViews>
  <sheetFormatPr baseColWidth="10" defaultColWidth="8.83203125" defaultRowHeight="15" x14ac:dyDescent="0.2"/>
  <cols>
    <col min="1" max="1" width="10" customWidth="1"/>
    <col min="2" max="2" width="13" customWidth="1"/>
    <col min="3" max="4" width="14" customWidth="1"/>
    <col min="5" max="5" width="13" customWidth="1"/>
    <col min="6" max="6" width="7" customWidth="1"/>
    <col min="7" max="7" width="14" customWidth="1"/>
    <col min="8" max="8" width="15" customWidth="1"/>
    <col min="9" max="9" width="13" customWidth="1"/>
    <col min="10" max="10" width="12" customWidth="1"/>
    <col min="11" max="11" width="28" customWidth="1"/>
  </cols>
  <sheetData>
    <row r="1" spans="1:11" ht="18" x14ac:dyDescent="0.2">
      <c r="A1" s="1" t="s">
        <v>0</v>
      </c>
    </row>
    <row r="2" spans="1:11" ht="58" customHeight="1" x14ac:dyDescent="0.2">
      <c r="A2" s="8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</row>
    <row r="4" spans="1:11" x14ac:dyDescent="0.2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18"/>
      <c r="J4" s="18"/>
      <c r="K4" s="18"/>
    </row>
    <row r="5" spans="1:11" x14ac:dyDescent="0.2">
      <c r="A5" s="3" t="s">
        <v>13</v>
      </c>
      <c r="B5" s="3" t="s">
        <v>14</v>
      </c>
      <c r="C5" s="3" t="s">
        <v>15</v>
      </c>
      <c r="D5" s="3">
        <v>44</v>
      </c>
      <c r="E5" s="3">
        <v>10.4</v>
      </c>
      <c r="F5" s="3">
        <v>3</v>
      </c>
      <c r="G5" s="3" t="str">
        <f t="shared" ref="G5:G23" si="0">PROPER(TRIM(C5))</f>
        <v>Barley</v>
      </c>
      <c r="H5" s="3">
        <f t="shared" ref="H5:H23" si="1">IF(ISNUMBER(E5),IF(E5&lt;1,E5*100,E5),"")</f>
        <v>10.4</v>
      </c>
      <c r="I5" s="25"/>
      <c r="J5" s="25"/>
      <c r="K5" s="26"/>
    </row>
    <row r="6" spans="1:11" x14ac:dyDescent="0.2">
      <c r="A6" s="3" t="s">
        <v>16</v>
      </c>
      <c r="B6" s="3" t="s">
        <v>17</v>
      </c>
      <c r="C6" s="3" t="s">
        <v>15</v>
      </c>
      <c r="D6" s="3">
        <v>38</v>
      </c>
      <c r="E6" s="3">
        <v>10.199999999999999</v>
      </c>
      <c r="F6" s="3">
        <v>2</v>
      </c>
      <c r="G6" s="3" t="str">
        <f t="shared" si="0"/>
        <v>Barley</v>
      </c>
      <c r="H6" s="3">
        <f t="shared" si="1"/>
        <v>10.199999999999999</v>
      </c>
      <c r="I6" s="25"/>
      <c r="J6" s="25"/>
      <c r="K6" s="26"/>
    </row>
    <row r="7" spans="1:11" x14ac:dyDescent="0.2">
      <c r="A7" s="3" t="s">
        <v>18</v>
      </c>
      <c r="B7" s="3" t="s">
        <v>19</v>
      </c>
      <c r="C7" s="3" t="s">
        <v>20</v>
      </c>
      <c r="D7" s="3">
        <v>34.700000000000003</v>
      </c>
      <c r="E7" s="3">
        <v>7</v>
      </c>
      <c r="F7" s="3">
        <v>3</v>
      </c>
      <c r="G7" s="3" t="str">
        <f t="shared" si="0"/>
        <v>Canola</v>
      </c>
      <c r="H7" s="3">
        <f t="shared" si="1"/>
        <v>7</v>
      </c>
      <c r="I7" s="25"/>
      <c r="J7" s="25"/>
      <c r="K7" s="26"/>
    </row>
    <row r="8" spans="1:11" x14ac:dyDescent="0.2">
      <c r="A8" s="3" t="s">
        <v>21</v>
      </c>
      <c r="B8" s="3" t="s">
        <v>22</v>
      </c>
      <c r="C8" s="3" t="s">
        <v>23</v>
      </c>
      <c r="D8" s="3">
        <v>-12.4</v>
      </c>
      <c r="E8" s="3">
        <v>9.6999999999999993</v>
      </c>
      <c r="F8" s="3">
        <v>2</v>
      </c>
      <c r="G8" s="3" t="str">
        <f t="shared" si="0"/>
        <v>Spring Wheat</v>
      </c>
      <c r="H8" s="3">
        <f t="shared" si="1"/>
        <v>9.6999999999999993</v>
      </c>
      <c r="I8" s="25"/>
      <c r="J8" s="25"/>
      <c r="K8" s="26"/>
    </row>
    <row r="9" spans="1:11" x14ac:dyDescent="0.2">
      <c r="A9" s="3" t="s">
        <v>24</v>
      </c>
      <c r="B9" s="3" t="s">
        <v>25</v>
      </c>
      <c r="C9" s="3" t="s">
        <v>23</v>
      </c>
      <c r="D9" s="3">
        <v>48.1</v>
      </c>
      <c r="E9" s="3"/>
      <c r="F9" s="3">
        <v>3</v>
      </c>
      <c r="G9" s="3" t="str">
        <f t="shared" si="0"/>
        <v>Spring Wheat</v>
      </c>
      <c r="H9" s="3" t="str">
        <f t="shared" si="1"/>
        <v/>
      </c>
      <c r="I9" s="25"/>
      <c r="J9" s="25"/>
      <c r="K9" s="26"/>
    </row>
    <row r="10" spans="1:11" x14ac:dyDescent="0.2">
      <c r="A10" s="3" t="s">
        <v>26</v>
      </c>
      <c r="B10" s="3" t="s">
        <v>27</v>
      </c>
      <c r="C10" s="3" t="s">
        <v>23</v>
      </c>
      <c r="D10" s="3">
        <v>39.200000000000003</v>
      </c>
      <c r="E10" s="3">
        <v>8.1999999999999993</v>
      </c>
      <c r="F10" s="3">
        <v>2</v>
      </c>
      <c r="G10" s="3" t="str">
        <f t="shared" si="0"/>
        <v>Spring Wheat</v>
      </c>
      <c r="H10" s="3">
        <f t="shared" si="1"/>
        <v>8.1999999999999993</v>
      </c>
      <c r="I10" s="25"/>
      <c r="J10" s="25"/>
      <c r="K10" s="26"/>
    </row>
    <row r="11" spans="1:11" x14ac:dyDescent="0.2">
      <c r="A11" s="3" t="s">
        <v>28</v>
      </c>
      <c r="B11" s="3" t="s">
        <v>29</v>
      </c>
      <c r="C11" s="3" t="s">
        <v>30</v>
      </c>
      <c r="D11" s="3">
        <v>42.9</v>
      </c>
      <c r="E11" s="3">
        <v>9.9000000000000005E-2</v>
      </c>
      <c r="F11" s="3">
        <v>3</v>
      </c>
      <c r="G11" s="3" t="str">
        <f t="shared" si="0"/>
        <v>Canola</v>
      </c>
      <c r="H11" s="3">
        <f t="shared" si="1"/>
        <v>9.9</v>
      </c>
      <c r="I11" s="25"/>
      <c r="J11" s="25"/>
      <c r="K11" s="26"/>
    </row>
    <row r="12" spans="1:11" x14ac:dyDescent="0.2">
      <c r="A12" s="3" t="s">
        <v>31</v>
      </c>
      <c r="B12" s="3" t="s">
        <v>32</v>
      </c>
      <c r="C12" s="3" t="s">
        <v>33</v>
      </c>
      <c r="D12" s="3">
        <v>36.5</v>
      </c>
      <c r="E12" s="3">
        <v>11.2</v>
      </c>
      <c r="F12" s="3">
        <v>2</v>
      </c>
      <c r="G12" s="3" t="str">
        <f t="shared" si="0"/>
        <v>Spring Wheat</v>
      </c>
      <c r="H12" s="3">
        <f t="shared" si="1"/>
        <v>11.2</v>
      </c>
      <c r="I12" s="25"/>
      <c r="J12" s="25"/>
      <c r="K12" s="26"/>
    </row>
    <row r="13" spans="1:11" x14ac:dyDescent="0.2">
      <c r="A13" s="3" t="s">
        <v>34</v>
      </c>
      <c r="B13" s="3" t="s">
        <v>35</v>
      </c>
      <c r="C13" s="3" t="s">
        <v>23</v>
      </c>
      <c r="D13" s="3">
        <v>36.200000000000003</v>
      </c>
      <c r="E13" s="3">
        <v>7.9</v>
      </c>
      <c r="F13" s="3">
        <v>1</v>
      </c>
      <c r="G13" s="3" t="str">
        <f t="shared" si="0"/>
        <v>Spring Wheat</v>
      </c>
      <c r="H13" s="3">
        <f t="shared" si="1"/>
        <v>7.9</v>
      </c>
      <c r="I13" s="25"/>
      <c r="J13" s="25"/>
      <c r="K13" s="26"/>
    </row>
    <row r="14" spans="1:11" x14ac:dyDescent="0.2">
      <c r="A14" s="3" t="s">
        <v>36</v>
      </c>
      <c r="B14" s="3" t="s">
        <v>37</v>
      </c>
      <c r="C14" s="3" t="s">
        <v>20</v>
      </c>
      <c r="D14" s="3">
        <v>41.5</v>
      </c>
      <c r="E14" s="3">
        <v>9.3000000000000007</v>
      </c>
      <c r="F14" s="3">
        <v>3</v>
      </c>
      <c r="G14" s="3" t="str">
        <f t="shared" si="0"/>
        <v>Canola</v>
      </c>
      <c r="H14" s="3">
        <f t="shared" si="1"/>
        <v>9.3000000000000007</v>
      </c>
      <c r="I14" s="25"/>
      <c r="J14" s="25"/>
      <c r="K14" s="26"/>
    </row>
    <row r="15" spans="1:11" x14ac:dyDescent="0.2">
      <c r="A15" s="3" t="s">
        <v>38</v>
      </c>
      <c r="B15" s="3" t="s">
        <v>39</v>
      </c>
      <c r="C15" s="3" t="s">
        <v>33</v>
      </c>
      <c r="D15" s="3">
        <v>33.299999999999997</v>
      </c>
      <c r="E15" s="3">
        <v>11.3</v>
      </c>
      <c r="F15" s="3">
        <v>2</v>
      </c>
      <c r="G15" s="3" t="str">
        <f t="shared" si="0"/>
        <v>Spring Wheat</v>
      </c>
      <c r="H15" s="3">
        <f t="shared" si="1"/>
        <v>11.3</v>
      </c>
      <c r="I15" s="25"/>
      <c r="J15" s="25"/>
      <c r="K15" s="26"/>
    </row>
    <row r="16" spans="1:11" x14ac:dyDescent="0.2">
      <c r="A16" s="3" t="s">
        <v>40</v>
      </c>
      <c r="B16" s="3" t="s">
        <v>41</v>
      </c>
      <c r="C16" s="3" t="s">
        <v>15</v>
      </c>
      <c r="D16" s="3">
        <v>33.200000000000003</v>
      </c>
      <c r="E16" s="3">
        <v>14.6</v>
      </c>
      <c r="F16" s="3">
        <v>2</v>
      </c>
      <c r="G16" s="3" t="str">
        <f t="shared" si="0"/>
        <v>Barley</v>
      </c>
      <c r="H16" s="3">
        <f t="shared" si="1"/>
        <v>14.6</v>
      </c>
      <c r="I16" s="25"/>
      <c r="J16" s="25"/>
      <c r="K16" s="26"/>
    </row>
    <row r="17" spans="1:11" x14ac:dyDescent="0.2">
      <c r="A17" s="3" t="s">
        <v>42</v>
      </c>
      <c r="B17" s="3" t="s">
        <v>43</v>
      </c>
      <c r="C17" s="3" t="s">
        <v>23</v>
      </c>
      <c r="D17" s="3">
        <v>22.7</v>
      </c>
      <c r="E17" s="3">
        <v>9</v>
      </c>
      <c r="F17" s="3">
        <v>1</v>
      </c>
      <c r="G17" s="3" t="str">
        <f t="shared" si="0"/>
        <v>Spring Wheat</v>
      </c>
      <c r="H17" s="3">
        <f t="shared" si="1"/>
        <v>9</v>
      </c>
      <c r="I17" s="25"/>
      <c r="J17" s="25"/>
      <c r="K17" s="26"/>
    </row>
    <row r="18" spans="1:11" x14ac:dyDescent="0.2">
      <c r="A18" s="3" t="s">
        <v>44</v>
      </c>
      <c r="B18" s="3" t="s">
        <v>45</v>
      </c>
      <c r="C18" s="3" t="s">
        <v>46</v>
      </c>
      <c r="D18" s="3">
        <v>17.399999999999999</v>
      </c>
      <c r="E18" s="3">
        <v>14.2</v>
      </c>
      <c r="F18" s="3" t="s">
        <v>47</v>
      </c>
      <c r="G18" s="3" t="str">
        <f t="shared" si="0"/>
        <v>Peas</v>
      </c>
      <c r="H18" s="3">
        <f t="shared" si="1"/>
        <v>14.2</v>
      </c>
      <c r="I18" s="25"/>
      <c r="J18" s="25"/>
      <c r="K18" s="26"/>
    </row>
    <row r="19" spans="1:11" x14ac:dyDescent="0.2">
      <c r="A19" s="3" t="s">
        <v>48</v>
      </c>
      <c r="B19" s="3" t="s">
        <v>49</v>
      </c>
      <c r="C19" s="3" t="s">
        <v>50</v>
      </c>
      <c r="D19" s="3">
        <v>44.8</v>
      </c>
      <c r="E19" s="3">
        <v>7.5</v>
      </c>
      <c r="F19" s="3">
        <v>3</v>
      </c>
      <c r="G19" s="3" t="str">
        <f t="shared" si="0"/>
        <v>Peas</v>
      </c>
      <c r="H19" s="3">
        <f t="shared" si="1"/>
        <v>7.5</v>
      </c>
      <c r="I19" s="25"/>
      <c r="J19" s="25"/>
      <c r="K19" s="26"/>
    </row>
    <row r="20" spans="1:11" x14ac:dyDescent="0.2">
      <c r="A20" s="3" t="s">
        <v>51</v>
      </c>
      <c r="B20" s="3" t="s">
        <v>52</v>
      </c>
      <c r="C20" s="3" t="s">
        <v>50</v>
      </c>
      <c r="D20" s="3">
        <v>42.2</v>
      </c>
      <c r="E20" s="3">
        <v>9</v>
      </c>
      <c r="F20" s="3">
        <v>1</v>
      </c>
      <c r="G20" s="3" t="str">
        <f t="shared" si="0"/>
        <v>Peas</v>
      </c>
      <c r="H20" s="3">
        <f t="shared" si="1"/>
        <v>9</v>
      </c>
      <c r="I20" s="25"/>
      <c r="J20" s="25"/>
      <c r="K20" s="26"/>
    </row>
    <row r="21" spans="1:11" x14ac:dyDescent="0.2">
      <c r="A21" s="3" t="s">
        <v>53</v>
      </c>
      <c r="B21" s="3" t="s">
        <v>54</v>
      </c>
      <c r="C21" s="3" t="s">
        <v>55</v>
      </c>
      <c r="D21" s="3">
        <v>29.5</v>
      </c>
      <c r="E21" s="3">
        <v>9.3000000000000007</v>
      </c>
      <c r="F21" s="3">
        <v>3</v>
      </c>
      <c r="G21" s="3" t="str">
        <f t="shared" si="0"/>
        <v>Barley</v>
      </c>
      <c r="H21" s="3">
        <f t="shared" si="1"/>
        <v>9.3000000000000007</v>
      </c>
      <c r="I21" s="25"/>
      <c r="J21" s="25"/>
      <c r="K21" s="26"/>
    </row>
    <row r="22" spans="1:11" x14ac:dyDescent="0.2">
      <c r="A22" s="3" t="s">
        <v>56</v>
      </c>
      <c r="B22" s="3" t="s">
        <v>57</v>
      </c>
      <c r="C22" s="3" t="s">
        <v>50</v>
      </c>
      <c r="D22" s="3">
        <v>37.9</v>
      </c>
      <c r="E22" s="3">
        <v>9.1999999999999993</v>
      </c>
      <c r="F22" s="3">
        <v>2</v>
      </c>
      <c r="G22" s="3" t="str">
        <f t="shared" si="0"/>
        <v>Peas</v>
      </c>
      <c r="H22" s="3">
        <f t="shared" si="1"/>
        <v>9.1999999999999993</v>
      </c>
      <c r="I22" s="25"/>
      <c r="J22" s="25"/>
      <c r="K22" s="26"/>
    </row>
    <row r="23" spans="1:11" x14ac:dyDescent="0.2">
      <c r="A23" s="3" t="s">
        <v>18</v>
      </c>
      <c r="B23" s="3" t="s">
        <v>19</v>
      </c>
      <c r="C23" s="3" t="s">
        <v>20</v>
      </c>
      <c r="D23" s="3">
        <v>34.700000000000003</v>
      </c>
      <c r="E23" s="3">
        <v>7</v>
      </c>
      <c r="F23" s="3">
        <v>3</v>
      </c>
      <c r="G23" s="3" t="str">
        <f t="shared" si="0"/>
        <v>Canola</v>
      </c>
      <c r="H23" s="3">
        <f t="shared" si="1"/>
        <v>7</v>
      </c>
      <c r="I23" s="25"/>
      <c r="J23" s="25"/>
      <c r="K23" s="26"/>
    </row>
    <row r="24" spans="1:11" x14ac:dyDescent="0.2">
      <c r="G24" s="6"/>
    </row>
    <row r="25" spans="1:11" x14ac:dyDescent="0.2">
      <c r="G25" s="5"/>
      <c r="H25" s="5"/>
      <c r="I25" s="5"/>
    </row>
    <row r="27" spans="1:11" x14ac:dyDescent="0.2">
      <c r="A27" s="7"/>
    </row>
    <row r="28" spans="1:11" x14ac:dyDescent="0.2">
      <c r="A28" s="3"/>
      <c r="D28" s="3"/>
      <c r="E28" s="5"/>
    </row>
    <row r="29" spans="1:11" x14ac:dyDescent="0.2">
      <c r="A29" s="3"/>
      <c r="D29" s="3"/>
      <c r="E29" s="5"/>
    </row>
    <row r="30" spans="1:11" x14ac:dyDescent="0.2">
      <c r="A30" s="3"/>
      <c r="D30" s="3"/>
      <c r="E30" s="5"/>
    </row>
    <row r="31" spans="1:11" x14ac:dyDescent="0.2">
      <c r="A31" s="3"/>
      <c r="D31" s="3"/>
      <c r="E31" s="5"/>
    </row>
    <row r="32" spans="1:11" x14ac:dyDescent="0.2">
      <c r="A32" s="3"/>
      <c r="D32" s="3"/>
      <c r="E32" s="5"/>
    </row>
    <row r="33" spans="1:5" x14ac:dyDescent="0.2">
      <c r="A33" s="3"/>
      <c r="D33" s="3"/>
      <c r="E33" s="5"/>
    </row>
  </sheetData>
  <mergeCells count="1">
    <mergeCell ref="A2:K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CCB21-F825-F849-A176-1BB6C77157A4}">
  <dimension ref="A1:N60"/>
  <sheetViews>
    <sheetView tabSelected="1" topLeftCell="B1" workbookViewId="0">
      <pane ySplit="4" topLeftCell="A5" activePane="bottomLeft" state="frozen"/>
      <selection pane="bottomLeft" activeCell="I10" sqref="I10"/>
    </sheetView>
  </sheetViews>
  <sheetFormatPr baseColWidth="10" defaultColWidth="8.83203125" defaultRowHeight="15" x14ac:dyDescent="0.2"/>
  <cols>
    <col min="2" max="7" width="15.1640625" customWidth="1"/>
    <col min="8" max="8" width="16.33203125" customWidth="1"/>
    <col min="9" max="9" width="15" customWidth="1"/>
    <col min="10" max="10" width="13" customWidth="1"/>
    <col min="11" max="11" width="12" customWidth="1"/>
    <col min="12" max="12" width="28" customWidth="1"/>
  </cols>
  <sheetData>
    <row r="1" spans="2:14" ht="18" x14ac:dyDescent="0.2">
      <c r="B1" s="1" t="s">
        <v>0</v>
      </c>
    </row>
    <row r="2" spans="2:14" ht="58" customHeight="1" x14ac:dyDescent="0.2">
      <c r="B2" s="8" t="s">
        <v>1</v>
      </c>
      <c r="C2" s="9"/>
      <c r="D2" s="9"/>
      <c r="E2" s="9"/>
      <c r="F2" s="9"/>
      <c r="G2" s="9"/>
      <c r="H2" s="9"/>
      <c r="I2" s="9"/>
      <c r="J2" s="9"/>
      <c r="K2" s="9"/>
      <c r="L2" s="9"/>
    </row>
    <row r="4" spans="2:14" x14ac:dyDescent="0.2"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77</v>
      </c>
      <c r="I4" s="2"/>
      <c r="J4" s="18"/>
      <c r="K4" s="18"/>
      <c r="L4" s="18"/>
      <c r="M4" s="12"/>
      <c r="N4" s="12"/>
    </row>
    <row r="5" spans="2:14" x14ac:dyDescent="0.2">
      <c r="B5" s="3" t="s">
        <v>13</v>
      </c>
      <c r="C5" s="13" t="s">
        <v>14</v>
      </c>
      <c r="D5" s="13" t="s">
        <v>15</v>
      </c>
      <c r="E5" s="13">
        <v>44</v>
      </c>
      <c r="F5" s="13">
        <v>10.4</v>
      </c>
      <c r="G5" s="13">
        <v>3</v>
      </c>
      <c r="H5" s="4">
        <f>IF(COUNTIF($B$5:$B5,B5)&gt;1,1,0)</f>
        <v>0</v>
      </c>
      <c r="I5" s="19"/>
      <c r="J5" s="19"/>
      <c r="K5" s="19"/>
      <c r="L5" s="20"/>
      <c r="M5" s="12"/>
      <c r="N5" s="12"/>
    </row>
    <row r="6" spans="2:14" x14ac:dyDescent="0.2">
      <c r="B6" s="3" t="s">
        <v>16</v>
      </c>
      <c r="C6" s="13" t="s">
        <v>17</v>
      </c>
      <c r="D6" s="13" t="s">
        <v>15</v>
      </c>
      <c r="E6" s="13">
        <v>38</v>
      </c>
      <c r="F6" s="13">
        <v>10.199999999999999</v>
      </c>
      <c r="G6" s="13">
        <v>2</v>
      </c>
      <c r="H6" s="4">
        <f>IF(COUNTIF($B$5:$B6,B6)&gt;1,1,0)</f>
        <v>0</v>
      </c>
      <c r="I6" s="19"/>
      <c r="J6" s="19"/>
      <c r="K6" s="19"/>
      <c r="L6" s="20"/>
      <c r="M6" s="12"/>
      <c r="N6" s="12"/>
    </row>
    <row r="7" spans="2:14" x14ac:dyDescent="0.2">
      <c r="B7" s="3" t="s">
        <v>18</v>
      </c>
      <c r="C7" s="13" t="s">
        <v>19</v>
      </c>
      <c r="D7" s="13" t="s">
        <v>20</v>
      </c>
      <c r="E7" s="13">
        <v>34.700000000000003</v>
      </c>
      <c r="F7" s="13">
        <v>7</v>
      </c>
      <c r="G7" s="13">
        <v>3</v>
      </c>
      <c r="H7" s="4">
        <f>IF(COUNTIF($B$5:$B7,B7)&gt;1,1,0)</f>
        <v>0</v>
      </c>
      <c r="I7" s="19"/>
      <c r="J7" s="19"/>
      <c r="K7" s="19"/>
      <c r="L7" s="20"/>
      <c r="M7" s="12"/>
      <c r="N7" s="12"/>
    </row>
    <row r="8" spans="2:14" x14ac:dyDescent="0.2">
      <c r="B8" s="3" t="s">
        <v>21</v>
      </c>
      <c r="C8" s="13" t="s">
        <v>22</v>
      </c>
      <c r="D8" s="13" t="s">
        <v>23</v>
      </c>
      <c r="E8" s="13">
        <v>-12.4</v>
      </c>
      <c r="F8" s="13">
        <v>9.6999999999999993</v>
      </c>
      <c r="G8" s="13">
        <v>2</v>
      </c>
      <c r="H8" s="4">
        <f>IF(COUNTIF($B$5:$B8,B8)&gt;1,1,0)</f>
        <v>0</v>
      </c>
      <c r="I8" s="19"/>
      <c r="J8" s="19"/>
      <c r="K8" s="19"/>
      <c r="L8" s="20"/>
      <c r="M8" s="12"/>
      <c r="N8" s="12"/>
    </row>
    <row r="9" spans="2:14" x14ac:dyDescent="0.2">
      <c r="B9" s="3" t="s">
        <v>24</v>
      </c>
      <c r="C9" s="13" t="s">
        <v>25</v>
      </c>
      <c r="D9" s="13" t="s">
        <v>23</v>
      </c>
      <c r="E9" s="13">
        <v>48.1</v>
      </c>
      <c r="F9" s="13"/>
      <c r="G9" s="13">
        <v>3</v>
      </c>
      <c r="H9" s="4">
        <f>IF(COUNTIF($B$5:$B9,B9)&gt;1,1,0)</f>
        <v>0</v>
      </c>
      <c r="I9" s="19"/>
      <c r="J9" s="19"/>
      <c r="K9" s="19"/>
      <c r="L9" s="20"/>
      <c r="M9" s="12"/>
      <c r="N9" s="12"/>
    </row>
    <row r="10" spans="2:14" x14ac:dyDescent="0.2">
      <c r="B10" s="3" t="s">
        <v>26</v>
      </c>
      <c r="C10" s="13" t="s">
        <v>27</v>
      </c>
      <c r="D10" s="13" t="s">
        <v>23</v>
      </c>
      <c r="E10" s="13">
        <v>39.200000000000003</v>
      </c>
      <c r="F10" s="13">
        <v>8.1999999999999993</v>
      </c>
      <c r="G10" s="13">
        <v>2</v>
      </c>
      <c r="H10" s="4">
        <f>IF(COUNTIF($B$5:$B10,B10)&gt;1,1,0)</f>
        <v>0</v>
      </c>
      <c r="I10" s="19"/>
      <c r="J10" s="19"/>
      <c r="K10" s="19"/>
      <c r="L10" s="20"/>
      <c r="M10" s="12"/>
      <c r="N10" s="12"/>
    </row>
    <row r="11" spans="2:14" x14ac:dyDescent="0.2">
      <c r="B11" s="3" t="s">
        <v>28</v>
      </c>
      <c r="C11" s="13" t="s">
        <v>29</v>
      </c>
      <c r="D11" s="13" t="s">
        <v>30</v>
      </c>
      <c r="E11" s="13">
        <v>42.9</v>
      </c>
      <c r="F11" s="13">
        <v>9.9000000000000005E-2</v>
      </c>
      <c r="G11" s="13">
        <v>3</v>
      </c>
      <c r="H11" s="4">
        <f>IF(COUNTIF($B$5:$B11,B11)&gt;1,1,0)</f>
        <v>0</v>
      </c>
      <c r="I11" s="19"/>
      <c r="J11" s="19"/>
      <c r="K11" s="19"/>
      <c r="L11" s="20"/>
      <c r="M11" s="12"/>
      <c r="N11" s="12"/>
    </row>
    <row r="12" spans="2:14" x14ac:dyDescent="0.2">
      <c r="B12" s="3" t="s">
        <v>31</v>
      </c>
      <c r="C12" s="13" t="s">
        <v>32</v>
      </c>
      <c r="D12" s="13" t="s">
        <v>33</v>
      </c>
      <c r="E12" s="13">
        <v>36.5</v>
      </c>
      <c r="F12" s="13">
        <v>11.2</v>
      </c>
      <c r="G12" s="13">
        <v>2</v>
      </c>
      <c r="H12" s="4">
        <f>IF(COUNTIF($B$5:$B12,B12)&gt;1,1,0)</f>
        <v>0</v>
      </c>
      <c r="I12" s="19"/>
      <c r="J12" s="19"/>
      <c r="K12" s="19"/>
      <c r="L12" s="20"/>
      <c r="M12" s="12"/>
      <c r="N12" s="12"/>
    </row>
    <row r="13" spans="2:14" x14ac:dyDescent="0.2">
      <c r="B13" s="3" t="s">
        <v>34</v>
      </c>
      <c r="C13" s="13" t="s">
        <v>35</v>
      </c>
      <c r="D13" s="13" t="s">
        <v>23</v>
      </c>
      <c r="E13" s="13">
        <v>36.200000000000003</v>
      </c>
      <c r="F13" s="13">
        <v>7.9</v>
      </c>
      <c r="G13" s="13">
        <v>1</v>
      </c>
      <c r="H13" s="4">
        <f>IF(COUNTIF($B$5:$B13,B13)&gt;1,1,0)</f>
        <v>0</v>
      </c>
      <c r="I13" s="19"/>
      <c r="J13" s="19"/>
      <c r="K13" s="19"/>
      <c r="L13" s="20"/>
      <c r="M13" s="12"/>
      <c r="N13" s="12"/>
    </row>
    <row r="14" spans="2:14" x14ac:dyDescent="0.2">
      <c r="B14" s="3" t="s">
        <v>36</v>
      </c>
      <c r="C14" s="13" t="s">
        <v>37</v>
      </c>
      <c r="D14" s="13" t="s">
        <v>20</v>
      </c>
      <c r="E14" s="13">
        <v>41.5</v>
      </c>
      <c r="F14" s="13">
        <v>9.3000000000000007</v>
      </c>
      <c r="G14" s="13">
        <v>3</v>
      </c>
      <c r="H14" s="4">
        <f>IF(COUNTIF($B$5:$B14,B14)&gt;1,1,0)</f>
        <v>0</v>
      </c>
      <c r="I14" s="19"/>
      <c r="J14" s="19"/>
      <c r="K14" s="19"/>
      <c r="L14" s="20"/>
      <c r="M14" s="12"/>
      <c r="N14" s="12"/>
    </row>
    <row r="15" spans="2:14" x14ac:dyDescent="0.2">
      <c r="B15" s="3" t="s">
        <v>38</v>
      </c>
      <c r="C15" s="13" t="s">
        <v>39</v>
      </c>
      <c r="D15" s="13" t="s">
        <v>33</v>
      </c>
      <c r="E15" s="13">
        <v>33.299999999999997</v>
      </c>
      <c r="F15" s="13">
        <v>11.3</v>
      </c>
      <c r="G15" s="13">
        <v>2</v>
      </c>
      <c r="H15" s="4">
        <f>IF(COUNTIF($B$5:$B15,B15)&gt;1,1,0)</f>
        <v>0</v>
      </c>
      <c r="I15" s="19"/>
      <c r="J15" s="19"/>
      <c r="K15" s="19"/>
      <c r="L15" s="20"/>
      <c r="M15" s="12"/>
      <c r="N15" s="12"/>
    </row>
    <row r="16" spans="2:14" x14ac:dyDescent="0.2">
      <c r="B16" s="3" t="s">
        <v>40</v>
      </c>
      <c r="C16" s="13" t="s">
        <v>41</v>
      </c>
      <c r="D16" s="13" t="s">
        <v>15</v>
      </c>
      <c r="E16" s="13">
        <v>33.200000000000003</v>
      </c>
      <c r="F16" s="13">
        <v>14.6</v>
      </c>
      <c r="G16" s="13">
        <v>2</v>
      </c>
      <c r="H16" s="4">
        <f>IF(COUNTIF($B$5:$B16,B16)&gt;1,1,0)</f>
        <v>0</v>
      </c>
      <c r="I16" s="19"/>
      <c r="J16" s="19"/>
      <c r="K16" s="19"/>
      <c r="L16" s="20"/>
      <c r="M16" s="12"/>
      <c r="N16" s="12"/>
    </row>
    <row r="17" spans="1:14" x14ac:dyDescent="0.2">
      <c r="B17" s="3" t="s">
        <v>42</v>
      </c>
      <c r="C17" s="13" t="s">
        <v>43</v>
      </c>
      <c r="D17" s="13" t="s">
        <v>23</v>
      </c>
      <c r="E17" s="13">
        <v>22.7</v>
      </c>
      <c r="F17" s="13">
        <v>9</v>
      </c>
      <c r="G17" s="13">
        <v>1</v>
      </c>
      <c r="H17" s="4">
        <f>IF(COUNTIF($B$5:$B17,B17)&gt;1,1,0)</f>
        <v>0</v>
      </c>
      <c r="I17" s="19"/>
      <c r="J17" s="19"/>
      <c r="K17" s="19"/>
      <c r="L17" s="20"/>
      <c r="M17" s="12"/>
      <c r="N17" s="12"/>
    </row>
    <row r="18" spans="1:14" x14ac:dyDescent="0.2">
      <c r="B18" s="3" t="s">
        <v>44</v>
      </c>
      <c r="C18" s="13" t="s">
        <v>45</v>
      </c>
      <c r="D18" s="13" t="s">
        <v>46</v>
      </c>
      <c r="E18" s="13">
        <v>17.399999999999999</v>
      </c>
      <c r="F18" s="13">
        <v>14.2</v>
      </c>
      <c r="G18" s="13" t="s">
        <v>47</v>
      </c>
      <c r="H18" s="4">
        <f>IF(COUNTIF($B$5:$B18,B18)&gt;1,1,0)</f>
        <v>0</v>
      </c>
      <c r="I18" s="19"/>
      <c r="J18" s="19"/>
      <c r="K18" s="19"/>
      <c r="L18" s="20"/>
      <c r="M18" s="12"/>
      <c r="N18" s="12"/>
    </row>
    <row r="19" spans="1:14" x14ac:dyDescent="0.2">
      <c r="B19" s="3" t="s">
        <v>48</v>
      </c>
      <c r="C19" s="13" t="s">
        <v>49</v>
      </c>
      <c r="D19" s="13" t="s">
        <v>50</v>
      </c>
      <c r="E19" s="13">
        <v>44.8</v>
      </c>
      <c r="F19" s="13">
        <v>7.5</v>
      </c>
      <c r="G19" s="13">
        <v>3</v>
      </c>
      <c r="H19" s="4">
        <f>IF(COUNTIF($B$5:$B19,B19)&gt;1,1,0)</f>
        <v>0</v>
      </c>
      <c r="I19" s="19"/>
      <c r="J19" s="19"/>
      <c r="K19" s="19"/>
      <c r="L19" s="20"/>
      <c r="M19" s="12"/>
      <c r="N19" s="12"/>
    </row>
    <row r="20" spans="1:14" x14ac:dyDescent="0.2">
      <c r="B20" s="3" t="s">
        <v>51</v>
      </c>
      <c r="C20" s="13" t="s">
        <v>52</v>
      </c>
      <c r="D20" s="13" t="s">
        <v>50</v>
      </c>
      <c r="E20" s="13">
        <v>42.2</v>
      </c>
      <c r="F20" s="13">
        <v>9</v>
      </c>
      <c r="G20" s="13">
        <v>1</v>
      </c>
      <c r="H20" s="4">
        <f>IF(COUNTIF($B$5:$B20,B20)&gt;1,1,0)</f>
        <v>0</v>
      </c>
      <c r="I20" s="19"/>
      <c r="J20" s="19"/>
      <c r="K20" s="19"/>
      <c r="L20" s="20"/>
      <c r="M20" s="12"/>
      <c r="N20" s="12"/>
    </row>
    <row r="21" spans="1:14" x14ac:dyDescent="0.2">
      <c r="B21" s="3" t="s">
        <v>53</v>
      </c>
      <c r="C21" s="13" t="s">
        <v>54</v>
      </c>
      <c r="D21" s="13" t="s">
        <v>55</v>
      </c>
      <c r="E21" s="13">
        <v>29.5</v>
      </c>
      <c r="F21" s="13">
        <v>9.3000000000000007</v>
      </c>
      <c r="G21" s="13">
        <v>3</v>
      </c>
      <c r="H21" s="4">
        <f>IF(COUNTIF($B$5:$B21,B21)&gt;1,1,0)</f>
        <v>0</v>
      </c>
      <c r="I21" s="19"/>
      <c r="J21" s="19"/>
      <c r="K21" s="19"/>
      <c r="L21" s="20"/>
      <c r="M21" s="12"/>
      <c r="N21" s="12"/>
    </row>
    <row r="22" spans="1:14" x14ac:dyDescent="0.2">
      <c r="B22" s="3" t="s">
        <v>56</v>
      </c>
      <c r="C22" s="13" t="s">
        <v>57</v>
      </c>
      <c r="D22" s="13" t="s">
        <v>50</v>
      </c>
      <c r="E22" s="13">
        <v>37.9</v>
      </c>
      <c r="F22" s="13">
        <v>9.1999999999999993</v>
      </c>
      <c r="G22" s="13">
        <v>2</v>
      </c>
      <c r="H22" s="4">
        <f>IF(COUNTIF($B$5:$B22,B22)&gt;1,1,0)</f>
        <v>0</v>
      </c>
      <c r="I22" s="19"/>
      <c r="J22" s="19"/>
      <c r="K22" s="19"/>
      <c r="L22" s="20"/>
      <c r="M22" s="12"/>
      <c r="N22" s="12"/>
    </row>
    <row r="23" spans="1:14" x14ac:dyDescent="0.2">
      <c r="B23" s="3" t="s">
        <v>18</v>
      </c>
      <c r="C23" s="13" t="s">
        <v>19</v>
      </c>
      <c r="D23" s="13" t="s">
        <v>20</v>
      </c>
      <c r="E23" s="13">
        <v>34.700000000000003</v>
      </c>
      <c r="F23" s="13">
        <v>7</v>
      </c>
      <c r="G23" s="13">
        <v>3</v>
      </c>
      <c r="H23" s="4">
        <f>IF(COUNTIF($B$5:$B23,B23)&gt;1,1,0)</f>
        <v>1</v>
      </c>
      <c r="I23" s="19"/>
      <c r="J23" s="19"/>
      <c r="K23" s="19"/>
      <c r="L23" s="20"/>
      <c r="M23" s="12"/>
      <c r="N23" s="12"/>
    </row>
    <row r="24" spans="1:14" x14ac:dyDescent="0.2">
      <c r="C24" s="12"/>
      <c r="D24" s="12"/>
      <c r="E24" s="12"/>
      <c r="F24" s="12"/>
      <c r="G24" s="12"/>
      <c r="H24" s="15"/>
      <c r="I24" s="12"/>
      <c r="J24" s="12"/>
      <c r="K24" s="12"/>
      <c r="L24" s="12"/>
      <c r="M24" s="12"/>
      <c r="N24" s="12"/>
    </row>
    <row r="25" spans="1:14" x14ac:dyDescent="0.2">
      <c r="A25" s="21" t="s">
        <v>71</v>
      </c>
      <c r="B25" s="21"/>
      <c r="C25" s="21"/>
      <c r="D25" s="21"/>
      <c r="E25" s="21"/>
      <c r="F25" s="21"/>
      <c r="G25" s="21"/>
      <c r="I25" s="14"/>
      <c r="J25" s="14"/>
      <c r="K25" s="12"/>
      <c r="L25" s="12"/>
      <c r="M25" s="12"/>
      <c r="N25" s="12"/>
    </row>
    <row r="26" spans="1:14" x14ac:dyDescent="0.2">
      <c r="A26" s="17" t="s">
        <v>66</v>
      </c>
      <c r="B26" s="10"/>
      <c r="C26" s="11">
        <f>MIN(D5:D23)</f>
        <v>0</v>
      </c>
      <c r="D26" s="10"/>
      <c r="E26" s="11">
        <f>MIN(E5:E23)</f>
        <v>-12.4</v>
      </c>
      <c r="F26" s="11">
        <f>MIN(F5:F23)</f>
        <v>9.9000000000000005E-2</v>
      </c>
      <c r="G26" s="11">
        <f>MIN(G5:G23)</f>
        <v>1</v>
      </c>
      <c r="I26" s="12"/>
      <c r="J26" s="12"/>
      <c r="K26" s="12"/>
      <c r="L26" s="12"/>
      <c r="M26" s="12"/>
      <c r="N26" s="12"/>
    </row>
    <row r="27" spans="1:14" x14ac:dyDescent="0.2">
      <c r="A27" s="17" t="s">
        <v>67</v>
      </c>
      <c r="B27" s="10"/>
      <c r="C27" s="11">
        <f>MIN(D6:D24)</f>
        <v>0</v>
      </c>
      <c r="D27" s="10"/>
      <c r="E27" s="11">
        <f>MAX(E5:E23)</f>
        <v>48.1</v>
      </c>
      <c r="F27" s="11">
        <f>MAX(F5:F23)</f>
        <v>14.6</v>
      </c>
      <c r="G27" s="11">
        <f>MAX(G5:G23)</f>
        <v>3</v>
      </c>
      <c r="I27" s="12"/>
      <c r="J27" s="12"/>
      <c r="K27" s="12"/>
      <c r="L27" s="12"/>
      <c r="M27" s="12"/>
      <c r="N27" s="12"/>
    </row>
    <row r="28" spans="1:14" x14ac:dyDescent="0.2">
      <c r="A28" s="17" t="s">
        <v>68</v>
      </c>
      <c r="B28" s="10"/>
      <c r="C28" s="11">
        <f>MIN(D7:D25)</f>
        <v>0</v>
      </c>
      <c r="D28" s="10"/>
      <c r="E28" s="11" cm="1">
        <f t="array" ref="E28">[1]!MEAN(E5:E23)</f>
        <v>33.915789473684207</v>
      </c>
      <c r="F28" s="11" cm="1">
        <f t="array" ref="F28">[1]!MEAN(F5:F23)</f>
        <v>9.1721666666666657</v>
      </c>
      <c r="G28" s="11" cm="1">
        <f t="array" ref="G28">[1]!MEAN(G5:G23)</f>
        <v>2.2777777777777777</v>
      </c>
      <c r="I28" s="12"/>
      <c r="J28" s="12"/>
      <c r="K28" s="12"/>
      <c r="L28" s="12"/>
      <c r="M28" s="12"/>
      <c r="N28" s="12"/>
    </row>
    <row r="29" spans="1:14" x14ac:dyDescent="0.2">
      <c r="A29" s="16" t="s">
        <v>72</v>
      </c>
      <c r="B29" s="10"/>
      <c r="C29" s="11"/>
      <c r="D29" s="10"/>
      <c r="E29" s="11">
        <f>STDEV(E5:E23)</f>
        <v>13.469977446070981</v>
      </c>
      <c r="F29" s="11">
        <f>STDEV(F5:F23)</f>
        <v>3.100609584278172</v>
      </c>
      <c r="G29" s="11"/>
      <c r="I29" s="12"/>
      <c r="J29" s="12"/>
      <c r="K29" s="12"/>
      <c r="L29" s="12"/>
      <c r="M29" s="12"/>
      <c r="N29" s="12"/>
    </row>
    <row r="30" spans="1:14" x14ac:dyDescent="0.2">
      <c r="A30" s="17" t="s">
        <v>78</v>
      </c>
      <c r="B30" s="11">
        <f>COUNTIF(B5:B23,"N/A")</f>
        <v>0</v>
      </c>
      <c r="C30" s="11">
        <f>COUNTIF(C5:C23,"N/A")</f>
        <v>0</v>
      </c>
      <c r="D30" s="11">
        <f>COUNTIF(D5:D23,"N/A")</f>
        <v>0</v>
      </c>
      <c r="E30" s="11">
        <f>COUNTIF(E5:E23,"N/A")</f>
        <v>0</v>
      </c>
      <c r="F30" s="11">
        <f>COUNTIF(F5:F23,"N/A")</f>
        <v>0</v>
      </c>
      <c r="G30" s="11">
        <f>COUNTIF(G5:G23,"N/A")</f>
        <v>1</v>
      </c>
      <c r="H30" s="12"/>
      <c r="I30" s="12"/>
      <c r="J30" s="12"/>
      <c r="K30" s="12"/>
      <c r="L30" s="12"/>
      <c r="M30" s="12"/>
      <c r="N30" s="12"/>
    </row>
    <row r="31" spans="1:14" x14ac:dyDescent="0.2">
      <c r="A31" s="17" t="s">
        <v>79</v>
      </c>
      <c r="B31" s="11">
        <f t="shared" ref="B31:G31" si="0">COUNTBLANK(B5:B23)</f>
        <v>0</v>
      </c>
      <c r="C31" s="11">
        <f>COUNTBLANK(C5:C23)</f>
        <v>0</v>
      </c>
      <c r="D31" s="11">
        <f t="shared" ref="D31:G31" si="1">COUNTBLANK(D5:D23)</f>
        <v>0</v>
      </c>
      <c r="E31" s="11">
        <f t="shared" si="1"/>
        <v>0</v>
      </c>
      <c r="F31" s="11">
        <f t="shared" si="1"/>
        <v>1</v>
      </c>
      <c r="G31" s="11">
        <f t="shared" si="1"/>
        <v>0</v>
      </c>
      <c r="H31" s="12"/>
      <c r="I31" s="12"/>
      <c r="J31" s="12"/>
      <c r="K31" s="12"/>
      <c r="L31" s="12"/>
      <c r="M31" s="12"/>
      <c r="N31" s="12"/>
    </row>
    <row r="32" spans="1:14" x14ac:dyDescent="0.2">
      <c r="A32" s="19"/>
      <c r="B32" s="23"/>
      <c r="C32" s="23"/>
      <c r="D32" s="24"/>
      <c r="E32" s="24"/>
      <c r="F32" s="24"/>
      <c r="G32" s="24"/>
      <c r="H32" s="12"/>
      <c r="I32" s="12"/>
      <c r="J32" s="12"/>
      <c r="K32" s="12"/>
      <c r="L32" s="12"/>
      <c r="M32" s="12"/>
      <c r="N32" s="12"/>
    </row>
    <row r="33" spans="3:14" x14ac:dyDescent="0.2">
      <c r="C33" s="12"/>
      <c r="D33" s="21" t="s">
        <v>73</v>
      </c>
      <c r="E33" s="21"/>
      <c r="F33" s="12"/>
      <c r="G33" s="12"/>
      <c r="H33" s="12"/>
      <c r="I33" s="12"/>
      <c r="J33" s="12"/>
      <c r="K33" s="12"/>
      <c r="L33" s="12"/>
      <c r="M33" s="12"/>
      <c r="N33" s="12"/>
    </row>
    <row r="34" spans="3:14" x14ac:dyDescent="0.2">
      <c r="C34" s="12"/>
      <c r="D34" s="22" t="s">
        <v>69</v>
      </c>
      <c r="E34" s="22" t="s">
        <v>70</v>
      </c>
      <c r="F34" s="12"/>
      <c r="G34" s="12"/>
      <c r="H34" s="12"/>
      <c r="I34" s="12"/>
      <c r="J34" s="12"/>
      <c r="K34" s="12"/>
      <c r="L34" s="12"/>
      <c r="M34" s="12"/>
      <c r="N34" s="12"/>
    </row>
    <row r="35" spans="3:14" x14ac:dyDescent="0.2">
      <c r="C35" s="12"/>
      <c r="D35" s="11" t="str" cm="1">
        <f t="array" ref="D35:D39">_xlfn.UNIQUE(D5:D23)</f>
        <v>barley</v>
      </c>
      <c r="E35" s="17">
        <f>COUNTIF($D$5:$D$23,D35)</f>
        <v>4</v>
      </c>
      <c r="F35" s="12"/>
      <c r="G35" s="12"/>
      <c r="H35" s="12"/>
      <c r="I35" s="12"/>
      <c r="J35" s="12"/>
      <c r="K35" s="12"/>
      <c r="L35" s="12"/>
      <c r="M35" s="12"/>
      <c r="N35" s="12"/>
    </row>
    <row r="36" spans="3:14" x14ac:dyDescent="0.2">
      <c r="C36" s="12"/>
      <c r="D36" s="11" t="str">
        <v>canola</v>
      </c>
      <c r="E36" s="17">
        <f>COUNTIF($D$5:$D$23,D36)</f>
        <v>3</v>
      </c>
      <c r="F36" s="12"/>
      <c r="G36" s="12"/>
      <c r="H36" s="12"/>
      <c r="I36" s="12"/>
      <c r="J36" s="12"/>
      <c r="K36" s="12"/>
      <c r="L36" s="12"/>
      <c r="M36" s="12"/>
      <c r="N36" s="12"/>
    </row>
    <row r="37" spans="3:14" x14ac:dyDescent="0.2">
      <c r="C37" s="12"/>
      <c r="D37" s="11" t="str">
        <v>Spring wheat</v>
      </c>
      <c r="E37" s="17">
        <f>COUNTIF($D$5:$D$23,D37)</f>
        <v>7</v>
      </c>
      <c r="F37" s="12"/>
      <c r="G37" s="12"/>
      <c r="H37" s="12"/>
      <c r="I37" s="12"/>
      <c r="J37" s="12"/>
      <c r="K37" s="12"/>
      <c r="L37" s="12"/>
      <c r="M37" s="12"/>
      <c r="N37" s="12"/>
    </row>
    <row r="38" spans="3:14" x14ac:dyDescent="0.2">
      <c r="C38" s="12"/>
      <c r="D38" s="11" t="str">
        <v xml:space="preserve">Canola </v>
      </c>
      <c r="E38" s="17">
        <f>COUNTIF($D$5:$D$23,D38)</f>
        <v>1</v>
      </c>
      <c r="F38" s="12"/>
      <c r="G38" s="12"/>
      <c r="H38" s="12"/>
      <c r="I38" s="12"/>
      <c r="J38" s="12"/>
      <c r="K38" s="12"/>
      <c r="L38" s="12"/>
      <c r="M38" s="12"/>
      <c r="N38" s="12"/>
    </row>
    <row r="39" spans="3:14" x14ac:dyDescent="0.2">
      <c r="C39" s="12"/>
      <c r="D39" s="11" t="str">
        <v>peas</v>
      </c>
      <c r="E39" s="17">
        <f>COUNTIF($D$5:$D$23,D39)</f>
        <v>4</v>
      </c>
      <c r="F39" s="12"/>
      <c r="G39" s="12"/>
      <c r="H39" s="12"/>
      <c r="I39" s="12"/>
      <c r="J39" s="12"/>
      <c r="K39" s="12"/>
      <c r="L39" s="12"/>
      <c r="M39" s="12"/>
      <c r="N39" s="12"/>
    </row>
    <row r="40" spans="3:14" x14ac:dyDescent="0.2"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</row>
    <row r="41" spans="3:14" x14ac:dyDescent="0.2"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</row>
    <row r="42" spans="3:14" x14ac:dyDescent="0.2">
      <c r="C42" s="12"/>
      <c r="D42" s="21" t="s">
        <v>74</v>
      </c>
      <c r="E42" s="21"/>
      <c r="F42" s="12"/>
      <c r="G42" s="12"/>
      <c r="H42" s="12"/>
      <c r="I42" s="12"/>
      <c r="J42" s="12"/>
      <c r="K42" s="12"/>
      <c r="L42" s="12"/>
      <c r="M42" s="12"/>
      <c r="N42" s="12"/>
    </row>
    <row r="43" spans="3:14" x14ac:dyDescent="0.2">
      <c r="C43" s="12"/>
      <c r="D43" s="11" t="s">
        <v>75</v>
      </c>
      <c r="E43" s="11">
        <f>ROWS(B5:G23)</f>
        <v>19</v>
      </c>
      <c r="F43" s="12"/>
      <c r="G43" s="12"/>
      <c r="H43" s="12"/>
      <c r="I43" s="12"/>
      <c r="J43" s="12"/>
      <c r="K43" s="12"/>
      <c r="L43" s="12"/>
      <c r="M43" s="12"/>
      <c r="N43" s="12"/>
    </row>
    <row r="44" spans="3:14" x14ac:dyDescent="0.2">
      <c r="C44" s="12"/>
      <c r="D44" s="11" t="s">
        <v>76</v>
      </c>
      <c r="E44" s="11">
        <f>ROWS(_xlfn.UNIQUE(B5:G23))</f>
        <v>18</v>
      </c>
      <c r="F44" s="12"/>
      <c r="G44" s="12"/>
      <c r="H44" s="12"/>
      <c r="I44" s="12"/>
      <c r="J44" s="12"/>
      <c r="K44" s="12"/>
      <c r="L44" s="12"/>
      <c r="M44" s="12"/>
      <c r="N44" s="12"/>
    </row>
    <row r="45" spans="3:14" x14ac:dyDescent="0.2"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</row>
    <row r="46" spans="3:14" x14ac:dyDescent="0.2">
      <c r="C46" s="12"/>
      <c r="F46" s="12"/>
      <c r="G46" s="12"/>
      <c r="H46" s="12"/>
      <c r="I46" s="12"/>
      <c r="J46" s="12"/>
      <c r="K46" s="12"/>
      <c r="L46" s="12"/>
      <c r="M46" s="12"/>
      <c r="N46" s="12"/>
    </row>
    <row r="47" spans="3:14" x14ac:dyDescent="0.2">
      <c r="C47" s="12"/>
      <c r="F47" s="12"/>
      <c r="G47" s="12"/>
      <c r="H47" s="12"/>
      <c r="I47" s="12"/>
      <c r="J47" s="12"/>
      <c r="K47" s="12"/>
      <c r="L47" s="12"/>
      <c r="M47" s="12"/>
      <c r="N47" s="12"/>
    </row>
    <row r="48" spans="3:14" x14ac:dyDescent="0.2">
      <c r="C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3:14" x14ac:dyDescent="0.2">
      <c r="C49" s="12"/>
      <c r="F49" s="12"/>
      <c r="G49" s="12"/>
      <c r="H49" s="12"/>
      <c r="I49" s="12"/>
      <c r="J49" s="12"/>
      <c r="K49" s="12"/>
      <c r="L49" s="12"/>
      <c r="M49" s="12"/>
      <c r="N49" s="12"/>
    </row>
    <row r="50" spans="3:14" x14ac:dyDescent="0.2">
      <c r="C50" s="12"/>
      <c r="F50" s="12"/>
      <c r="G50" s="12"/>
      <c r="H50" s="12"/>
      <c r="I50" s="12"/>
      <c r="J50" s="12"/>
      <c r="K50" s="12"/>
      <c r="L50" s="12"/>
      <c r="M50" s="12"/>
      <c r="N50" s="12"/>
    </row>
    <row r="51" spans="3:14" x14ac:dyDescent="0.2">
      <c r="C51" s="12"/>
      <c r="F51" s="12"/>
      <c r="G51" s="12"/>
      <c r="H51" s="12"/>
      <c r="I51" s="12"/>
      <c r="J51" s="12"/>
      <c r="K51" s="12"/>
      <c r="L51" s="12"/>
      <c r="M51" s="12"/>
      <c r="N51" s="12"/>
    </row>
    <row r="52" spans="3:14" x14ac:dyDescent="0.2">
      <c r="C52" s="12"/>
      <c r="F52" s="12"/>
      <c r="G52" s="12"/>
      <c r="H52" s="12"/>
      <c r="I52" s="12"/>
      <c r="J52" s="12"/>
      <c r="K52" s="12"/>
      <c r="L52" s="12"/>
      <c r="M52" s="12"/>
      <c r="N52" s="12"/>
    </row>
    <row r="53" spans="3:14" x14ac:dyDescent="0.2">
      <c r="C53" s="12"/>
      <c r="F53" s="12"/>
      <c r="G53" s="12"/>
      <c r="H53" s="12"/>
      <c r="I53" s="12"/>
      <c r="J53" s="12"/>
      <c r="K53" s="12"/>
      <c r="L53" s="12"/>
      <c r="M53" s="12"/>
      <c r="N53" s="12"/>
    </row>
    <row r="54" spans="3:14" x14ac:dyDescent="0.2">
      <c r="C54" s="12"/>
      <c r="F54" s="12"/>
      <c r="G54" s="12"/>
      <c r="H54" s="12"/>
      <c r="I54" s="12"/>
      <c r="J54" s="12"/>
      <c r="K54" s="12"/>
      <c r="L54" s="12"/>
      <c r="M54" s="12"/>
      <c r="N54" s="12"/>
    </row>
    <row r="55" spans="3:14" x14ac:dyDescent="0.2">
      <c r="C55" s="12"/>
      <c r="F55" s="12"/>
      <c r="G55" s="12"/>
      <c r="H55" s="12"/>
      <c r="I55" s="12"/>
      <c r="J55" s="12"/>
      <c r="K55" s="12"/>
      <c r="L55" s="12"/>
      <c r="M55" s="12"/>
      <c r="N55" s="12"/>
    </row>
    <row r="56" spans="3:14" x14ac:dyDescent="0.2">
      <c r="C56" s="12"/>
      <c r="F56" s="12"/>
      <c r="G56" s="12"/>
      <c r="H56" s="12"/>
      <c r="I56" s="12"/>
      <c r="J56" s="12"/>
      <c r="K56" s="12"/>
      <c r="L56" s="12"/>
      <c r="M56" s="12"/>
      <c r="N56" s="12"/>
    </row>
    <row r="57" spans="3:14" x14ac:dyDescent="0.2">
      <c r="C57" s="12"/>
      <c r="F57" s="12"/>
      <c r="G57" s="12"/>
      <c r="H57" s="12"/>
      <c r="I57" s="12"/>
      <c r="J57" s="12"/>
      <c r="K57" s="12"/>
      <c r="L57" s="12"/>
      <c r="M57" s="12"/>
      <c r="N57" s="12"/>
    </row>
    <row r="58" spans="3:14" x14ac:dyDescent="0.2"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</row>
    <row r="59" spans="3:14" x14ac:dyDescent="0.2"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</row>
    <row r="60" spans="3:14" x14ac:dyDescent="0.2"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</row>
  </sheetData>
  <mergeCells count="4">
    <mergeCell ref="B2:L2"/>
    <mergeCell ref="D33:E33"/>
    <mergeCell ref="D42:E42"/>
    <mergeCell ref="A25:G25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3"/>
  <sheetViews>
    <sheetView workbookViewId="0">
      <pane ySplit="4" topLeftCell="A5" activePane="bottomLeft" state="frozen"/>
      <selection pane="bottomLeft" activeCell="I5" sqref="I5"/>
    </sheetView>
  </sheetViews>
  <sheetFormatPr baseColWidth="10" defaultColWidth="8.83203125" defaultRowHeight="15" x14ac:dyDescent="0.2"/>
  <cols>
    <col min="1" max="1" width="10" customWidth="1"/>
    <col min="2" max="2" width="13" customWidth="1"/>
    <col min="3" max="4" width="14" customWidth="1"/>
    <col min="5" max="5" width="13" customWidth="1"/>
    <col min="6" max="6" width="7" customWidth="1"/>
    <col min="7" max="7" width="14" customWidth="1"/>
    <col min="8" max="8" width="15" customWidth="1"/>
    <col min="9" max="9" width="13" customWidth="1"/>
    <col min="10" max="10" width="12" customWidth="1"/>
    <col min="11" max="11" width="28" customWidth="1"/>
  </cols>
  <sheetData>
    <row r="1" spans="1:11" ht="18" x14ac:dyDescent="0.2">
      <c r="A1" s="1" t="s">
        <v>0</v>
      </c>
    </row>
    <row r="2" spans="1:11" ht="58" customHeight="1" x14ac:dyDescent="0.2">
      <c r="A2" s="8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</row>
    <row r="4" spans="1:11" x14ac:dyDescent="0.2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</row>
    <row r="5" spans="1:11" x14ac:dyDescent="0.2">
      <c r="A5" s="3" t="s">
        <v>13</v>
      </c>
      <c r="B5" s="3" t="s">
        <v>14</v>
      </c>
      <c r="C5" s="3" t="s">
        <v>15</v>
      </c>
      <c r="D5" s="3">
        <v>44</v>
      </c>
      <c r="E5" s="3">
        <v>10.4</v>
      </c>
      <c r="F5" s="3">
        <v>3</v>
      </c>
      <c r="G5" s="3" t="str">
        <f t="shared" ref="G5:G23" si="0">PROPER(TRIM(C5))</f>
        <v>Barley</v>
      </c>
      <c r="H5" s="3">
        <f t="shared" ref="H5:H23" si="1">IF(ISNUMBER(E5),IF(E5&lt;1,E5*100,E5),"")</f>
        <v>10.4</v>
      </c>
      <c r="I5" s="4">
        <f>COUNTIF($A$5:$A$23,A5)</f>
        <v>1</v>
      </c>
      <c r="J5" s="4" t="str">
        <f t="shared" ref="J5:J23" si="2">IF(D5&lt;=0,"check","")</f>
        <v/>
      </c>
      <c r="K5" s="5" t="str">
        <f t="shared" ref="K5:K23" ca="1" si="3">_xlfn.FORMULATEXT(J5)</f>
        <v>=IF(D5&lt;=0,"check","")</v>
      </c>
    </row>
    <row r="6" spans="1:11" x14ac:dyDescent="0.2">
      <c r="A6" s="3" t="s">
        <v>16</v>
      </c>
      <c r="B6" s="3" t="s">
        <v>17</v>
      </c>
      <c r="C6" s="3" t="s">
        <v>15</v>
      </c>
      <c r="D6" s="3">
        <v>38</v>
      </c>
      <c r="E6" s="3">
        <v>10.199999999999999</v>
      </c>
      <c r="F6" s="3">
        <v>2</v>
      </c>
      <c r="G6" s="3" t="str">
        <f t="shared" si="0"/>
        <v>Barley</v>
      </c>
      <c r="H6" s="3">
        <f t="shared" si="1"/>
        <v>10.199999999999999</v>
      </c>
      <c r="I6" s="4">
        <f t="shared" ref="I5:I23" si="4">COUNTIF($A$5:$A$23,A6)</f>
        <v>1</v>
      </c>
      <c r="J6" s="4" t="str">
        <f t="shared" si="2"/>
        <v/>
      </c>
      <c r="K6" s="5" t="str">
        <f t="shared" ca="1" si="3"/>
        <v>=IF(D6&lt;=0,"check","")</v>
      </c>
    </row>
    <row r="7" spans="1:11" x14ac:dyDescent="0.2">
      <c r="A7" s="3" t="s">
        <v>18</v>
      </c>
      <c r="B7" s="3" t="s">
        <v>19</v>
      </c>
      <c r="C7" s="3" t="s">
        <v>20</v>
      </c>
      <c r="D7" s="3">
        <v>34.700000000000003</v>
      </c>
      <c r="E7" s="3">
        <v>7</v>
      </c>
      <c r="F7" s="3">
        <v>3</v>
      </c>
      <c r="G7" s="3" t="str">
        <f t="shared" si="0"/>
        <v>Canola</v>
      </c>
      <c r="H7" s="3">
        <f t="shared" si="1"/>
        <v>7</v>
      </c>
      <c r="I7" s="4">
        <f t="shared" si="4"/>
        <v>2</v>
      </c>
      <c r="J7" s="4" t="str">
        <f t="shared" si="2"/>
        <v/>
      </c>
      <c r="K7" s="5" t="str">
        <f t="shared" ca="1" si="3"/>
        <v>=IF(D7&lt;=0,"check","")</v>
      </c>
    </row>
    <row r="8" spans="1:11" x14ac:dyDescent="0.2">
      <c r="A8" s="3" t="s">
        <v>21</v>
      </c>
      <c r="B8" s="3" t="s">
        <v>22</v>
      </c>
      <c r="C8" s="3" t="s">
        <v>23</v>
      </c>
      <c r="D8" s="3">
        <v>-12.4</v>
      </c>
      <c r="E8" s="3">
        <v>9.6999999999999993</v>
      </c>
      <c r="F8" s="3">
        <v>2</v>
      </c>
      <c r="G8" s="3" t="str">
        <f t="shared" si="0"/>
        <v>Spring Wheat</v>
      </c>
      <c r="H8" s="3">
        <f t="shared" si="1"/>
        <v>9.6999999999999993</v>
      </c>
      <c r="I8" s="4">
        <f t="shared" si="4"/>
        <v>1</v>
      </c>
      <c r="J8" s="4" t="str">
        <f t="shared" si="2"/>
        <v>check</v>
      </c>
      <c r="K8" s="5" t="str">
        <f t="shared" ca="1" si="3"/>
        <v>=IF(D8&lt;=0,"check","")</v>
      </c>
    </row>
    <row r="9" spans="1:11" x14ac:dyDescent="0.2">
      <c r="A9" s="3" t="s">
        <v>24</v>
      </c>
      <c r="B9" s="3" t="s">
        <v>25</v>
      </c>
      <c r="C9" s="3" t="s">
        <v>23</v>
      </c>
      <c r="D9" s="3">
        <v>48.1</v>
      </c>
      <c r="E9" s="3"/>
      <c r="F9" s="3">
        <v>3</v>
      </c>
      <c r="G9" s="3" t="str">
        <f t="shared" si="0"/>
        <v>Spring Wheat</v>
      </c>
      <c r="H9" s="3" t="str">
        <f t="shared" si="1"/>
        <v/>
      </c>
      <c r="I9" s="4">
        <f t="shared" si="4"/>
        <v>1</v>
      </c>
      <c r="J9" s="4" t="str">
        <f t="shared" si="2"/>
        <v/>
      </c>
      <c r="K9" s="5" t="str">
        <f t="shared" ca="1" si="3"/>
        <v>=IF(D9&lt;=0,"check","")</v>
      </c>
    </row>
    <row r="10" spans="1:11" x14ac:dyDescent="0.2">
      <c r="A10" s="3" t="s">
        <v>26</v>
      </c>
      <c r="B10" s="3" t="s">
        <v>27</v>
      </c>
      <c r="C10" s="3" t="s">
        <v>23</v>
      </c>
      <c r="D10" s="3">
        <v>39.200000000000003</v>
      </c>
      <c r="E10" s="3">
        <v>8.1999999999999993</v>
      </c>
      <c r="F10" s="3">
        <v>2</v>
      </c>
      <c r="G10" s="3" t="str">
        <f t="shared" si="0"/>
        <v>Spring Wheat</v>
      </c>
      <c r="H10" s="3">
        <f t="shared" si="1"/>
        <v>8.1999999999999993</v>
      </c>
      <c r="I10" s="4">
        <f t="shared" si="4"/>
        <v>1</v>
      </c>
      <c r="J10" s="4" t="str">
        <f t="shared" si="2"/>
        <v/>
      </c>
      <c r="K10" s="5" t="str">
        <f t="shared" ca="1" si="3"/>
        <v>=IF(D10&lt;=0,"check","")</v>
      </c>
    </row>
    <row r="11" spans="1:11" x14ac:dyDescent="0.2">
      <c r="A11" s="3" t="s">
        <v>28</v>
      </c>
      <c r="B11" s="3" t="s">
        <v>29</v>
      </c>
      <c r="C11" s="3" t="s">
        <v>30</v>
      </c>
      <c r="D11" s="3">
        <v>42.9</v>
      </c>
      <c r="E11" s="3">
        <v>9.9000000000000005E-2</v>
      </c>
      <c r="F11" s="3">
        <v>3</v>
      </c>
      <c r="G11" s="3" t="str">
        <f t="shared" si="0"/>
        <v>Canola</v>
      </c>
      <c r="H11" s="3">
        <f t="shared" si="1"/>
        <v>9.9</v>
      </c>
      <c r="I11" s="4">
        <f t="shared" si="4"/>
        <v>1</v>
      </c>
      <c r="J11" s="4" t="str">
        <f t="shared" si="2"/>
        <v/>
      </c>
      <c r="K11" s="5" t="str">
        <f t="shared" ca="1" si="3"/>
        <v>=IF(D11&lt;=0,"check","")</v>
      </c>
    </row>
    <row r="12" spans="1:11" x14ac:dyDescent="0.2">
      <c r="A12" s="3" t="s">
        <v>31</v>
      </c>
      <c r="B12" s="3" t="s">
        <v>32</v>
      </c>
      <c r="C12" s="3" t="s">
        <v>33</v>
      </c>
      <c r="D12" s="3">
        <v>36.5</v>
      </c>
      <c r="E12" s="3">
        <v>11.2</v>
      </c>
      <c r="F12" s="3">
        <v>2</v>
      </c>
      <c r="G12" s="3" t="str">
        <f t="shared" si="0"/>
        <v>Spring Wheat</v>
      </c>
      <c r="H12" s="3">
        <f t="shared" si="1"/>
        <v>11.2</v>
      </c>
      <c r="I12" s="4">
        <f t="shared" si="4"/>
        <v>1</v>
      </c>
      <c r="J12" s="4" t="str">
        <f t="shared" si="2"/>
        <v/>
      </c>
      <c r="K12" s="5" t="str">
        <f t="shared" ca="1" si="3"/>
        <v>=IF(D12&lt;=0,"check","")</v>
      </c>
    </row>
    <row r="13" spans="1:11" x14ac:dyDescent="0.2">
      <c r="A13" s="3" t="s">
        <v>34</v>
      </c>
      <c r="B13" s="3" t="s">
        <v>35</v>
      </c>
      <c r="C13" s="3" t="s">
        <v>23</v>
      </c>
      <c r="D13" s="3">
        <v>36.200000000000003</v>
      </c>
      <c r="E13" s="3">
        <v>7.9</v>
      </c>
      <c r="F13" s="3">
        <v>1</v>
      </c>
      <c r="G13" s="3" t="str">
        <f t="shared" si="0"/>
        <v>Spring Wheat</v>
      </c>
      <c r="H13" s="3">
        <f t="shared" si="1"/>
        <v>7.9</v>
      </c>
      <c r="I13" s="4">
        <f t="shared" si="4"/>
        <v>1</v>
      </c>
      <c r="J13" s="4" t="str">
        <f t="shared" si="2"/>
        <v/>
      </c>
      <c r="K13" s="5" t="str">
        <f t="shared" ca="1" si="3"/>
        <v>=IF(D13&lt;=0,"check","")</v>
      </c>
    </row>
    <row r="14" spans="1:11" x14ac:dyDescent="0.2">
      <c r="A14" s="3" t="s">
        <v>36</v>
      </c>
      <c r="B14" s="3" t="s">
        <v>37</v>
      </c>
      <c r="C14" s="3" t="s">
        <v>20</v>
      </c>
      <c r="D14" s="3">
        <v>41.5</v>
      </c>
      <c r="E14" s="3">
        <v>9.3000000000000007</v>
      </c>
      <c r="F14" s="3">
        <v>3</v>
      </c>
      <c r="G14" s="3" t="str">
        <f t="shared" si="0"/>
        <v>Canola</v>
      </c>
      <c r="H14" s="3">
        <f t="shared" si="1"/>
        <v>9.3000000000000007</v>
      </c>
      <c r="I14" s="4">
        <f t="shared" si="4"/>
        <v>1</v>
      </c>
      <c r="J14" s="4" t="str">
        <f t="shared" si="2"/>
        <v/>
      </c>
      <c r="K14" s="5" t="str">
        <f t="shared" ca="1" si="3"/>
        <v>=IF(D14&lt;=0,"check","")</v>
      </c>
    </row>
    <row r="15" spans="1:11" x14ac:dyDescent="0.2">
      <c r="A15" s="3" t="s">
        <v>38</v>
      </c>
      <c r="B15" s="3" t="s">
        <v>39</v>
      </c>
      <c r="C15" s="3" t="s">
        <v>33</v>
      </c>
      <c r="D15" s="3">
        <v>33.299999999999997</v>
      </c>
      <c r="E15" s="3">
        <v>11.3</v>
      </c>
      <c r="F15" s="3">
        <v>2</v>
      </c>
      <c r="G15" s="3" t="str">
        <f t="shared" si="0"/>
        <v>Spring Wheat</v>
      </c>
      <c r="H15" s="3">
        <f t="shared" si="1"/>
        <v>11.3</v>
      </c>
      <c r="I15" s="4">
        <f t="shared" si="4"/>
        <v>1</v>
      </c>
      <c r="J15" s="4" t="str">
        <f t="shared" si="2"/>
        <v/>
      </c>
      <c r="K15" s="5" t="str">
        <f t="shared" ca="1" si="3"/>
        <v>=IF(D15&lt;=0,"check","")</v>
      </c>
    </row>
    <row r="16" spans="1:11" x14ac:dyDescent="0.2">
      <c r="A16" s="3" t="s">
        <v>40</v>
      </c>
      <c r="B16" s="3" t="s">
        <v>41</v>
      </c>
      <c r="C16" s="3" t="s">
        <v>15</v>
      </c>
      <c r="D16" s="3">
        <v>33.200000000000003</v>
      </c>
      <c r="E16" s="3">
        <v>14.6</v>
      </c>
      <c r="F16" s="3">
        <v>2</v>
      </c>
      <c r="G16" s="3" t="str">
        <f t="shared" si="0"/>
        <v>Barley</v>
      </c>
      <c r="H16" s="3">
        <f t="shared" si="1"/>
        <v>14.6</v>
      </c>
      <c r="I16" s="4">
        <f t="shared" si="4"/>
        <v>1</v>
      </c>
      <c r="J16" s="4" t="str">
        <f t="shared" si="2"/>
        <v/>
      </c>
      <c r="K16" s="5" t="str">
        <f t="shared" ca="1" si="3"/>
        <v>=IF(D16&lt;=0,"check","")</v>
      </c>
    </row>
    <row r="17" spans="1:11" x14ac:dyDescent="0.2">
      <c r="A17" s="3" t="s">
        <v>42</v>
      </c>
      <c r="B17" s="3" t="s">
        <v>43</v>
      </c>
      <c r="C17" s="3" t="s">
        <v>23</v>
      </c>
      <c r="D17" s="3">
        <v>22.7</v>
      </c>
      <c r="E17" s="3">
        <v>9</v>
      </c>
      <c r="F17" s="3">
        <v>1</v>
      </c>
      <c r="G17" s="3" t="str">
        <f t="shared" si="0"/>
        <v>Spring Wheat</v>
      </c>
      <c r="H17" s="3">
        <f t="shared" si="1"/>
        <v>9</v>
      </c>
      <c r="I17" s="4">
        <f t="shared" si="4"/>
        <v>1</v>
      </c>
      <c r="J17" s="4" t="str">
        <f t="shared" si="2"/>
        <v/>
      </c>
      <c r="K17" s="5" t="str">
        <f t="shared" ca="1" si="3"/>
        <v>=IF(D17&lt;=0,"check","")</v>
      </c>
    </row>
    <row r="18" spans="1:11" x14ac:dyDescent="0.2">
      <c r="A18" s="3" t="s">
        <v>44</v>
      </c>
      <c r="B18" s="3" t="s">
        <v>45</v>
      </c>
      <c r="C18" s="3" t="s">
        <v>46</v>
      </c>
      <c r="D18" s="3">
        <v>17.399999999999999</v>
      </c>
      <c r="E18" s="3">
        <v>14.2</v>
      </c>
      <c r="F18" s="3" t="s">
        <v>47</v>
      </c>
      <c r="G18" s="3" t="str">
        <f t="shared" si="0"/>
        <v>Peas</v>
      </c>
      <c r="H18" s="3">
        <f t="shared" si="1"/>
        <v>14.2</v>
      </c>
      <c r="I18" s="4">
        <f t="shared" si="4"/>
        <v>1</v>
      </c>
      <c r="J18" s="4" t="str">
        <f t="shared" si="2"/>
        <v/>
      </c>
      <c r="K18" s="5" t="str">
        <f t="shared" ca="1" si="3"/>
        <v>=IF(D18&lt;=0,"check","")</v>
      </c>
    </row>
    <row r="19" spans="1:11" x14ac:dyDescent="0.2">
      <c r="A19" s="3" t="s">
        <v>48</v>
      </c>
      <c r="B19" s="3" t="s">
        <v>49</v>
      </c>
      <c r="C19" s="3" t="s">
        <v>50</v>
      </c>
      <c r="D19" s="3">
        <v>44.8</v>
      </c>
      <c r="E19" s="3">
        <v>7.5</v>
      </c>
      <c r="F19" s="3">
        <v>3</v>
      </c>
      <c r="G19" s="3" t="str">
        <f t="shared" si="0"/>
        <v>Peas</v>
      </c>
      <c r="H19" s="3">
        <f t="shared" si="1"/>
        <v>7.5</v>
      </c>
      <c r="I19" s="4">
        <f t="shared" si="4"/>
        <v>1</v>
      </c>
      <c r="J19" s="4" t="str">
        <f t="shared" si="2"/>
        <v/>
      </c>
      <c r="K19" s="5" t="str">
        <f t="shared" ca="1" si="3"/>
        <v>=IF(D19&lt;=0,"check","")</v>
      </c>
    </row>
    <row r="20" spans="1:11" x14ac:dyDescent="0.2">
      <c r="A20" s="3" t="s">
        <v>51</v>
      </c>
      <c r="B20" s="3" t="s">
        <v>52</v>
      </c>
      <c r="C20" s="3" t="s">
        <v>50</v>
      </c>
      <c r="D20" s="3">
        <v>42.2</v>
      </c>
      <c r="E20" s="3">
        <v>9</v>
      </c>
      <c r="F20" s="3">
        <v>1</v>
      </c>
      <c r="G20" s="3" t="str">
        <f t="shared" si="0"/>
        <v>Peas</v>
      </c>
      <c r="H20" s="3">
        <f t="shared" si="1"/>
        <v>9</v>
      </c>
      <c r="I20" s="4">
        <f t="shared" si="4"/>
        <v>1</v>
      </c>
      <c r="J20" s="4" t="str">
        <f t="shared" si="2"/>
        <v/>
      </c>
      <c r="K20" s="5" t="str">
        <f t="shared" ca="1" si="3"/>
        <v>=IF(D20&lt;=0,"check","")</v>
      </c>
    </row>
    <row r="21" spans="1:11" x14ac:dyDescent="0.2">
      <c r="A21" s="3" t="s">
        <v>53</v>
      </c>
      <c r="B21" s="3" t="s">
        <v>54</v>
      </c>
      <c r="C21" s="3" t="s">
        <v>55</v>
      </c>
      <c r="D21" s="3">
        <v>29.5</v>
      </c>
      <c r="E21" s="3">
        <v>9.3000000000000007</v>
      </c>
      <c r="F21" s="3">
        <v>3</v>
      </c>
      <c r="G21" s="3" t="str">
        <f t="shared" si="0"/>
        <v>Barley</v>
      </c>
      <c r="H21" s="3">
        <f t="shared" si="1"/>
        <v>9.3000000000000007</v>
      </c>
      <c r="I21" s="4">
        <f t="shared" si="4"/>
        <v>1</v>
      </c>
      <c r="J21" s="4" t="str">
        <f t="shared" si="2"/>
        <v/>
      </c>
      <c r="K21" s="5" t="str">
        <f t="shared" ca="1" si="3"/>
        <v>=IF(D21&lt;=0,"check","")</v>
      </c>
    </row>
    <row r="22" spans="1:11" x14ac:dyDescent="0.2">
      <c r="A22" s="3" t="s">
        <v>56</v>
      </c>
      <c r="B22" s="3" t="s">
        <v>57</v>
      </c>
      <c r="C22" s="3" t="s">
        <v>50</v>
      </c>
      <c r="D22" s="3">
        <v>37.9</v>
      </c>
      <c r="E22" s="3">
        <v>9.1999999999999993</v>
      </c>
      <c r="F22" s="3">
        <v>2</v>
      </c>
      <c r="G22" s="3" t="str">
        <f t="shared" si="0"/>
        <v>Peas</v>
      </c>
      <c r="H22" s="3">
        <f t="shared" si="1"/>
        <v>9.1999999999999993</v>
      </c>
      <c r="I22" s="4">
        <f t="shared" si="4"/>
        <v>1</v>
      </c>
      <c r="J22" s="4" t="str">
        <f t="shared" si="2"/>
        <v/>
      </c>
      <c r="K22" s="5" t="str">
        <f t="shared" ca="1" si="3"/>
        <v>=IF(D22&lt;=0,"check","")</v>
      </c>
    </row>
    <row r="23" spans="1:11" x14ac:dyDescent="0.2">
      <c r="A23" s="3" t="s">
        <v>18</v>
      </c>
      <c r="B23" s="3" t="s">
        <v>19</v>
      </c>
      <c r="C23" s="3" t="s">
        <v>20</v>
      </c>
      <c r="D23" s="3">
        <v>34.700000000000003</v>
      </c>
      <c r="E23" s="3">
        <v>7</v>
      </c>
      <c r="F23" s="3">
        <v>3</v>
      </c>
      <c r="G23" s="3" t="str">
        <f t="shared" si="0"/>
        <v>Canola</v>
      </c>
      <c r="H23" s="3">
        <f t="shared" si="1"/>
        <v>7</v>
      </c>
      <c r="I23" s="4">
        <f t="shared" si="4"/>
        <v>2</v>
      </c>
      <c r="J23" s="4" t="str">
        <f t="shared" si="2"/>
        <v/>
      </c>
      <c r="K23" s="5" t="str">
        <f t="shared" ca="1" si="3"/>
        <v>=IF(D23&lt;=0,"check","")</v>
      </c>
    </row>
    <row r="24" spans="1:11" x14ac:dyDescent="0.2">
      <c r="G24" s="6" t="s">
        <v>58</v>
      </c>
    </row>
    <row r="25" spans="1:11" x14ac:dyDescent="0.2">
      <c r="G25" s="5" t="str">
        <f ca="1">_xlfn.FORMULATEXT(G5)</f>
        <v>=PROPER(TRIM(C5))</v>
      </c>
      <c r="H25" s="5" t="str">
        <f ca="1">_xlfn.FORMULATEXT(H5)</f>
        <v>=IF(ISNUMBER(E5),IF(E5&lt;1,E5*100,E5),"")</v>
      </c>
      <c r="I25" s="5" t="str">
        <f ca="1">_xlfn.FORMULATEXT(I5)</f>
        <v>=COUNTIF($A$5:$A$23,A5)</v>
      </c>
    </row>
    <row r="27" spans="1:11" x14ac:dyDescent="0.2">
      <c r="A27" s="7" t="s">
        <v>59</v>
      </c>
    </row>
    <row r="28" spans="1:11" x14ac:dyDescent="0.2">
      <c r="A28" s="3" t="s">
        <v>60</v>
      </c>
      <c r="D28" s="3">
        <f>MIN(D5:D23)</f>
        <v>-12.4</v>
      </c>
      <c r="E28" s="5" t="str">
        <f t="shared" ref="E28:E33" ca="1" si="5">_xlfn.FORMULATEXT(D28)</f>
        <v>=MIN(D5:D23)</v>
      </c>
    </row>
    <row r="29" spans="1:11" x14ac:dyDescent="0.2">
      <c r="A29" s="3" t="s">
        <v>61</v>
      </c>
      <c r="D29" s="3">
        <f>MAX(E5:E23)</f>
        <v>14.6</v>
      </c>
      <c r="E29" s="5" t="str">
        <f t="shared" ca="1" si="5"/>
        <v>=MAX(E5:E23)</v>
      </c>
    </row>
    <row r="30" spans="1:11" x14ac:dyDescent="0.2">
      <c r="A30" s="3" t="s">
        <v>62</v>
      </c>
      <c r="D30" s="3">
        <f>MIN(E5:E23)</f>
        <v>9.9000000000000005E-2</v>
      </c>
      <c r="E30" s="5" t="str">
        <f t="shared" ca="1" si="5"/>
        <v>=MIN(E5:E23)</v>
      </c>
    </row>
    <row r="31" spans="1:11" x14ac:dyDescent="0.2">
      <c r="A31" s="3" t="s">
        <v>63</v>
      </c>
      <c r="D31" s="3">
        <f>COUNTBLANK(E5:E23)</f>
        <v>1</v>
      </c>
      <c r="E31" s="5" t="str">
        <f t="shared" ca="1" si="5"/>
        <v>=COUNTBLANK(E5:E23)</v>
      </c>
    </row>
    <row r="32" spans="1:11" x14ac:dyDescent="0.2">
      <c r="A32" s="3" t="s">
        <v>64</v>
      </c>
      <c r="D32" s="3">
        <f>SUMPRODUCT(--ISTEXT(E5:E23))</f>
        <v>0</v>
      </c>
      <c r="E32" s="5" t="str">
        <f t="shared" ca="1" si="5"/>
        <v>=SUMPRODUCT(--ISTEXT(E5:E23))</v>
      </c>
    </row>
    <row r="33" spans="1:5" x14ac:dyDescent="0.2">
      <c r="A33" s="3" t="s">
        <v>65</v>
      </c>
      <c r="D33" s="3">
        <f>SUMPRODUCT(--(I5:I23&gt;1))/2</f>
        <v>1</v>
      </c>
      <c r="E33" s="5" t="str">
        <f t="shared" ca="1" si="5"/>
        <v>=SUMPRODUCT(--(I5:I23&gt;1))/2</v>
      </c>
    </row>
  </sheetData>
  <mergeCells count="1">
    <mergeCell ref="A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</vt:lpstr>
      <vt:lpstr>Checking</vt:lpstr>
      <vt:lpstr>Cleaning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Slade, Peter</cp:lastModifiedBy>
  <cp:revision/>
  <dcterms:created xsi:type="dcterms:W3CDTF">2026-08-21T00:44:39Z</dcterms:created>
  <dcterms:modified xsi:type="dcterms:W3CDTF">2026-08-24T04:15:16Z</dcterms:modified>
  <cp:category/>
  <cp:contentStatus/>
</cp:coreProperties>
</file>