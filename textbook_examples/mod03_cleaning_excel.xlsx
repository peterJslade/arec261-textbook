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2EC58D42972F256C2DD3C8734E5ED87656CD7F61" xr6:coauthVersionLast="47" xr6:coauthVersionMax="47" xr10:uidLastSave="{B7ADA528-6EDB-4AF7-B27D-1A6F6397E802}"/>
  <bookViews>
    <workbookView xWindow="0" yWindow="0" windowWidth="0" windowHeight="0" xr2:uid="{00000000-000D-0000-FFFF-FFFF00000000}"/>
  </bookViews>
  <sheets>
    <sheet name="Clea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D32" i="1"/>
  <c r="E31" i="1"/>
  <c r="D31" i="1"/>
  <c r="E30" i="1"/>
  <c r="D30" i="1"/>
  <c r="E29" i="1"/>
  <c r="D29" i="1"/>
  <c r="E28" i="1"/>
  <c r="D28" i="1"/>
  <c r="I25" i="1"/>
  <c r="H25" i="1"/>
  <c r="G25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D33" i="1"/>
</calcChain>
</file>

<file path=xl/sharedStrings.xml><?xml version="1.0" encoding="utf-8"?>
<sst xmlns="http://schemas.openxmlformats.org/spreadsheetml/2006/main" count="79" uniqueCount="66">
  <si>
    <t>Cleaning a messy file in Excel</t>
  </si>
  <si>
    <t>Grain delivery tickets, as they arrived.  Columns A-F are the raw data.  Columns G-J are cleaning formulas: a tidied crop name, moisture with the decimal-entered values rescaled, a duplicate count on the ticket number, and a flag for impossible weights.  Column K shows the formula in the column to its left.  Nothing in A-F is changed; the cleaned version sits beside the original so you can still see what you started with.</t>
  </si>
  <si>
    <t>ticket_id</t>
  </si>
  <si>
    <t>delivery_date</t>
  </si>
  <si>
    <t>crop</t>
  </si>
  <si>
    <t>weight_tonnes</t>
  </si>
  <si>
    <t>moisture_pct</t>
  </si>
  <si>
    <t>grade</t>
  </si>
  <si>
    <t>crop_clean</t>
  </si>
  <si>
    <t>moisture_fixed</t>
  </si>
  <si>
    <t>ticket_count</t>
  </si>
  <si>
    <t>weight_flag</t>
  </si>
  <si>
    <t>formula (column J)</t>
  </si>
  <si>
    <t>T0001</t>
  </si>
  <si>
    <t>2025-09-07</t>
  </si>
  <si>
    <t>barley</t>
  </si>
  <si>
    <t>T0003</t>
  </si>
  <si>
    <t>2025-09-23</t>
  </si>
  <si>
    <t>T0004</t>
  </si>
  <si>
    <t>15/10/2025</t>
  </si>
  <si>
    <t>canola</t>
  </si>
  <si>
    <t>T0006</t>
  </si>
  <si>
    <t>2025-09-11</t>
  </si>
  <si>
    <t>Spring wheat</t>
  </si>
  <si>
    <t>T0008</t>
  </si>
  <si>
    <t>2025-10-27</t>
  </si>
  <si>
    <t>T0009</t>
  </si>
  <si>
    <t>2025-09-21</t>
  </si>
  <si>
    <t>T0010</t>
  </si>
  <si>
    <t>2025-10-28</t>
  </si>
  <si>
    <t xml:space="preserve">Canola </t>
  </si>
  <si>
    <t>T0013</t>
  </si>
  <si>
    <t>2025-09-10</t>
  </si>
  <si>
    <t>spring wheat</t>
  </si>
  <si>
    <t>T0014</t>
  </si>
  <si>
    <t>2025-10-11</t>
  </si>
  <si>
    <t>T0016</t>
  </si>
  <si>
    <t>2025-11-28</t>
  </si>
  <si>
    <t>T0017</t>
  </si>
  <si>
    <t>2025-11-15</t>
  </si>
  <si>
    <t>T0019</t>
  </si>
  <si>
    <t>2025-11-13</t>
  </si>
  <si>
    <t>T0020</t>
  </si>
  <si>
    <t>2025-11-06</t>
  </si>
  <si>
    <t>T0022</t>
  </si>
  <si>
    <t>2025-10-01</t>
  </si>
  <si>
    <t>peas</t>
  </si>
  <si>
    <t>N/A</t>
  </si>
  <si>
    <t>T0002</t>
  </si>
  <si>
    <t>2025-11-25</t>
  </si>
  <si>
    <t>Peas</t>
  </si>
  <si>
    <t>T0005</t>
  </si>
  <si>
    <t>2025-10-16</t>
  </si>
  <si>
    <t>T0007</t>
  </si>
  <si>
    <t>2025-11-20</t>
  </si>
  <si>
    <t>Barley</t>
  </si>
  <si>
    <t>T0011</t>
  </si>
  <si>
    <t>2025-09-17</t>
  </si>
  <si>
    <t>Formulas in G, H and I:</t>
  </si>
  <si>
    <t>Summary checks</t>
  </si>
  <si>
    <t>Smallest weight</t>
  </si>
  <si>
    <t>Largest moisture</t>
  </si>
  <si>
    <t>Smallest moisture</t>
  </si>
  <si>
    <t>Blank moisture readings</t>
  </si>
  <si>
    <t>Text in the moisture column</t>
  </si>
  <si>
    <t>Tickets entered more than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</si>
</sst>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4A7C59"/>
      <name val="Arial"/>
    </font>
    <font>
      <sz val="10"/>
      <color rgb="FF5C6B62"/>
      <name val="Arial"/>
    </font>
    <font>
      <b/>
      <sz val="11"/>
      <color rgb="FFFFFFFF"/>
      <name val="Arial"/>
    </font>
    <font>
      <sz val="10"/>
      <color rgb="FF24302A"/>
      <name val="Arial"/>
    </font>
    <font>
      <sz val="10"/>
      <color rgb="FF2F5D46"/>
      <name val="Consolas"/>
    </font>
    <font>
      <b/>
      <sz val="11"/>
      <color rgb="FF4A7C59"/>
      <name val="Arial"/>
    </font>
  </fonts>
  <fills count="4">
    <fill>
      <patternFill patternType="none"/>
    </fill>
    <fill>
      <patternFill patternType="gray125"/>
    </fill>
    <fill>
      <patternFill patternType="solid">
        <fgColor rgb="FF4A7C59"/>
      </patternFill>
    </fill>
    <fill>
      <patternFill patternType="solid">
        <fgColor rgb="FF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13" customWidth="1"/>
    <col min="3" max="4" width="14" customWidth="1"/>
    <col min="5" max="5" width="13" customWidth="1"/>
    <col min="6" max="6" width="7" customWidth="1"/>
    <col min="7" max="7" width="14" customWidth="1"/>
    <col min="8" max="8" width="15" customWidth="1"/>
    <col min="9" max="9" width="13" customWidth="1"/>
    <col min="10" max="10" width="12" customWidth="1"/>
    <col min="11" max="11" width="28" customWidth="1"/>
  </cols>
  <sheetData>
    <row r="1" spans="1:11">
      <c r="A1" s="1" t="s">
        <v>0</v>
      </c>
    </row>
    <row r="2" spans="1:11" ht="57.95" customHeight="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3" t="s">
        <v>13</v>
      </c>
      <c r="B5" s="3" t="s">
        <v>14</v>
      </c>
      <c r="C5" s="3" t="s">
        <v>15</v>
      </c>
      <c r="D5" s="3">
        <v>44</v>
      </c>
      <c r="E5" s="3">
        <v>10.4</v>
      </c>
      <c r="F5" s="3">
        <v>3</v>
      </c>
      <c r="G5" s="3" t="str">
        <f>PROPER(TRIM(C5))</f>
        <v>Barley</v>
      </c>
      <c r="H5" s="3">
        <f>IF(ISNUMBER(E5),IF(E5&lt;1,E5*100,E5),"")</f>
        <v>10.4</v>
      </c>
      <c r="I5" s="4">
        <f>COUNTIF($A$5:$A$23,A5)</f>
        <v>1</v>
      </c>
      <c r="J5" s="4" t="str">
        <f>IF(D5&lt;=0,"check","")</f>
        <v/>
      </c>
      <c r="K5" s="5" t="str">
        <f ca="1">_xlfn.FORMULATEXT(J5)</f>
        <v>=IF(D5&lt;=0,"check","")</v>
      </c>
    </row>
    <row r="6" spans="1:11">
      <c r="A6" s="3" t="s">
        <v>16</v>
      </c>
      <c r="B6" s="3" t="s">
        <v>17</v>
      </c>
      <c r="C6" s="3" t="s">
        <v>15</v>
      </c>
      <c r="D6" s="3">
        <v>38</v>
      </c>
      <c r="E6" s="3">
        <v>10.199999999999999</v>
      </c>
      <c r="F6" s="3">
        <v>2</v>
      </c>
      <c r="G6" s="3" t="str">
        <f>PROPER(TRIM(C6))</f>
        <v>Barley</v>
      </c>
      <c r="H6" s="3">
        <f>IF(ISNUMBER(E6),IF(E6&lt;1,E6*100,E6),"")</f>
        <v>10.199999999999999</v>
      </c>
      <c r="I6" s="4">
        <f>COUNTIF($A$5:$A$23,A6)</f>
        <v>1</v>
      </c>
      <c r="J6" s="4" t="str">
        <f>IF(D6&lt;=0,"check","")</f>
        <v/>
      </c>
      <c r="K6" s="5" t="str">
        <f ca="1">_xlfn.FORMULATEXT(J6)</f>
        <v>=IF(D6&lt;=0,"check","")</v>
      </c>
    </row>
    <row r="7" spans="1:11">
      <c r="A7" s="3" t="s">
        <v>18</v>
      </c>
      <c r="B7" s="3" t="s">
        <v>19</v>
      </c>
      <c r="C7" s="3" t="s">
        <v>20</v>
      </c>
      <c r="D7" s="3">
        <v>34.700000000000003</v>
      </c>
      <c r="E7" s="3">
        <v>7</v>
      </c>
      <c r="F7" s="3">
        <v>3</v>
      </c>
      <c r="G7" s="3" t="str">
        <f>PROPER(TRIM(C7))</f>
        <v>Canola</v>
      </c>
      <c r="H7" s="3">
        <f>IF(ISNUMBER(E7),IF(E7&lt;1,E7*100,E7),"")</f>
        <v>7</v>
      </c>
      <c r="I7" s="4">
        <f>COUNTIF($A$5:$A$23,A7)</f>
        <v>2</v>
      </c>
      <c r="J7" s="4" t="str">
        <f>IF(D7&lt;=0,"check","")</f>
        <v/>
      </c>
      <c r="K7" s="5" t="str">
        <f ca="1">_xlfn.FORMULATEXT(J7)</f>
        <v>=IF(D7&lt;=0,"check","")</v>
      </c>
    </row>
    <row r="8" spans="1:11">
      <c r="A8" s="3" t="s">
        <v>21</v>
      </c>
      <c r="B8" s="3" t="s">
        <v>22</v>
      </c>
      <c r="C8" s="3" t="s">
        <v>23</v>
      </c>
      <c r="D8" s="3">
        <v>-12.4</v>
      </c>
      <c r="E8" s="3">
        <v>9.6999999999999993</v>
      </c>
      <c r="F8" s="3">
        <v>2</v>
      </c>
      <c r="G8" s="3" t="str">
        <f>PROPER(TRIM(C8))</f>
        <v>Spring Wheat</v>
      </c>
      <c r="H8" s="3">
        <f>IF(ISNUMBER(E8),IF(E8&lt;1,E8*100,E8),"")</f>
        <v>9.6999999999999993</v>
      </c>
      <c r="I8" s="4">
        <f>COUNTIF($A$5:$A$23,A8)</f>
        <v>1</v>
      </c>
      <c r="J8" s="4" t="str">
        <f>IF(D8&lt;=0,"check","")</f>
        <v>check</v>
      </c>
      <c r="K8" s="5" t="str">
        <f ca="1">_xlfn.FORMULATEXT(J8)</f>
        <v>=IF(D8&lt;=0,"check","")</v>
      </c>
    </row>
    <row r="9" spans="1:11">
      <c r="A9" s="3" t="s">
        <v>24</v>
      </c>
      <c r="B9" s="3" t="s">
        <v>25</v>
      </c>
      <c r="C9" s="3" t="s">
        <v>23</v>
      </c>
      <c r="D9" s="3">
        <v>48.1</v>
      </c>
      <c r="E9" s="3"/>
      <c r="F9" s="3">
        <v>3</v>
      </c>
      <c r="G9" s="3" t="str">
        <f>PROPER(TRIM(C9))</f>
        <v>Spring Wheat</v>
      </c>
      <c r="H9" s="3" t="str">
        <f>IF(ISNUMBER(E9),IF(E9&lt;1,E9*100,E9),"")</f>
        <v/>
      </c>
      <c r="I9" s="4">
        <f>COUNTIF($A$5:$A$23,A9)</f>
        <v>1</v>
      </c>
      <c r="J9" s="4" t="str">
        <f>IF(D9&lt;=0,"check","")</f>
        <v/>
      </c>
      <c r="K9" s="5" t="str">
        <f ca="1">_xlfn.FORMULATEXT(J9)</f>
        <v>=IF(D9&lt;=0,"check","")</v>
      </c>
    </row>
    <row r="10" spans="1:11">
      <c r="A10" s="3" t="s">
        <v>26</v>
      </c>
      <c r="B10" s="3" t="s">
        <v>27</v>
      </c>
      <c r="C10" s="3" t="s">
        <v>23</v>
      </c>
      <c r="D10" s="3">
        <v>39.200000000000003</v>
      </c>
      <c r="E10" s="3">
        <v>8.1999999999999993</v>
      </c>
      <c r="F10" s="3">
        <v>2</v>
      </c>
      <c r="G10" s="3" t="str">
        <f>PROPER(TRIM(C10))</f>
        <v>Spring Wheat</v>
      </c>
      <c r="H10" s="3">
        <f>IF(ISNUMBER(E10),IF(E10&lt;1,E10*100,E10),"")</f>
        <v>8.1999999999999993</v>
      </c>
      <c r="I10" s="4">
        <f>COUNTIF($A$5:$A$23,A10)</f>
        <v>1</v>
      </c>
      <c r="J10" s="4" t="str">
        <f>IF(D10&lt;=0,"check","")</f>
        <v/>
      </c>
      <c r="K10" s="5" t="str">
        <f ca="1">_xlfn.FORMULATEXT(J10)</f>
        <v>=IF(D10&lt;=0,"check","")</v>
      </c>
    </row>
    <row r="11" spans="1:11">
      <c r="A11" s="3" t="s">
        <v>28</v>
      </c>
      <c r="B11" s="3" t="s">
        <v>29</v>
      </c>
      <c r="C11" s="3" t="s">
        <v>30</v>
      </c>
      <c r="D11" s="3">
        <v>42.9</v>
      </c>
      <c r="E11" s="3">
        <v>9.9000000000000005E-2</v>
      </c>
      <c r="F11" s="3">
        <v>3</v>
      </c>
      <c r="G11" s="3" t="str">
        <f>PROPER(TRIM(C11))</f>
        <v>Canola</v>
      </c>
      <c r="H11" s="3">
        <f>IF(ISNUMBER(E11),IF(E11&lt;1,E11*100,E11),"")</f>
        <v>9.9</v>
      </c>
      <c r="I11" s="4">
        <f>COUNTIF($A$5:$A$23,A11)</f>
        <v>1</v>
      </c>
      <c r="J11" s="4" t="str">
        <f>IF(D11&lt;=0,"check","")</f>
        <v/>
      </c>
      <c r="K11" s="5" t="str">
        <f ca="1">_xlfn.FORMULATEXT(J11)</f>
        <v>=IF(D11&lt;=0,"check","")</v>
      </c>
    </row>
    <row r="12" spans="1:11">
      <c r="A12" s="3" t="s">
        <v>31</v>
      </c>
      <c r="B12" s="3" t="s">
        <v>32</v>
      </c>
      <c r="C12" s="3" t="s">
        <v>33</v>
      </c>
      <c r="D12" s="3">
        <v>36.5</v>
      </c>
      <c r="E12" s="3">
        <v>11.2</v>
      </c>
      <c r="F12" s="3">
        <v>2</v>
      </c>
      <c r="G12" s="3" t="str">
        <f>PROPER(TRIM(C12))</f>
        <v>Spring Wheat</v>
      </c>
      <c r="H12" s="3">
        <f>IF(ISNUMBER(E12),IF(E12&lt;1,E12*100,E12),"")</f>
        <v>11.2</v>
      </c>
      <c r="I12" s="4">
        <f>COUNTIF($A$5:$A$23,A12)</f>
        <v>1</v>
      </c>
      <c r="J12" s="4" t="str">
        <f>IF(D12&lt;=0,"check","")</f>
        <v/>
      </c>
      <c r="K12" s="5" t="str">
        <f ca="1">_xlfn.FORMULATEXT(J12)</f>
        <v>=IF(D12&lt;=0,"check","")</v>
      </c>
    </row>
    <row r="13" spans="1:11">
      <c r="A13" s="3" t="s">
        <v>34</v>
      </c>
      <c r="B13" s="3" t="s">
        <v>35</v>
      </c>
      <c r="C13" s="3" t="s">
        <v>23</v>
      </c>
      <c r="D13" s="3">
        <v>36.200000000000003</v>
      </c>
      <c r="E13" s="3">
        <v>7.9</v>
      </c>
      <c r="F13" s="3">
        <v>1</v>
      </c>
      <c r="G13" s="3" t="str">
        <f>PROPER(TRIM(C13))</f>
        <v>Spring Wheat</v>
      </c>
      <c r="H13" s="3">
        <f>IF(ISNUMBER(E13),IF(E13&lt;1,E13*100,E13),"")</f>
        <v>7.9</v>
      </c>
      <c r="I13" s="4">
        <f>COUNTIF($A$5:$A$23,A13)</f>
        <v>1</v>
      </c>
      <c r="J13" s="4" t="str">
        <f>IF(D13&lt;=0,"check","")</f>
        <v/>
      </c>
      <c r="K13" s="5" t="str">
        <f ca="1">_xlfn.FORMULATEXT(J13)</f>
        <v>=IF(D13&lt;=0,"check","")</v>
      </c>
    </row>
    <row r="14" spans="1:11">
      <c r="A14" s="3" t="s">
        <v>36</v>
      </c>
      <c r="B14" s="3" t="s">
        <v>37</v>
      </c>
      <c r="C14" s="3" t="s">
        <v>20</v>
      </c>
      <c r="D14" s="3">
        <v>41.5</v>
      </c>
      <c r="E14" s="3">
        <v>9.3000000000000007</v>
      </c>
      <c r="F14" s="3">
        <v>3</v>
      </c>
      <c r="G14" s="3" t="str">
        <f>PROPER(TRIM(C14))</f>
        <v>Canola</v>
      </c>
      <c r="H14" s="3">
        <f>IF(ISNUMBER(E14),IF(E14&lt;1,E14*100,E14),"")</f>
        <v>9.3000000000000007</v>
      </c>
      <c r="I14" s="4">
        <f>COUNTIF($A$5:$A$23,A14)</f>
        <v>1</v>
      </c>
      <c r="J14" s="4" t="str">
        <f>IF(D14&lt;=0,"check","")</f>
        <v/>
      </c>
      <c r="K14" s="5" t="str">
        <f ca="1">_xlfn.FORMULATEXT(J14)</f>
        <v>=IF(D14&lt;=0,"check","")</v>
      </c>
    </row>
    <row r="15" spans="1:11">
      <c r="A15" s="3" t="s">
        <v>38</v>
      </c>
      <c r="B15" s="3" t="s">
        <v>39</v>
      </c>
      <c r="C15" s="3" t="s">
        <v>33</v>
      </c>
      <c r="D15" s="3">
        <v>33.299999999999997</v>
      </c>
      <c r="E15" s="3">
        <v>11.3</v>
      </c>
      <c r="F15" s="3">
        <v>2</v>
      </c>
      <c r="G15" s="3" t="str">
        <f>PROPER(TRIM(C15))</f>
        <v>Spring Wheat</v>
      </c>
      <c r="H15" s="3">
        <f>IF(ISNUMBER(E15),IF(E15&lt;1,E15*100,E15),"")</f>
        <v>11.3</v>
      </c>
      <c r="I15" s="4">
        <f>COUNTIF($A$5:$A$23,A15)</f>
        <v>1</v>
      </c>
      <c r="J15" s="4" t="str">
        <f>IF(D15&lt;=0,"check","")</f>
        <v/>
      </c>
      <c r="K15" s="5" t="str">
        <f ca="1">_xlfn.FORMULATEXT(J15)</f>
        <v>=IF(D15&lt;=0,"check","")</v>
      </c>
    </row>
    <row r="16" spans="1:11">
      <c r="A16" s="3" t="s">
        <v>40</v>
      </c>
      <c r="B16" s="3" t="s">
        <v>41</v>
      </c>
      <c r="C16" s="3" t="s">
        <v>15</v>
      </c>
      <c r="D16" s="3">
        <v>33.200000000000003</v>
      </c>
      <c r="E16" s="3">
        <v>14.6</v>
      </c>
      <c r="F16" s="3">
        <v>2</v>
      </c>
      <c r="G16" s="3" t="str">
        <f>PROPER(TRIM(C16))</f>
        <v>Barley</v>
      </c>
      <c r="H16" s="3">
        <f>IF(ISNUMBER(E16),IF(E16&lt;1,E16*100,E16),"")</f>
        <v>14.6</v>
      </c>
      <c r="I16" s="4">
        <f>COUNTIF($A$5:$A$23,A16)</f>
        <v>1</v>
      </c>
      <c r="J16" s="4" t="str">
        <f>IF(D16&lt;=0,"check","")</f>
        <v/>
      </c>
      <c r="K16" s="5" t="str">
        <f ca="1">_xlfn.FORMULATEXT(J16)</f>
        <v>=IF(D16&lt;=0,"check","")</v>
      </c>
    </row>
    <row r="17" spans="1:11">
      <c r="A17" s="3" t="s">
        <v>42</v>
      </c>
      <c r="B17" s="3" t="s">
        <v>43</v>
      </c>
      <c r="C17" s="3" t="s">
        <v>23</v>
      </c>
      <c r="D17" s="3">
        <v>22.7</v>
      </c>
      <c r="E17" s="3">
        <v>9</v>
      </c>
      <c r="F17" s="3">
        <v>1</v>
      </c>
      <c r="G17" s="3" t="str">
        <f>PROPER(TRIM(C17))</f>
        <v>Spring Wheat</v>
      </c>
      <c r="H17" s="3">
        <f>IF(ISNUMBER(E17),IF(E17&lt;1,E17*100,E17),"")</f>
        <v>9</v>
      </c>
      <c r="I17" s="4">
        <f>COUNTIF($A$5:$A$23,A17)</f>
        <v>1</v>
      </c>
      <c r="J17" s="4" t="str">
        <f>IF(D17&lt;=0,"check","")</f>
        <v/>
      </c>
      <c r="K17" s="5" t="str">
        <f ca="1">_xlfn.FORMULATEXT(J17)</f>
        <v>=IF(D17&lt;=0,"check","")</v>
      </c>
    </row>
    <row r="18" spans="1:11">
      <c r="A18" s="3" t="s">
        <v>44</v>
      </c>
      <c r="B18" s="3" t="s">
        <v>45</v>
      </c>
      <c r="C18" s="3" t="s">
        <v>46</v>
      </c>
      <c r="D18" s="3">
        <v>17.399999999999999</v>
      </c>
      <c r="E18" s="3">
        <v>14.2</v>
      </c>
      <c r="F18" s="3" t="s">
        <v>47</v>
      </c>
      <c r="G18" s="3" t="str">
        <f>PROPER(TRIM(C18))</f>
        <v>Peas</v>
      </c>
      <c r="H18" s="3">
        <f>IF(ISNUMBER(E18),IF(E18&lt;1,E18*100,E18),"")</f>
        <v>14.2</v>
      </c>
      <c r="I18" s="4">
        <f>COUNTIF($A$5:$A$23,A18)</f>
        <v>1</v>
      </c>
      <c r="J18" s="4" t="str">
        <f>IF(D18&lt;=0,"check","")</f>
        <v/>
      </c>
      <c r="K18" s="5" t="str">
        <f ca="1">_xlfn.FORMULATEXT(J18)</f>
        <v>=IF(D18&lt;=0,"check","")</v>
      </c>
    </row>
    <row r="19" spans="1:11">
      <c r="A19" s="3" t="s">
        <v>48</v>
      </c>
      <c r="B19" s="3" t="s">
        <v>49</v>
      </c>
      <c r="C19" s="3" t="s">
        <v>50</v>
      </c>
      <c r="D19" s="3">
        <v>44.8</v>
      </c>
      <c r="E19" s="3">
        <v>7.5</v>
      </c>
      <c r="F19" s="3">
        <v>3</v>
      </c>
      <c r="G19" s="3" t="str">
        <f>PROPER(TRIM(C19))</f>
        <v>Peas</v>
      </c>
      <c r="H19" s="3">
        <f>IF(ISNUMBER(E19),IF(E19&lt;1,E19*100,E19),"")</f>
        <v>7.5</v>
      </c>
      <c r="I19" s="4">
        <f>COUNTIF($A$5:$A$23,A19)</f>
        <v>1</v>
      </c>
      <c r="J19" s="4" t="str">
        <f>IF(D19&lt;=0,"check","")</f>
        <v/>
      </c>
      <c r="K19" s="5" t="str">
        <f ca="1">_xlfn.FORMULATEXT(J19)</f>
        <v>=IF(D19&lt;=0,"check","")</v>
      </c>
    </row>
    <row r="20" spans="1:11">
      <c r="A20" s="3" t="s">
        <v>51</v>
      </c>
      <c r="B20" s="3" t="s">
        <v>52</v>
      </c>
      <c r="C20" s="3" t="s">
        <v>50</v>
      </c>
      <c r="D20" s="3">
        <v>42.2</v>
      </c>
      <c r="E20" s="3">
        <v>9</v>
      </c>
      <c r="F20" s="3">
        <v>1</v>
      </c>
      <c r="G20" s="3" t="str">
        <f>PROPER(TRIM(C20))</f>
        <v>Peas</v>
      </c>
      <c r="H20" s="3">
        <f>IF(ISNUMBER(E20),IF(E20&lt;1,E20*100,E20),"")</f>
        <v>9</v>
      </c>
      <c r="I20" s="4">
        <f>COUNTIF($A$5:$A$23,A20)</f>
        <v>1</v>
      </c>
      <c r="J20" s="4" t="str">
        <f>IF(D20&lt;=0,"check","")</f>
        <v/>
      </c>
      <c r="K20" s="5" t="str">
        <f ca="1">_xlfn.FORMULATEXT(J20)</f>
        <v>=IF(D20&lt;=0,"check","")</v>
      </c>
    </row>
    <row r="21" spans="1:11">
      <c r="A21" s="3" t="s">
        <v>53</v>
      </c>
      <c r="B21" s="3" t="s">
        <v>54</v>
      </c>
      <c r="C21" s="3" t="s">
        <v>55</v>
      </c>
      <c r="D21" s="3">
        <v>29.5</v>
      </c>
      <c r="E21" s="3">
        <v>9.3000000000000007</v>
      </c>
      <c r="F21" s="3">
        <v>3</v>
      </c>
      <c r="G21" s="3" t="str">
        <f>PROPER(TRIM(C21))</f>
        <v>Barley</v>
      </c>
      <c r="H21" s="3">
        <f>IF(ISNUMBER(E21),IF(E21&lt;1,E21*100,E21),"")</f>
        <v>9.3000000000000007</v>
      </c>
      <c r="I21" s="4">
        <f>COUNTIF($A$5:$A$23,A21)</f>
        <v>1</v>
      </c>
      <c r="J21" s="4" t="str">
        <f>IF(D21&lt;=0,"check","")</f>
        <v/>
      </c>
      <c r="K21" s="5" t="str">
        <f ca="1">_xlfn.FORMULATEXT(J21)</f>
        <v>=IF(D21&lt;=0,"check","")</v>
      </c>
    </row>
    <row r="22" spans="1:11">
      <c r="A22" s="3" t="s">
        <v>56</v>
      </c>
      <c r="B22" s="3" t="s">
        <v>57</v>
      </c>
      <c r="C22" s="3" t="s">
        <v>50</v>
      </c>
      <c r="D22" s="3">
        <v>37.9</v>
      </c>
      <c r="E22" s="3">
        <v>9.1999999999999993</v>
      </c>
      <c r="F22" s="3">
        <v>2</v>
      </c>
      <c r="G22" s="3" t="str">
        <f>PROPER(TRIM(C22))</f>
        <v>Peas</v>
      </c>
      <c r="H22" s="3">
        <f>IF(ISNUMBER(E22),IF(E22&lt;1,E22*100,E22),"")</f>
        <v>9.1999999999999993</v>
      </c>
      <c r="I22" s="4">
        <f>COUNTIF($A$5:$A$23,A22)</f>
        <v>1</v>
      </c>
      <c r="J22" s="4" t="str">
        <f>IF(D22&lt;=0,"check","")</f>
        <v/>
      </c>
      <c r="K22" s="5" t="str">
        <f ca="1">_xlfn.FORMULATEXT(J22)</f>
        <v>=IF(D22&lt;=0,"check","")</v>
      </c>
    </row>
    <row r="23" spans="1:11">
      <c r="A23" s="3" t="s">
        <v>18</v>
      </c>
      <c r="B23" s="3" t="s">
        <v>19</v>
      </c>
      <c r="C23" s="3" t="s">
        <v>20</v>
      </c>
      <c r="D23" s="3">
        <v>34.700000000000003</v>
      </c>
      <c r="E23" s="3">
        <v>7</v>
      </c>
      <c r="F23" s="3">
        <v>3</v>
      </c>
      <c r="G23" s="3" t="str">
        <f>PROPER(TRIM(C23))</f>
        <v>Canola</v>
      </c>
      <c r="H23" s="3">
        <f>IF(ISNUMBER(E23),IF(E23&lt;1,E23*100,E23),"")</f>
        <v>7</v>
      </c>
      <c r="I23" s="4">
        <f>COUNTIF($A$5:$A$23,A23)</f>
        <v>2</v>
      </c>
      <c r="J23" s="4" t="str">
        <f>IF(D23&lt;=0,"check","")</f>
        <v/>
      </c>
      <c r="K23" s="5" t="str">
        <f ca="1">_xlfn.FORMULATEXT(J23)</f>
        <v>=IF(D23&lt;=0,"check","")</v>
      </c>
    </row>
    <row r="24" spans="1:11">
      <c r="G24" s="6" t="s">
        <v>58</v>
      </c>
    </row>
    <row r="25" spans="1:11">
      <c r="G25" s="5" t="str">
        <f ca="1">_xlfn.FORMULATEXT(G5)</f>
        <v>=PROPER(TRIM(C5))</v>
      </c>
      <c r="H25" s="5" t="str">
        <f ca="1">_xlfn.FORMULATEXT(H5)</f>
        <v>=IF(ISNUMBER(E5),IF(E5&lt;1,E5*100,E5),"")</v>
      </c>
      <c r="I25" s="5" t="str">
        <f ca="1">_xlfn.FORMULATEXT(I5)</f>
        <v>=COUNTIF($A$5:$A$23,A5)</v>
      </c>
    </row>
    <row r="27" spans="1:11">
      <c r="A27" s="7" t="s">
        <v>59</v>
      </c>
    </row>
    <row r="28" spans="1:11">
      <c r="A28" s="3" t="s">
        <v>60</v>
      </c>
      <c r="D28" s="3">
        <f>MIN(D5:D23)</f>
        <v>-12.4</v>
      </c>
      <c r="E28" s="5" t="str">
        <f ca="1">_xlfn.FORMULATEXT(D28)</f>
        <v>=MIN(D5:D23)</v>
      </c>
    </row>
    <row r="29" spans="1:11">
      <c r="A29" s="3" t="s">
        <v>61</v>
      </c>
      <c r="D29" s="3">
        <f>MAX(E5:E23)</f>
        <v>14.6</v>
      </c>
      <c r="E29" s="5" t="str">
        <f ca="1">_xlfn.FORMULATEXT(D29)</f>
        <v>=MAX(E5:E23)</v>
      </c>
    </row>
    <row r="30" spans="1:11">
      <c r="A30" s="3" t="s">
        <v>62</v>
      </c>
      <c r="D30" s="3">
        <f>MIN(E5:E23)</f>
        <v>9.9000000000000005E-2</v>
      </c>
      <c r="E30" s="5" t="str">
        <f ca="1">_xlfn.FORMULATEXT(D30)</f>
        <v>=MIN(E5:E23)</v>
      </c>
    </row>
    <row r="31" spans="1:11">
      <c r="A31" s="3" t="s">
        <v>63</v>
      </c>
      <c r="D31" s="3">
        <f>COUNTBLANK(E5:E23)</f>
        <v>1</v>
      </c>
      <c r="E31" s="5" t="str">
        <f ca="1">_xlfn.FORMULATEXT(D31)</f>
        <v>=COUNTBLANK(E5:E23)</v>
      </c>
    </row>
    <row r="32" spans="1:11">
      <c r="A32" s="3" t="s">
        <v>64</v>
      </c>
      <c r="D32" s="3">
        <f>SUMPRODUCT(--ISTEXT(E5:E23))</f>
        <v>0</v>
      </c>
      <c r="E32" s="5" t="str">
        <f ca="1">_xlfn.FORMULATEXT(D32)</f>
        <v>=SUMPRODUCT(--ISTEXT(E5:E23))</v>
      </c>
    </row>
    <row r="33" spans="1:5">
      <c r="A33" s="3" t="s">
        <v>65</v>
      </c>
      <c r="D33" s="3">
        <f>SUMPRODUCT(--(I5:I23&gt;1))/2</f>
        <v>1</v>
      </c>
      <c r="E33" s="5" t="str">
        <f ca="1">_xlfn.FORMULATEXT(D33)</f>
        <v>=SUMPRODUCT(--(I5:I23&gt;1))/2</v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Slade, Peter</cp:lastModifiedBy>
  <cp:revision/>
  <dcterms:created xsi:type="dcterms:W3CDTF">2026-08-21T00:44:39Z</dcterms:created>
  <dcterms:modified xsi:type="dcterms:W3CDTF">2026-08-22T17:04:07Z</dcterms:modified>
  <cp:category/>
  <cp:contentStatus/>
</cp:coreProperties>
</file>