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/>
  <mc:AlternateContent xmlns:mc="http://schemas.openxmlformats.org/markup-compatibility/2006">
    <mc:Choice Requires="x15">
      <x15ac:absPath xmlns:x15ac="http://schemas.microsoft.com/office/spreadsheetml/2010/11/ac" url="https://usaskca1-my.sharepoint.com/personal/pjs998_usask_ca/Documents/Teaching/261/2026/textbook_261/textbook_examples/"/>
    </mc:Choice>
  </mc:AlternateContent>
  <xr:revisionPtr revIDLastSave="17" documentId="11_ECFEC656D630B8B35F2F020EB3584D568E9D26F7" xr6:coauthVersionLast="47" xr6:coauthVersionMax="47" xr10:uidLastSave="{00937DC2-1569-554E-9DCD-981AE71C4283}"/>
  <bookViews>
    <workbookView xWindow="0" yWindow="600" windowWidth="38400" windowHeight="21000" xr2:uid="{00000000-000D-0000-FFFF-FFFF00000000}"/>
  </bookViews>
  <sheets>
    <sheet name="q04_tickets" sheetId="2" r:id="rId1"/>
    <sheet name="Answer" sheetId="1" state="hidden" r:id="rId2"/>
  </sheets>
  <definedNames>
    <definedName name="ExternalData_1" localSheetId="0" hidden="1">q04_tickets!$A$1:$I$21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223D5F3-F0C2-744F-A89B-8CB952D83D9C}" keepAlive="1" name="Query - q04_tickets" description="Connection to the 'q04_tickets' query in the workbook." type="5" refreshedVersion="8" background="1" saveData="1">
    <dbPr connection="Provider=Microsoft.Mashup.OleDb.1;Data Source=$Workbook$;Location=q04_tickets;Extended Properties=&quot;&quot;" command="SELECT * FROM [q04_tickets]"/>
  </connection>
</connections>
</file>

<file path=xl/sharedStrings.xml><?xml version="1.0" encoding="utf-8"?>
<sst xmlns="http://schemas.openxmlformats.org/spreadsheetml/2006/main" count="151" uniqueCount="105">
  <si>
    <t>Question 4 — Power Query answer</t>
  </si>
  <si>
    <t>Documenting a downloaded source</t>
  </si>
  <si>
    <t>Results</t>
  </si>
  <si>
    <t>Measure</t>
  </si>
  <si>
    <t>Answer</t>
  </si>
  <si>
    <t>Number of tickets</t>
  </si>
  <si>
    <t>Mean weight per ticket (t)</t>
  </si>
  <si>
    <t>Written answer</t>
  </si>
  <si>
    <t>The dated raw copy records exactly what was analysed. If the online file is corrected, replaced or removed later, the analysis can still be reproduced from the version actually used.</t>
  </si>
  <si>
    <t>Power Query steps</t>
  </si>
  <si>
    <t>Source → Promoted Headers → Typed identifiers → Changed types</t>
  </si>
  <si>
    <t>Source</t>
  </si>
  <si>
    <t>https://raw.githubusercontent.com/peterJslade/arec261-textbook/main/practice/data/module03/q10_tickets.csv
Downloaded: 2026-09-06
One row: one grain delivery ticket
Units: weight_tonnes in tonnes; moisture_pct in percent</t>
  </si>
  <si>
    <t>ticket_id</t>
  </si>
  <si>
    <t>permit_book</t>
  </si>
  <si>
    <t>lot_code</t>
  </si>
  <si>
    <t>delivery_date</t>
  </si>
  <si>
    <t>crop</t>
  </si>
  <si>
    <t>weight_tonnes</t>
  </si>
  <si>
    <t>moisture_pct</t>
  </si>
  <si>
    <t>elevator</t>
  </si>
  <si>
    <t>postal_code</t>
  </si>
  <si>
    <t>00901</t>
  </si>
  <si>
    <t>4520911276704069</t>
  </si>
  <si>
    <t>4-8</t>
  </si>
  <si>
    <t>Spring Wheat</t>
  </si>
  <si>
    <t>Biggar</t>
  </si>
  <si>
    <t>S0L 2V0</t>
  </si>
  <si>
    <t>00902</t>
  </si>
  <si>
    <t>4520389194053018</t>
  </si>
  <si>
    <t>Canola</t>
  </si>
  <si>
    <t>Rosetown</t>
  </si>
  <si>
    <t>00903</t>
  </si>
  <si>
    <t>4520579772927223</t>
  </si>
  <si>
    <t>6-7</t>
  </si>
  <si>
    <t>Peas</t>
  </si>
  <si>
    <t>S0L 2N0</t>
  </si>
  <si>
    <t>00904</t>
  </si>
  <si>
    <t>4520428587877243</t>
  </si>
  <si>
    <t>8-4</t>
  </si>
  <si>
    <t>Davidson</t>
  </si>
  <si>
    <t>S0L 1S0</t>
  </si>
  <si>
    <t>00905</t>
  </si>
  <si>
    <t>4520729888826224</t>
  </si>
  <si>
    <t>1-8</t>
  </si>
  <si>
    <t>00906</t>
  </si>
  <si>
    <t>4520136434439102</t>
  </si>
  <si>
    <t>8-15</t>
  </si>
  <si>
    <t>00907</t>
  </si>
  <si>
    <t>4520964353325844</t>
  </si>
  <si>
    <t>8-8</t>
  </si>
  <si>
    <t>Barley</t>
  </si>
  <si>
    <t>Kindersley</t>
  </si>
  <si>
    <t>S0K 0M0</t>
  </si>
  <si>
    <t>00908</t>
  </si>
  <si>
    <t>4520893770499515</t>
  </si>
  <si>
    <t>Oats</t>
  </si>
  <si>
    <t>Outlook</t>
  </si>
  <si>
    <t>S0G 1B0</t>
  </si>
  <si>
    <t>00909</t>
  </si>
  <si>
    <t>4520855399214982</t>
  </si>
  <si>
    <t>4-1</t>
  </si>
  <si>
    <t>S7K 3J7</t>
  </si>
  <si>
    <t>00910</t>
  </si>
  <si>
    <t>4520825644858440</t>
  </si>
  <si>
    <t>5-8</t>
  </si>
  <si>
    <t>00911</t>
  </si>
  <si>
    <t>4520221087062082</t>
  </si>
  <si>
    <t>7-11</t>
  </si>
  <si>
    <t>00912</t>
  </si>
  <si>
    <t>4520676249653966</t>
  </si>
  <si>
    <t>3-12</t>
  </si>
  <si>
    <t>00913</t>
  </si>
  <si>
    <t>4520894279987210</t>
  </si>
  <si>
    <t>1-11</t>
  </si>
  <si>
    <t>00914</t>
  </si>
  <si>
    <t>4520830888709488</t>
  </si>
  <si>
    <t>6-9</t>
  </si>
  <si>
    <t>00915</t>
  </si>
  <si>
    <t>4520800009429128</t>
  </si>
  <si>
    <t>2-9</t>
  </si>
  <si>
    <t>00916</t>
  </si>
  <si>
    <t>4520086713975437</t>
  </si>
  <si>
    <t>1-7</t>
  </si>
  <si>
    <t>00917</t>
  </si>
  <si>
    <t>4520614517521586</t>
  </si>
  <si>
    <t>2-15</t>
  </si>
  <si>
    <t>00918</t>
  </si>
  <si>
    <t>4520416966290884</t>
  </si>
  <si>
    <t>7-5</t>
  </si>
  <si>
    <t>00919</t>
  </si>
  <si>
    <t>4520063943178801</t>
  </si>
  <si>
    <t>4-4</t>
  </si>
  <si>
    <t>00920</t>
  </si>
  <si>
    <t>4520560224593896</t>
  </si>
  <si>
    <t>6-14</t>
  </si>
  <si>
    <t>Part b</t>
  </si>
  <si>
    <t>Part c</t>
  </si>
  <si>
    <t>Source URL</t>
  </si>
  <si>
    <t>https://agdataanalytics.com/practice/data/module03/q10_tickets.csv</t>
  </si>
  <si>
    <t>Retrieved</t>
  </si>
  <si>
    <t>Raw-data note</t>
  </si>
  <si>
    <t>Dated, untouched copy retained; one row is one delivery ticket.</t>
  </si>
  <si>
    <t>Tickets: 20; mean weight: 30.165 t. The dated copy preserves the exact input used for the analysis if the online file later changes.</t>
  </si>
  <si>
    <t>Retrieved Sep 6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</si>
</sst>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8">
    <font>
      <sz val="11"/>
      <name val="Carlito"/>
    </font>
    <font>
      <sz val="11"/>
      <color rgb="FF222222"/>
      <name val="Arial"/>
      <family val="2"/>
    </font>
    <font>
      <b/>
      <sz val="16"/>
      <color rgb="FF17365D"/>
      <name val="Arial"/>
      <family val="2"/>
    </font>
    <font>
      <i/>
      <sz val="11"/>
      <color rgb="FF555555"/>
      <name val="Arial"/>
      <family val="2"/>
    </font>
    <font>
      <b/>
      <sz val="11"/>
      <color rgb="FF17365D"/>
      <name val="Arial"/>
      <family val="2"/>
    </font>
    <font>
      <b/>
      <sz val="11"/>
      <color rgb="FFFFFFFF"/>
      <name val="Arial"/>
      <family val="2"/>
    </font>
    <font>
      <sz val="10"/>
      <color rgb="FF444444"/>
      <name val="Arial"/>
      <family val="2"/>
    </font>
    <font>
      <u/>
      <sz val="11"/>
      <color theme="10"/>
      <name val="Carlito"/>
    </font>
  </fonts>
  <fills count="7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17365D"/>
      </patternFill>
    </fill>
    <fill>
      <patternFill patternType="solid">
        <fgColor rgb="FFF8FAFC"/>
      </patternFill>
    </fill>
    <fill>
      <patternFill patternType="solid">
        <fgColor rgb="FFC0E6F5"/>
        <bgColor rgb="FF000000"/>
      </patternFill>
    </fill>
    <fill>
      <patternFill patternType="solid">
        <fgColor rgb="FFFBE2D5"/>
        <bgColor rgb="FF000000"/>
      </patternFill>
    </fill>
  </fills>
  <borders count="7">
    <border>
      <left/>
      <right/>
      <top/>
      <bottom/>
      <diagonal/>
    </border>
    <border>
      <left/>
      <right/>
      <top/>
      <bottom style="thin">
        <color rgb="FF8EA9C1"/>
      </bottom>
      <diagonal/>
    </border>
    <border>
      <left/>
      <right style="thin">
        <color rgb="FFD9E2F3"/>
      </right>
      <top/>
      <bottom style="thin">
        <color rgb="FFD9E2F3"/>
      </bottom>
      <diagonal/>
    </border>
    <border>
      <left style="thin">
        <color rgb="FFD9E2F3"/>
      </left>
      <right/>
      <top/>
      <bottom style="thin">
        <color rgb="FFD9E2F3"/>
      </bottom>
      <diagonal/>
    </border>
    <border>
      <left/>
      <right style="thin">
        <color rgb="FFD9E2F3"/>
      </right>
      <top style="thin">
        <color rgb="FFD9E2F3"/>
      </top>
      <bottom/>
      <diagonal/>
    </border>
    <border>
      <left style="thin">
        <color rgb="FFD9E2F3"/>
      </left>
      <right/>
      <top style="thin">
        <color rgb="FFD9E2F3"/>
      </top>
      <bottom/>
      <diagonal/>
    </border>
    <border>
      <left/>
      <right style="thin">
        <color rgb="FFD9E2F3"/>
      </right>
      <top/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0" borderId="1" xfId="0" applyFont="1" applyBorder="1"/>
    <xf numFmtId="0" fontId="4" fillId="2" borderId="0" xfId="0" applyFont="1" applyFill="1"/>
    <xf numFmtId="0" fontId="5" fillId="3" borderId="0" xfId="0" applyFont="1" applyFill="1" applyAlignment="1">
      <alignment horizontal="center"/>
    </xf>
    <xf numFmtId="0" fontId="1" fillId="0" borderId="2" xfId="0" applyFont="1" applyBorder="1"/>
    <xf numFmtId="1" fontId="1" fillId="0" borderId="3" xfId="0" applyNumberFormat="1" applyFont="1" applyBorder="1"/>
    <xf numFmtId="0" fontId="1" fillId="0" borderId="4" xfId="0" applyFont="1" applyBorder="1"/>
    <xf numFmtId="164" fontId="1" fillId="0" borderId="5" xfId="0" applyNumberFormat="1" applyFont="1" applyBorder="1"/>
    <xf numFmtId="0" fontId="1" fillId="4" borderId="5" xfId="0" applyFont="1" applyFill="1" applyBorder="1" applyAlignment="1">
      <alignment vertical="top" wrapText="1"/>
    </xf>
    <xf numFmtId="0" fontId="1" fillId="4" borderId="4" xfId="0" applyFont="1" applyFill="1" applyBorder="1" applyAlignment="1">
      <alignment vertical="top" wrapText="1"/>
    </xf>
    <xf numFmtId="0" fontId="1" fillId="4" borderId="3" xfId="0" applyFont="1" applyFill="1" applyBorder="1" applyAlignment="1">
      <alignment vertical="top" wrapText="1"/>
    </xf>
    <xf numFmtId="0" fontId="1" fillId="4" borderId="2" xfId="0" applyFont="1" applyFill="1" applyBorder="1" applyAlignment="1">
      <alignment vertical="top" wrapText="1"/>
    </xf>
    <xf numFmtId="0" fontId="1" fillId="4" borderId="0" xfId="0" applyFont="1" applyFill="1" applyAlignment="1">
      <alignment wrapText="1"/>
    </xf>
    <xf numFmtId="0" fontId="6" fillId="4" borderId="0" xfId="0" applyFont="1" applyFill="1" applyAlignment="1">
      <alignment vertical="top" wrapText="1"/>
    </xf>
    <xf numFmtId="0" fontId="0" fillId="0" borderId="0" xfId="0" applyNumberFormat="1"/>
    <xf numFmtId="14" fontId="0" fillId="0" borderId="0" xfId="0" applyNumberFormat="1"/>
    <xf numFmtId="0" fontId="0" fillId="5" borderId="0" xfId="0" applyFill="1"/>
    <xf numFmtId="0" fontId="1" fillId="5" borderId="2" xfId="0" applyFont="1" applyFill="1" applyBorder="1"/>
    <xf numFmtId="0" fontId="1" fillId="5" borderId="6" xfId="0" applyFont="1" applyFill="1" applyBorder="1"/>
    <xf numFmtId="0" fontId="0" fillId="6" borderId="0" xfId="0" applyFill="1"/>
    <xf numFmtId="0" fontId="1" fillId="6" borderId="0" xfId="0" applyFont="1" applyFill="1"/>
    <xf numFmtId="0" fontId="0" fillId="6" borderId="0" xfId="0" applyFill="1" applyAlignment="1">
      <alignment horizontal="center"/>
    </xf>
    <xf numFmtId="0" fontId="7" fillId="5" borderId="0" xfId="1" applyFill="1"/>
  </cellXfs>
  <cellStyles count="2">
    <cellStyle name="Hyperlink" xfId="1" builtinId="8"/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19" formatCode="yyyy/mm/dd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D512010-4547-0544-8CCF-FE3B272D9391}" autoFormatId="16" applyNumberFormats="0" applyBorderFormats="0" applyFontFormats="0" applyPatternFormats="0" applyAlignmentFormats="0" applyWidthHeightFormats="0">
  <queryTableRefresh nextId="10">
    <queryTableFields count="9">
      <queryTableField id="1" name="ticket_id" tableColumnId="1"/>
      <queryTableField id="2" name="permit_book" tableColumnId="2"/>
      <queryTableField id="3" name="lot_code" tableColumnId="3"/>
      <queryTableField id="4" name="delivery_date" tableColumnId="4"/>
      <queryTableField id="5" name="crop" tableColumnId="5"/>
      <queryTableField id="6" name="weight_tonnes" tableColumnId="6"/>
      <queryTableField id="7" name="moisture_pct" tableColumnId="7"/>
      <queryTableField id="8" name="elevator" tableColumnId="8"/>
      <queryTableField id="9" name="postal_code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0C8C716-DFA0-3E42-83FA-A8213A5AA044}" name="q04_tickets" displayName="q04_tickets" ref="A1:I21" tableType="queryTable" totalsRowShown="0">
  <autoFilter ref="A1:I21" xr:uid="{20C8C716-DFA0-3E42-83FA-A8213A5AA044}"/>
  <tableColumns count="9">
    <tableColumn id="1" xr3:uid="{2EC7271A-B6D7-3342-88F8-3C0A3BE5009B}" uniqueName="1" name="ticket_id" queryTableFieldId="1" dataDxfId="6"/>
    <tableColumn id="2" xr3:uid="{B5C2ED7A-9E87-1646-9D92-AD87DCC9E8D7}" uniqueName="2" name="permit_book" queryTableFieldId="2" dataDxfId="5"/>
    <tableColumn id="3" xr3:uid="{81646F27-2C78-6544-8700-35686D65758A}" uniqueName="3" name="lot_code" queryTableFieldId="3" dataDxfId="4"/>
    <tableColumn id="4" xr3:uid="{9130A3DA-309D-654E-BC99-71640B733EDA}" uniqueName="4" name="delivery_date" queryTableFieldId="4" dataDxfId="3"/>
    <tableColumn id="5" xr3:uid="{F7C11E5F-85F7-894F-869F-D8F41260281F}" uniqueName="5" name="crop" queryTableFieldId="5" dataDxfId="2"/>
    <tableColumn id="6" xr3:uid="{742E47C6-36D8-184B-9F3B-EF2B0083A789}" uniqueName="6" name="weight_tonnes" queryTableFieldId="6"/>
    <tableColumn id="7" xr3:uid="{FFA3C2A4-DA7B-3140-8F1D-E2FB24E4B505}" uniqueName="7" name="moisture_pct" queryTableFieldId="7"/>
    <tableColumn id="8" xr3:uid="{4A8CE724-A3D3-BD4D-8559-D0A55F89BA19}" uniqueName="8" name="elevator" queryTableFieldId="8" dataDxfId="1"/>
    <tableColumn id="9" xr3:uid="{0FF91DD6-D5AF-D846-BAB2-1934E3BBBF39}" uniqueName="9" name="postal_code" queryTableFieldId="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agdataanalytics.com/practice/data/module03/q10_tickets.cs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852E7-A155-1A4B-A059-C4456D5CB3F2}">
  <dimension ref="A1:I31"/>
  <sheetViews>
    <sheetView tabSelected="1" workbookViewId="0">
      <selection activeCell="A32" sqref="A32"/>
    </sheetView>
  </sheetViews>
  <sheetFormatPr baseColWidth="10" defaultRowHeight="14"/>
  <cols>
    <col min="1" max="1" width="11.1640625" bestFit="1" customWidth="1"/>
    <col min="2" max="2" width="17.33203125" bestFit="1" customWidth="1"/>
    <col min="3" max="3" width="11.33203125" bestFit="1" customWidth="1"/>
    <col min="4" max="4" width="15.33203125" bestFit="1" customWidth="1"/>
    <col min="5" max="5" width="11.6640625" bestFit="1" customWidth="1"/>
    <col min="6" max="6" width="16.83203125" bestFit="1" customWidth="1"/>
    <col min="7" max="7" width="15.33203125" bestFit="1" customWidth="1"/>
    <col min="8" max="8" width="10.6640625" bestFit="1" customWidth="1"/>
    <col min="9" max="9" width="14.5" bestFit="1" customWidth="1"/>
  </cols>
  <sheetData>
    <row r="1" spans="1:9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</row>
    <row r="2" spans="1:9">
      <c r="A2" s="17" t="s">
        <v>22</v>
      </c>
      <c r="B2" s="17" t="s">
        <v>23</v>
      </c>
      <c r="C2" s="17" t="s">
        <v>24</v>
      </c>
      <c r="D2" s="18">
        <v>45897</v>
      </c>
      <c r="E2" s="17" t="s">
        <v>25</v>
      </c>
      <c r="F2">
        <v>40.6</v>
      </c>
      <c r="G2">
        <v>12</v>
      </c>
      <c r="H2" s="17" t="s">
        <v>26</v>
      </c>
      <c r="I2" s="17" t="s">
        <v>27</v>
      </c>
    </row>
    <row r="3" spans="1:9">
      <c r="A3" s="17" t="s">
        <v>28</v>
      </c>
      <c r="B3" s="17" t="s">
        <v>29</v>
      </c>
      <c r="C3" s="17" t="s">
        <v>24</v>
      </c>
      <c r="D3" s="18">
        <v>45950</v>
      </c>
      <c r="E3" s="17" t="s">
        <v>30</v>
      </c>
      <c r="F3">
        <v>28.9</v>
      </c>
      <c r="G3">
        <v>15</v>
      </c>
      <c r="H3" s="17" t="s">
        <v>31</v>
      </c>
      <c r="I3" s="17" t="s">
        <v>27</v>
      </c>
    </row>
    <row r="4" spans="1:9">
      <c r="A4" s="17" t="s">
        <v>32</v>
      </c>
      <c r="B4" s="17" t="s">
        <v>33</v>
      </c>
      <c r="C4" s="17" t="s">
        <v>34</v>
      </c>
      <c r="D4" s="18">
        <v>45912</v>
      </c>
      <c r="E4" s="17" t="s">
        <v>35</v>
      </c>
      <c r="F4">
        <v>40.299999999999997</v>
      </c>
      <c r="G4">
        <v>8.3000000000000007</v>
      </c>
      <c r="H4" s="17" t="s">
        <v>31</v>
      </c>
      <c r="I4" s="17" t="s">
        <v>36</v>
      </c>
    </row>
    <row r="5" spans="1:9">
      <c r="A5" s="17" t="s">
        <v>37</v>
      </c>
      <c r="B5" s="17" t="s">
        <v>38</v>
      </c>
      <c r="C5" s="17" t="s">
        <v>39</v>
      </c>
      <c r="D5" s="18">
        <v>45940</v>
      </c>
      <c r="E5" s="17" t="s">
        <v>25</v>
      </c>
      <c r="F5">
        <v>24.4</v>
      </c>
      <c r="G5">
        <v>14.8</v>
      </c>
      <c r="H5" s="17" t="s">
        <v>40</v>
      </c>
      <c r="I5" s="17" t="s">
        <v>41</v>
      </c>
    </row>
    <row r="6" spans="1:9">
      <c r="A6" s="17" t="s">
        <v>42</v>
      </c>
      <c r="B6" s="17" t="s">
        <v>43</v>
      </c>
      <c r="C6" s="17" t="s">
        <v>44</v>
      </c>
      <c r="D6" s="18">
        <v>45942</v>
      </c>
      <c r="E6" s="17" t="s">
        <v>35</v>
      </c>
      <c r="F6">
        <v>26.9</v>
      </c>
      <c r="G6">
        <v>11.8</v>
      </c>
      <c r="H6" s="17" t="s">
        <v>26</v>
      </c>
      <c r="I6" s="17" t="s">
        <v>36</v>
      </c>
    </row>
    <row r="7" spans="1:9">
      <c r="A7" s="17" t="s">
        <v>45</v>
      </c>
      <c r="B7" s="17" t="s">
        <v>46</v>
      </c>
      <c r="C7" s="17" t="s">
        <v>47</v>
      </c>
      <c r="D7" s="18">
        <v>45916</v>
      </c>
      <c r="E7" s="17" t="s">
        <v>30</v>
      </c>
      <c r="F7">
        <v>26.7</v>
      </c>
      <c r="G7">
        <v>11.5</v>
      </c>
      <c r="H7" s="17" t="s">
        <v>26</v>
      </c>
      <c r="I7" s="17" t="s">
        <v>27</v>
      </c>
    </row>
    <row r="8" spans="1:9">
      <c r="A8" s="17" t="s">
        <v>48</v>
      </c>
      <c r="B8" s="17" t="s">
        <v>49</v>
      </c>
      <c r="C8" s="17" t="s">
        <v>50</v>
      </c>
      <c r="D8" s="18">
        <v>45955</v>
      </c>
      <c r="E8" s="17" t="s">
        <v>51</v>
      </c>
      <c r="F8">
        <v>35.5</v>
      </c>
      <c r="G8">
        <v>10.9</v>
      </c>
      <c r="H8" s="17" t="s">
        <v>52</v>
      </c>
      <c r="I8" s="17" t="s">
        <v>53</v>
      </c>
    </row>
    <row r="9" spans="1:9">
      <c r="A9" s="17" t="s">
        <v>54</v>
      </c>
      <c r="B9" s="17" t="s">
        <v>55</v>
      </c>
      <c r="C9" s="17" t="s">
        <v>24</v>
      </c>
      <c r="D9" s="18">
        <v>45919</v>
      </c>
      <c r="E9" s="17" t="s">
        <v>56</v>
      </c>
      <c r="F9">
        <v>32.4</v>
      </c>
      <c r="G9">
        <v>15.4</v>
      </c>
      <c r="H9" s="17" t="s">
        <v>57</v>
      </c>
      <c r="I9" s="17" t="s">
        <v>58</v>
      </c>
    </row>
    <row r="10" spans="1:9">
      <c r="A10" s="17" t="s">
        <v>59</v>
      </c>
      <c r="B10" s="17" t="s">
        <v>60</v>
      </c>
      <c r="C10" s="17" t="s">
        <v>61</v>
      </c>
      <c r="D10" s="18">
        <v>45988</v>
      </c>
      <c r="E10" s="17" t="s">
        <v>25</v>
      </c>
      <c r="F10">
        <v>18.5</v>
      </c>
      <c r="G10">
        <v>13.4</v>
      </c>
      <c r="H10" s="17" t="s">
        <v>26</v>
      </c>
      <c r="I10" s="17" t="s">
        <v>62</v>
      </c>
    </row>
    <row r="11" spans="1:9">
      <c r="A11" s="17" t="s">
        <v>63</v>
      </c>
      <c r="B11" s="17" t="s">
        <v>64</v>
      </c>
      <c r="C11" s="17" t="s">
        <v>65</v>
      </c>
      <c r="D11" s="18">
        <v>45903</v>
      </c>
      <c r="E11" s="17" t="s">
        <v>56</v>
      </c>
      <c r="F11">
        <v>40.1</v>
      </c>
      <c r="G11">
        <v>12.7</v>
      </c>
      <c r="H11" s="17" t="s">
        <v>52</v>
      </c>
      <c r="I11" s="17" t="s">
        <v>62</v>
      </c>
    </row>
    <row r="12" spans="1:9">
      <c r="A12" s="17" t="s">
        <v>66</v>
      </c>
      <c r="B12" s="17" t="s">
        <v>67</v>
      </c>
      <c r="C12" s="17" t="s">
        <v>68</v>
      </c>
      <c r="D12" s="18">
        <v>45951</v>
      </c>
      <c r="E12" s="17" t="s">
        <v>30</v>
      </c>
      <c r="F12">
        <v>25.6</v>
      </c>
      <c r="G12">
        <v>15.1</v>
      </c>
      <c r="H12" s="17" t="s">
        <v>31</v>
      </c>
      <c r="I12" s="17" t="s">
        <v>36</v>
      </c>
    </row>
    <row r="13" spans="1:9">
      <c r="A13" s="17" t="s">
        <v>69</v>
      </c>
      <c r="B13" s="17" t="s">
        <v>70</v>
      </c>
      <c r="C13" s="17" t="s">
        <v>71</v>
      </c>
      <c r="D13" s="18">
        <v>45940</v>
      </c>
      <c r="E13" s="17" t="s">
        <v>25</v>
      </c>
      <c r="F13">
        <v>36.9</v>
      </c>
      <c r="G13">
        <v>12.4</v>
      </c>
      <c r="H13" s="17" t="s">
        <v>26</v>
      </c>
      <c r="I13" s="17" t="s">
        <v>53</v>
      </c>
    </row>
    <row r="14" spans="1:9">
      <c r="A14" s="17" t="s">
        <v>72</v>
      </c>
      <c r="B14" s="17" t="s">
        <v>73</v>
      </c>
      <c r="C14" s="17" t="s">
        <v>74</v>
      </c>
      <c r="D14" s="18">
        <v>45907</v>
      </c>
      <c r="E14" s="17" t="s">
        <v>35</v>
      </c>
      <c r="F14">
        <v>34.700000000000003</v>
      </c>
      <c r="G14">
        <v>10.199999999999999</v>
      </c>
      <c r="H14" s="17" t="s">
        <v>31</v>
      </c>
      <c r="I14" s="17" t="s">
        <v>58</v>
      </c>
    </row>
    <row r="15" spans="1:9">
      <c r="A15" s="17" t="s">
        <v>75</v>
      </c>
      <c r="B15" s="17" t="s">
        <v>76</v>
      </c>
      <c r="C15" s="17" t="s">
        <v>77</v>
      </c>
      <c r="D15" s="18">
        <v>45874</v>
      </c>
      <c r="E15" s="17" t="s">
        <v>25</v>
      </c>
      <c r="F15">
        <v>25</v>
      </c>
      <c r="G15">
        <v>12.3</v>
      </c>
      <c r="H15" s="17" t="s">
        <v>52</v>
      </c>
      <c r="I15" s="17" t="s">
        <v>58</v>
      </c>
    </row>
    <row r="16" spans="1:9">
      <c r="A16" s="17" t="s">
        <v>78</v>
      </c>
      <c r="B16" s="17" t="s">
        <v>79</v>
      </c>
      <c r="C16" s="17" t="s">
        <v>80</v>
      </c>
      <c r="D16" s="18">
        <v>45973</v>
      </c>
      <c r="E16" s="17" t="s">
        <v>51</v>
      </c>
      <c r="F16">
        <v>19.3</v>
      </c>
      <c r="G16">
        <v>15.3</v>
      </c>
      <c r="H16" s="17" t="s">
        <v>52</v>
      </c>
      <c r="I16" s="17" t="s">
        <v>62</v>
      </c>
    </row>
    <row r="17" spans="1:9">
      <c r="A17" s="17" t="s">
        <v>81</v>
      </c>
      <c r="B17" s="17" t="s">
        <v>82</v>
      </c>
      <c r="C17" s="17" t="s">
        <v>83</v>
      </c>
      <c r="D17" s="18">
        <v>45886</v>
      </c>
      <c r="E17" s="17" t="s">
        <v>25</v>
      </c>
      <c r="F17">
        <v>25.6</v>
      </c>
      <c r="G17">
        <v>8.1</v>
      </c>
      <c r="H17" s="17" t="s">
        <v>57</v>
      </c>
      <c r="I17" s="17" t="s">
        <v>27</v>
      </c>
    </row>
    <row r="18" spans="1:9">
      <c r="A18" s="17" t="s">
        <v>84</v>
      </c>
      <c r="B18" s="17" t="s">
        <v>85</v>
      </c>
      <c r="C18" s="17" t="s">
        <v>86</v>
      </c>
      <c r="D18" s="18">
        <v>45909</v>
      </c>
      <c r="E18" s="17" t="s">
        <v>25</v>
      </c>
      <c r="F18">
        <v>20.3</v>
      </c>
      <c r="G18">
        <v>10.1</v>
      </c>
      <c r="H18" s="17" t="s">
        <v>52</v>
      </c>
      <c r="I18" s="17" t="s">
        <v>36</v>
      </c>
    </row>
    <row r="19" spans="1:9">
      <c r="A19" s="17" t="s">
        <v>87</v>
      </c>
      <c r="B19" s="17" t="s">
        <v>88</v>
      </c>
      <c r="C19" s="17" t="s">
        <v>89</v>
      </c>
      <c r="D19" s="18">
        <v>45989</v>
      </c>
      <c r="E19" s="17" t="s">
        <v>25</v>
      </c>
      <c r="F19">
        <v>40.6</v>
      </c>
      <c r="G19">
        <v>9.1999999999999993</v>
      </c>
      <c r="H19" s="17" t="s">
        <v>31</v>
      </c>
      <c r="I19" s="17" t="s">
        <v>41</v>
      </c>
    </row>
    <row r="20" spans="1:9">
      <c r="A20" s="17" t="s">
        <v>90</v>
      </c>
      <c r="B20" s="17" t="s">
        <v>91</v>
      </c>
      <c r="C20" s="17" t="s">
        <v>92</v>
      </c>
      <c r="D20" s="18">
        <v>45937</v>
      </c>
      <c r="E20" s="17" t="s">
        <v>56</v>
      </c>
      <c r="F20">
        <v>21</v>
      </c>
      <c r="G20">
        <v>9.8000000000000007</v>
      </c>
      <c r="H20" s="17" t="s">
        <v>31</v>
      </c>
      <c r="I20" s="17" t="s">
        <v>62</v>
      </c>
    </row>
    <row r="21" spans="1:9">
      <c r="A21" s="17" t="s">
        <v>93</v>
      </c>
      <c r="B21" s="17" t="s">
        <v>94</v>
      </c>
      <c r="C21" s="17" t="s">
        <v>95</v>
      </c>
      <c r="D21" s="18">
        <v>45914</v>
      </c>
      <c r="E21" s="17" t="s">
        <v>30</v>
      </c>
      <c r="F21">
        <v>40</v>
      </c>
      <c r="G21">
        <v>8.1</v>
      </c>
      <c r="H21" s="17" t="s">
        <v>52</v>
      </c>
      <c r="I21" s="17" t="s">
        <v>62</v>
      </c>
    </row>
    <row r="24" spans="1:9">
      <c r="A24" s="19" t="s">
        <v>96</v>
      </c>
      <c r="B24" s="19"/>
    </row>
    <row r="25" spans="1:9">
      <c r="A25" s="20" t="s">
        <v>98</v>
      </c>
      <c r="B25" s="25" t="s">
        <v>99</v>
      </c>
    </row>
    <row r="26" spans="1:9">
      <c r="A26" s="20" t="s">
        <v>100</v>
      </c>
      <c r="B26" s="19" t="s">
        <v>104</v>
      </c>
    </row>
    <row r="27" spans="1:9">
      <c r="A27" s="21" t="s">
        <v>101</v>
      </c>
      <c r="B27" s="19" t="s">
        <v>102</v>
      </c>
    </row>
    <row r="29" spans="1:9">
      <c r="A29" s="23" t="s">
        <v>97</v>
      </c>
      <c r="B29" s="22"/>
      <c r="C29" s="22"/>
      <c r="D29" s="22"/>
    </row>
    <row r="30" spans="1:9">
      <c r="A30" s="24" t="s">
        <v>103</v>
      </c>
      <c r="B30" s="24"/>
      <c r="C30" s="24"/>
      <c r="D30" s="24"/>
    </row>
    <row r="31" spans="1:9">
      <c r="A31" s="24"/>
      <c r="B31" s="24"/>
      <c r="C31" s="24"/>
      <c r="D31" s="24"/>
    </row>
  </sheetData>
  <mergeCells count="1">
    <mergeCell ref="A30:D31"/>
  </mergeCells>
  <hyperlinks>
    <hyperlink ref="B25" r:id="rId1" xr:uid="{3ECEA492-7B49-BF43-BC62-75D99FDE5E63}"/>
  </hyperlinks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4"/>
  <sheetViews>
    <sheetView showGridLines="0" workbookViewId="0"/>
  </sheetViews>
  <sheetFormatPr baseColWidth="10" defaultColWidth="8.83203125" defaultRowHeight="14"/>
  <cols>
    <col min="1" max="1" width="34" customWidth="1"/>
    <col min="2" max="2" width="74" customWidth="1"/>
  </cols>
  <sheetData>
    <row r="1" spans="1:2" ht="20">
      <c r="A1" s="2" t="s">
        <v>0</v>
      </c>
      <c r="B1" s="1"/>
    </row>
    <row r="2" spans="1:2">
      <c r="A2" s="3" t="s">
        <v>1</v>
      </c>
      <c r="B2" s="1"/>
    </row>
    <row r="3" spans="1:2">
      <c r="A3" s="4"/>
      <c r="B3" s="4"/>
    </row>
    <row r="4" spans="1:2">
      <c r="A4" s="5" t="s">
        <v>2</v>
      </c>
      <c r="B4" s="5"/>
    </row>
    <row r="5" spans="1:2">
      <c r="A5" s="6" t="s">
        <v>3</v>
      </c>
      <c r="B5" s="6" t="s">
        <v>4</v>
      </c>
    </row>
    <row r="6" spans="1:2">
      <c r="A6" s="7" t="s">
        <v>5</v>
      </c>
      <c r="B6" s="8">
        <f>ROWS(q04_tickets)</f>
        <v>20</v>
      </c>
    </row>
    <row r="7" spans="1:2">
      <c r="A7" s="9" t="s">
        <v>6</v>
      </c>
      <c r="B7" s="10">
        <f>AVERAGE(q04_tickets[weight_tonnes])</f>
        <v>30.165</v>
      </c>
    </row>
    <row r="8" spans="1:2">
      <c r="A8" s="1"/>
      <c r="B8" s="1"/>
    </row>
    <row r="9" spans="1:2">
      <c r="A9" s="1"/>
      <c r="B9" s="1"/>
    </row>
    <row r="10" spans="1:2">
      <c r="A10" s="1"/>
      <c r="B10" s="1"/>
    </row>
    <row r="11" spans="1:2">
      <c r="A11" s="1"/>
      <c r="B11" s="1"/>
    </row>
    <row r="12" spans="1:2">
      <c r="A12" s="1"/>
      <c r="B12" s="1"/>
    </row>
    <row r="13" spans="1:2">
      <c r="A13" s="5" t="s">
        <v>7</v>
      </c>
      <c r="B13" s="5"/>
    </row>
    <row r="14" spans="1:2" ht="30" customHeight="1">
      <c r="A14" s="11" t="s">
        <v>8</v>
      </c>
      <c r="B14" s="12"/>
    </row>
    <row r="15" spans="1:2" ht="30" customHeight="1">
      <c r="A15" s="13"/>
      <c r="B15" s="14"/>
    </row>
    <row r="16" spans="1:2">
      <c r="A16" s="1"/>
      <c r="B16" s="1"/>
    </row>
    <row r="17" spans="1:2">
      <c r="A17" s="5" t="s">
        <v>9</v>
      </c>
      <c r="B17" s="5"/>
    </row>
    <row r="18" spans="1:2">
      <c r="A18" s="15" t="s">
        <v>10</v>
      </c>
      <c r="B18" s="15"/>
    </row>
    <row r="19" spans="1:2">
      <c r="A19" s="1"/>
      <c r="B19" s="1"/>
    </row>
    <row r="20" spans="1:2">
      <c r="A20" s="5" t="s">
        <v>11</v>
      </c>
      <c r="B20" s="5"/>
    </row>
    <row r="21" spans="1:2" ht="24" customHeight="1">
      <c r="A21" s="16" t="s">
        <v>12</v>
      </c>
      <c r="B21" s="16"/>
    </row>
    <row r="22" spans="1:2" ht="24" customHeight="1">
      <c r="A22" s="16"/>
      <c r="B22" s="16"/>
    </row>
    <row r="23" spans="1:2" ht="24" customHeight="1">
      <c r="A23" s="16"/>
      <c r="B23" s="16"/>
    </row>
    <row r="24" spans="1:2">
      <c r="A24" s="1"/>
      <c r="B24" s="1"/>
    </row>
  </sheetData>
  <mergeCells count="3">
    <mergeCell ref="A14:B15"/>
    <mergeCell ref="A18:B18"/>
    <mergeCell ref="A21:B2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71E9101-FA89-394F-8F98-9BCB78D819A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q04_tickets</vt:lpstr>
      <vt:lpstr>Answer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Slade, Peter</cp:lastModifiedBy>
  <dcterms:modified xsi:type="dcterms:W3CDTF">2026-09-06T23:43:30Z</dcterms:modified>
</cp:coreProperties>
</file>