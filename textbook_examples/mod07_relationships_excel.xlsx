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showInkAnnotation="0" autoCompressPictures="0"/>
  <xr:revisionPtr revIDLastSave="1" documentId="11_C99CC3502E52056E4F547C54D01C4CD065D00D33" xr6:coauthVersionLast="47" xr6:coauthVersionMax="47" xr10:uidLastSave="{250408F3-87E1-48FE-B9EF-7D1FE6FE5C73}"/>
  <bookViews>
    <workbookView xWindow="0" yWindow="0" windowWidth="0" windowHeight="0" activeTab="4" xr2:uid="{00000000-000D-0000-FFFF-FFFF00000000}"/>
  </bookViews>
  <sheets>
    <sheet name="Data" sheetId="1" r:id="rId1"/>
    <sheet name="README" sheetId="2" r:id="rId2"/>
    <sheet name="Scatter plots" sheetId="3" r:id="rId3"/>
    <sheet name="Correlation" sheetId="4" r:id="rId4"/>
    <sheet name="Linear model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4" i="5" l="1"/>
  <c r="E124" i="5"/>
  <c r="F123" i="5"/>
  <c r="E123" i="5"/>
  <c r="F122" i="5"/>
  <c r="E122" i="5"/>
  <c r="F121" i="5"/>
  <c r="E121" i="5"/>
  <c r="F120" i="5"/>
  <c r="E120" i="5"/>
  <c r="F119" i="5"/>
  <c r="E119" i="5"/>
  <c r="F118" i="5"/>
  <c r="E118" i="5"/>
  <c r="F117" i="5"/>
  <c r="E117" i="5"/>
  <c r="F116" i="5"/>
  <c r="E116" i="5"/>
  <c r="F115" i="5"/>
  <c r="E115" i="5"/>
  <c r="F114" i="5"/>
  <c r="E114" i="5"/>
  <c r="F113" i="5"/>
  <c r="E113" i="5"/>
  <c r="F112" i="5"/>
  <c r="E112" i="5"/>
  <c r="F111" i="5"/>
  <c r="E111" i="5"/>
  <c r="F110" i="5"/>
  <c r="E110" i="5"/>
  <c r="F109" i="5"/>
  <c r="E109" i="5"/>
  <c r="F108" i="5"/>
  <c r="E108" i="5"/>
  <c r="F107" i="5"/>
  <c r="E107" i="5"/>
  <c r="F106" i="5"/>
  <c r="E106" i="5"/>
  <c r="F105" i="5"/>
  <c r="E105" i="5"/>
  <c r="F104" i="5"/>
  <c r="E104" i="5"/>
  <c r="F103" i="5"/>
  <c r="E103" i="5"/>
  <c r="F102" i="5"/>
  <c r="E102" i="5"/>
  <c r="F101" i="5"/>
  <c r="E101" i="5"/>
  <c r="F100" i="5"/>
  <c r="E100" i="5"/>
  <c r="F99" i="5"/>
  <c r="E99" i="5"/>
  <c r="F98" i="5"/>
  <c r="E98" i="5"/>
  <c r="F97" i="5"/>
  <c r="E97" i="5"/>
  <c r="F96" i="5"/>
  <c r="E96" i="5"/>
  <c r="F95" i="5"/>
  <c r="E95" i="5"/>
  <c r="F94" i="5"/>
  <c r="E94" i="5"/>
  <c r="F93" i="5"/>
  <c r="E93" i="5"/>
  <c r="F92" i="5"/>
  <c r="E92" i="5"/>
  <c r="F91" i="5"/>
  <c r="E91" i="5"/>
  <c r="F90" i="5"/>
  <c r="E90" i="5"/>
  <c r="F89" i="5"/>
  <c r="E89" i="5"/>
  <c r="F88" i="5"/>
  <c r="E88" i="5"/>
  <c r="F87" i="5"/>
  <c r="E87" i="5"/>
  <c r="F86" i="5"/>
  <c r="E86" i="5"/>
  <c r="F85" i="5"/>
  <c r="E85" i="5"/>
  <c r="F84" i="5"/>
  <c r="E84" i="5"/>
  <c r="F83" i="5"/>
  <c r="E83" i="5"/>
  <c r="F82" i="5"/>
  <c r="E82" i="5"/>
  <c r="F81" i="5"/>
  <c r="E81" i="5"/>
  <c r="F80" i="5"/>
  <c r="E80" i="5"/>
  <c r="F79" i="5"/>
  <c r="E79" i="5"/>
  <c r="F78" i="5"/>
  <c r="E78" i="5"/>
  <c r="F77" i="5"/>
  <c r="E77" i="5"/>
  <c r="F76" i="5"/>
  <c r="E76" i="5"/>
  <c r="F75" i="5"/>
  <c r="E75" i="5"/>
  <c r="F74" i="5"/>
  <c r="E74" i="5"/>
  <c r="F73" i="5"/>
  <c r="E73" i="5"/>
  <c r="F72" i="5"/>
  <c r="E72" i="5"/>
  <c r="F71" i="5"/>
  <c r="E71" i="5"/>
  <c r="F70" i="5"/>
  <c r="E70" i="5"/>
  <c r="F69" i="5"/>
  <c r="E69" i="5"/>
  <c r="F68" i="5"/>
  <c r="E68" i="5"/>
  <c r="F67" i="5"/>
  <c r="E67" i="5"/>
  <c r="F66" i="5"/>
  <c r="E66" i="5"/>
  <c r="F65" i="5"/>
  <c r="E65" i="5"/>
  <c r="F64" i="5"/>
  <c r="E64" i="5"/>
  <c r="F63" i="5"/>
  <c r="E63" i="5"/>
  <c r="F62" i="5"/>
  <c r="E62" i="5"/>
  <c r="F61" i="5"/>
  <c r="E61" i="5"/>
  <c r="F60" i="5"/>
  <c r="E60" i="5"/>
  <c r="F59" i="5"/>
  <c r="E59" i="5"/>
  <c r="F58" i="5"/>
  <c r="E58" i="5"/>
  <c r="F57" i="5"/>
  <c r="E57" i="5"/>
  <c r="F56" i="5"/>
  <c r="E56" i="5"/>
  <c r="F55" i="5"/>
  <c r="E55" i="5"/>
  <c r="F54" i="5"/>
  <c r="E54" i="5"/>
  <c r="F53" i="5"/>
  <c r="E53" i="5"/>
  <c r="F52" i="5"/>
  <c r="E52" i="5"/>
  <c r="F51" i="5"/>
  <c r="E51" i="5"/>
  <c r="F50" i="5"/>
  <c r="E50" i="5"/>
  <c r="F49" i="5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B9" i="5"/>
  <c r="F8" i="5"/>
  <c r="E8" i="5"/>
  <c r="B8" i="5"/>
  <c r="F7" i="5"/>
  <c r="E7" i="5"/>
  <c r="B7" i="5"/>
  <c r="F6" i="5"/>
  <c r="E6" i="5"/>
  <c r="B6" i="5"/>
  <c r="F5" i="5"/>
  <c r="E5" i="5"/>
  <c r="B5" i="5"/>
  <c r="B7" i="4"/>
  <c r="D7" i="4" s="1"/>
  <c r="B6" i="4"/>
  <c r="D6" i="4" s="1"/>
  <c r="B5" i="4"/>
  <c r="D5" i="4" s="1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14" i="5" l="1"/>
</calcChain>
</file>

<file path=xl/sharedStrings.xml><?xml version="1.0" encoding="utf-8"?>
<sst xmlns="http://schemas.openxmlformats.org/spreadsheetml/2006/main" count="308" uniqueCount="186">
  <si>
    <t>field_id</t>
  </si>
  <si>
    <t>fertilizer_kg_ha</t>
  </si>
  <si>
    <t>rainfall_mm</t>
  </si>
  <si>
    <t>variety</t>
  </si>
  <si>
    <t>yield_bu_acre</t>
  </si>
  <si>
    <t>C001</t>
  </si>
  <si>
    <t>InVigor</t>
  </si>
  <si>
    <t>C002</t>
  </si>
  <si>
    <t>DEKALB</t>
  </si>
  <si>
    <t>C003</t>
  </si>
  <si>
    <t>Clearfield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</si>
  <si>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</si>
  <si>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</si>
  <si>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</si>
  <si>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</si>
  <si>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</si>
  <si>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</si>
  <si>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</si>
  <si>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</si>
  <si>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</si>
  <si>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</si>
  <si>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</si>
  <si>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</si>
  <si>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</si>
  <si>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</si>
  <si>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</si>
  <si>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</si>
  <si>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</si>
  <si>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</si>
  <si>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</si>
  <si>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</si>
  <si>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</si>
  <si>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</si>
  <si>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</si>
  <si>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</si>
  <si>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</si>
  <si>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</si>
  <si>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</si>
  <si>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</si>
  <si>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</si>
  <si>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</si>
  <si>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</si>
  <si>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</si>
  <si>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</si>
  <si>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</si>
  <si>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</si>
  <si>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</si>
  <si>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</si>
  <si>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</si>
  <si>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</si>
  <si>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</si>
  <si>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</si>
  <si>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</si>
  <si>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</si>
  <si>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</si>
  <si>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</si>
  <si>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</si>
  <si>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</si>
  <si>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</si>
  <si>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</si>
  <si>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</si>
  <si>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</si>
  <si>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</si>
  <si>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</si>
  <si>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</si>
  <si>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</si>
  <si>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</si>
  <si>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</si>
  <si>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</si>
  <si>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</si>
  <si>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</si>
  <si>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</si>
  <si>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</si>
  <si>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</si>
  <si>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</si>
  <si>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</si>
  <si>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</si>
  <si>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</si>
  <si>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</si>
  <si>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</si>
  <si>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</si>
  <si>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</si>
  <si>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</si>
  <si>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</si>
  <si>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</si>
  <si>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</si>
  <si>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</si>
  <si>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</si>
  <si>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</si>
  <si>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</si>
  <si>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</si>
  <si>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</si>
  <si>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</si>
  <si>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</si>
  <si>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</si>
  <si>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</si>
  <si>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</si>
  <si>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</si>
  <si>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</si>
  <si>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</si>
  <si>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</si>
  <si>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</si>
  <si>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</si>
  <si>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</si>
  <si>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</si>
  <si>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</si>
  <si>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</si>
  <si>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</si>
  <si>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</si>
  <si>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</si>
  <si>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</si>
  <si>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</si>
  <si>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</si>
  <si>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</si>
  <si>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</si>
  <si>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</si>
  <si>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</si>
  <si>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</si>
  <si>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</si>
  <si>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</si>
  <si>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</si>
  <si>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</si>
  <si>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</si>
  <si>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</si>
  <si>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</si>
  <si>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</si>
  <si>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</si>
  <si>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</si>
  <si>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Relationships in the canola trial</t>
  </si>
  <si>
    <t>One workbook for scatter plots, correlation and a simple linear model</t>
  </si>
  <si>
    <t>How to use this workbook</t>
  </si>
  <si>
    <t>Start with Scatter plots. Then use Correlation to put a number on each linear relationship. The Linear model sheet estimates the fertilizer-yield line and predicts the average yield at a fertilizer rate you choose. The green input cell is the one intended for editing.</t>
  </si>
  <si>
    <t>Sheet</t>
  </si>
  <si>
    <t>Purpose</t>
  </si>
  <si>
    <t>Data</t>
  </si>
  <si>
    <t>120 canola fields used throughout Module 7</t>
  </si>
  <si>
    <t>Scatter plots</t>
  </si>
  <si>
    <t>Look at the point cloud before calculating</t>
  </si>
  <si>
    <t>Correlation</t>
  </si>
  <si>
    <t>Compare three Pearson correlations</t>
  </si>
  <si>
    <t>Linear model</t>
  </si>
  <si>
    <t>Estimate and use the fertilizer-yield line</t>
  </si>
  <si>
    <t>Source: practice/data/canola_trial.csv. Three rainfall values are missing; Excel's CORREL calculation uses the complete pairs available for each relationship.</t>
  </si>
  <si>
    <t>Look before calculating</t>
  </si>
  <si>
    <t>Yield against fertilizer rate for 120 canola fields</t>
  </si>
  <si>
    <t>Check</t>
  </si>
  <si>
    <t>What the plot shows</t>
  </si>
  <si>
    <t>Overall pattern</t>
  </si>
  <si>
    <t>Positive and roughly linear, with substantial field-to-field scatter</t>
  </si>
  <si>
    <t>Fertilizer (kg/ha)</t>
  </si>
  <si>
    <t>Yield (bu/ac)</t>
  </si>
  <si>
    <t>Read the point cloud before you summarize it. Check its direction, shape, spread, unusual points and possible groups.</t>
  </si>
  <si>
    <t>Pearson's r measures the direction and strength of a linear relationship</t>
  </si>
  <si>
    <t>Relationship</t>
  </si>
  <si>
    <t>Correlation (r)</t>
  </si>
  <si>
    <t>Excel formula</t>
  </si>
  <si>
    <t>Reading</t>
  </si>
  <si>
    <t>Fertilizer and yield</t>
  </si>
  <si>
    <t>=CORREL(Data!B2:B121,Data!E2:E121)</t>
  </si>
  <si>
    <t>Rainfall and yield</t>
  </si>
  <si>
    <t>=CORREL(Data!C2:C121,Data!E2:E121)</t>
  </si>
  <si>
    <t>Fertilizer and rainfall</t>
  </si>
  <si>
    <t>=CORREL(Data!B2:B121,Data!C2:C121)</t>
  </si>
  <si>
    <t>Correlation describes a linear pattern. It does not show causation, and it can miss a strong curved relationship. Plot first.</t>
  </si>
  <si>
    <t>The fertilizer-yield correlation is about 0.754. Its square is the R² for the simple linear model on the next sheet.</t>
  </si>
  <si>
    <t>A simple linear model</t>
  </si>
  <si>
    <t>Estimate yield from fertilizer rate, then check whether the prediction stays inside the observed range</t>
  </si>
  <si>
    <t>Quantity</t>
  </si>
  <si>
    <t>Value</t>
  </si>
  <si>
    <t>Slope (bu/ac per kg/ha)</t>
  </si>
  <si>
    <t>=SLOPE(Data!E2:E121,Data!B2:B121)</t>
  </si>
  <si>
    <t>Intercept (bu/ac)</t>
  </si>
  <si>
    <t>=INTERCEPT(Data!E2:E121,Data!B2:B121)</t>
  </si>
  <si>
    <t>R²</t>
  </si>
  <si>
    <t>=RSQ(Data!E2:E121,Data!B2:B121)</t>
  </si>
  <si>
    <t>Minimum fertilizer (kg/ha)</t>
  </si>
  <si>
    <t>=MIN(Data!B2:B121)</t>
  </si>
  <si>
    <t>Maximum fertilizer (kg/ha)</t>
  </si>
  <si>
    <t>=MAX(Data!B2:B121)</t>
  </si>
  <si>
    <t>Prediction</t>
  </si>
  <si>
    <t>How it is calculated</t>
  </si>
  <si>
    <t>Fertilizer rate (kg/ha)</t>
  </si>
  <si>
    <t>Edit the green cell</t>
  </si>
  <si>
    <t>Predicted average yield (bu/ac)</t>
  </si>
  <si>
    <t>=intercept + slope × fertilizer rate</t>
  </si>
  <si>
    <t>The slope is an association, not automatically a causal effect. Predictions outside the observed fertilizer range are extrapolations, even though Excel will still calculate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</si>
</sst>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>
    <font>
      <sz val="11"/>
      <name val="Carlito"/>
    </font>
    <font>
      <b/>
      <sz val="18"/>
      <color rgb="FFFFFFFF"/>
      <name val="Aptos"/>
    </font>
    <font>
      <sz val="11"/>
      <name val="Aptos"/>
    </font>
    <font>
      <i/>
      <sz val="11"/>
      <color rgb="FF24302A"/>
      <name val="Aptos"/>
    </font>
    <font>
      <b/>
      <sz val="11"/>
      <color rgb="FFFFFFFF"/>
      <name val="Aptos"/>
    </font>
    <font>
      <sz val="11"/>
      <color rgb="FF24302A"/>
      <name val="Aptos"/>
    </font>
    <font>
      <i/>
      <sz val="10"/>
      <color rgb="FF5C6B62"/>
      <name val="Aptos"/>
    </font>
    <font>
      <b/>
      <sz val="10"/>
      <color rgb="FFFFFFFF"/>
      <name val="Aptos"/>
    </font>
    <font>
      <b/>
      <sz val="11"/>
      <color rgb="FF24302A"/>
      <name val="Aptos"/>
    </font>
  </fonts>
  <fills count="6">
    <fill>
      <patternFill patternType="none"/>
    </fill>
    <fill>
      <patternFill patternType="gray125"/>
    </fill>
    <fill>
      <patternFill patternType="solid">
        <fgColor rgb="FF4A7C59"/>
      </patternFill>
    </fill>
    <fill>
      <patternFill patternType="solid">
        <fgColor rgb="FFDDE8DF"/>
      </patternFill>
    </fill>
    <fill>
      <patternFill patternType="solid">
        <fgColor rgb="FFB7973F"/>
      </patternFill>
    </fill>
    <fill>
      <patternFill patternType="solid">
        <fgColor rgb="FFF5F7F5"/>
      </patternFill>
    </fill>
  </fills>
  <borders count="6">
    <border>
      <left/>
      <right/>
      <top/>
      <bottom/>
      <diagonal/>
    </border>
    <border>
      <left style="thin">
        <color rgb="FFCBD5CE"/>
      </left>
      <right/>
      <top style="thin">
        <color rgb="FFCBD5CE"/>
      </top>
      <bottom style="thin">
        <color rgb="FFCBD5CE"/>
      </bottom>
      <diagonal/>
    </border>
    <border>
      <left/>
      <right/>
      <top style="thin">
        <color rgb="FFCBD5CE"/>
      </top>
      <bottom style="thin">
        <color rgb="FFCBD5CE"/>
      </bottom>
      <diagonal/>
    </border>
    <border>
      <left/>
      <right style="thin">
        <color rgb="FFCBD5CE"/>
      </right>
      <top style="thin">
        <color rgb="FFCBD5CE"/>
      </top>
      <bottom style="thin">
        <color rgb="FFCBD5CE"/>
      </bottom>
      <diagonal/>
    </border>
    <border>
      <left style="thin">
        <color rgb="FFCBD5CE"/>
      </left>
      <right style="thin">
        <color rgb="FFCBD5CE"/>
      </right>
      <top style="thin">
        <color rgb="FFCBD5CE"/>
      </top>
      <bottom style="thin">
        <color rgb="FFCBD5CE"/>
      </bottom>
      <diagonal/>
    </border>
    <border>
      <left style="medium">
        <color rgb="FF4A7C59"/>
      </left>
      <right style="medium">
        <color rgb="FF4A7C59"/>
      </right>
      <top style="medium">
        <color rgb="FF4A7C59"/>
      </top>
      <bottom style="medium">
        <color rgb="FF4A7C5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4" fillId="4" borderId="4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7" fillId="2" borderId="4" xfId="0" applyFont="1" applyFill="1" applyBorder="1" applyAlignment="1">
      <alignment wrapText="1"/>
    </xf>
    <xf numFmtId="0" fontId="2" fillId="0" borderId="4" xfId="0" applyFont="1" applyBorder="1"/>
    <xf numFmtId="164" fontId="2" fillId="0" borderId="4" xfId="0" applyNumberFormat="1" applyFont="1" applyBorder="1"/>
    <xf numFmtId="0" fontId="2" fillId="0" borderId="4" xfId="0" applyFont="1" applyBorder="1" applyAlignment="1">
      <alignment vertical="center" wrapText="1"/>
    </xf>
    <xf numFmtId="164" fontId="2" fillId="0" borderId="4" xfId="0" applyNumberFormat="1" applyFont="1" applyBorder="1" applyAlignment="1">
      <alignment vertical="center"/>
    </xf>
    <xf numFmtId="165" fontId="2" fillId="0" borderId="4" xfId="0" applyNumberFormat="1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5" fillId="0" borderId="0" xfId="0" applyFont="1" applyAlignment="1">
      <alignment vertical="top" wrapText="1"/>
    </xf>
    <xf numFmtId="0" fontId="6" fillId="5" borderId="0" xfId="0" applyFont="1" applyFill="1" applyAlignment="1">
      <alignment wrapText="1"/>
    </xf>
    <xf numFmtId="0" fontId="6" fillId="5" borderId="0" xfId="0" applyFont="1" applyFill="1" applyAlignment="1">
      <alignment vertical="center" wrapText="1"/>
    </xf>
    <xf numFmtId="0" fontId="3" fillId="5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2" fillId="0" borderId="0" xfId="0" applyFont="1" applyAlignment="1"/>
    <xf numFmtId="0" fontId="4" fillId="4" borderId="1" xfId="0" applyFont="1" applyFill="1" applyBorder="1" applyAlignment="1"/>
    <xf numFmtId="0" fontId="4" fillId="4" borderId="2" xfId="0" applyFont="1" applyFill="1" applyBorder="1" applyAlignment="1"/>
    <xf numFmtId="0" fontId="4" fillId="4" borderId="3" xfId="0" applyFont="1" applyFill="1" applyBorder="1" applyAlignment="1"/>
    <xf numFmtId="164" fontId="8" fillId="3" borderId="5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sz="900"/>
              <a:t>Yield rises with fertilizer rate, but the line is not the whole story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Yield (bu/ac)</c:v>
          </c:tx>
          <c:xVal>
            <c:numLit>
              <c:ptCount val="0"/>
            </c:numLit>
          </c:xVal>
          <c:yVal>
            <c:numRef>
              <c:f>'Scatter plots'!$B$8:$B$127</c:f>
              <c:numCache>
                <c:formatCode>0.0</c:formatCode>
                <c:ptCount val="120"/>
                <c:pt idx="0">
                  <c:v>56.7</c:v>
                </c:pt>
                <c:pt idx="1">
                  <c:v>62</c:v>
                </c:pt>
                <c:pt idx="2">
                  <c:v>53.6</c:v>
                </c:pt>
                <c:pt idx="3">
                  <c:v>51.2</c:v>
                </c:pt>
                <c:pt idx="4">
                  <c:v>49.2</c:v>
                </c:pt>
                <c:pt idx="5">
                  <c:v>51.2</c:v>
                </c:pt>
                <c:pt idx="6">
                  <c:v>49</c:v>
                </c:pt>
                <c:pt idx="7">
                  <c:v>56.8</c:v>
                </c:pt>
                <c:pt idx="8">
                  <c:v>61</c:v>
                </c:pt>
                <c:pt idx="9">
                  <c:v>48.2</c:v>
                </c:pt>
                <c:pt idx="10">
                  <c:v>59.5</c:v>
                </c:pt>
                <c:pt idx="11">
                  <c:v>55.9</c:v>
                </c:pt>
                <c:pt idx="12">
                  <c:v>55.2</c:v>
                </c:pt>
                <c:pt idx="13">
                  <c:v>51.7</c:v>
                </c:pt>
                <c:pt idx="14">
                  <c:v>62.1</c:v>
                </c:pt>
                <c:pt idx="15">
                  <c:v>42.5</c:v>
                </c:pt>
                <c:pt idx="16">
                  <c:v>44.9</c:v>
                </c:pt>
                <c:pt idx="17">
                  <c:v>61</c:v>
                </c:pt>
                <c:pt idx="18">
                  <c:v>40.6</c:v>
                </c:pt>
                <c:pt idx="19">
                  <c:v>58.9</c:v>
                </c:pt>
                <c:pt idx="20">
                  <c:v>56.8</c:v>
                </c:pt>
                <c:pt idx="21">
                  <c:v>54.5</c:v>
                </c:pt>
                <c:pt idx="22">
                  <c:v>51.1</c:v>
                </c:pt>
                <c:pt idx="23">
                  <c:v>52.1</c:v>
                </c:pt>
                <c:pt idx="24">
                  <c:v>54.8</c:v>
                </c:pt>
                <c:pt idx="25">
                  <c:v>47.3</c:v>
                </c:pt>
                <c:pt idx="26">
                  <c:v>48.2</c:v>
                </c:pt>
                <c:pt idx="27">
                  <c:v>52.3</c:v>
                </c:pt>
                <c:pt idx="28">
                  <c:v>51.6</c:v>
                </c:pt>
                <c:pt idx="29">
                  <c:v>49</c:v>
                </c:pt>
                <c:pt idx="30">
                  <c:v>56.5</c:v>
                </c:pt>
                <c:pt idx="31">
                  <c:v>56.6</c:v>
                </c:pt>
                <c:pt idx="32">
                  <c:v>62.5</c:v>
                </c:pt>
                <c:pt idx="33">
                  <c:v>47.9</c:v>
                </c:pt>
                <c:pt idx="34">
                  <c:v>49.3</c:v>
                </c:pt>
                <c:pt idx="35">
                  <c:v>51.8</c:v>
                </c:pt>
                <c:pt idx="36">
                  <c:v>50.3</c:v>
                </c:pt>
                <c:pt idx="37">
                  <c:v>52.1</c:v>
                </c:pt>
                <c:pt idx="38">
                  <c:v>50.2</c:v>
                </c:pt>
                <c:pt idx="39">
                  <c:v>50.3</c:v>
                </c:pt>
                <c:pt idx="40">
                  <c:v>51.8</c:v>
                </c:pt>
                <c:pt idx="41">
                  <c:v>58</c:v>
                </c:pt>
                <c:pt idx="42">
                  <c:v>51.9</c:v>
                </c:pt>
                <c:pt idx="43">
                  <c:v>55.3</c:v>
                </c:pt>
                <c:pt idx="44">
                  <c:v>62.8</c:v>
                </c:pt>
                <c:pt idx="45">
                  <c:v>45.3</c:v>
                </c:pt>
                <c:pt idx="46">
                  <c:v>39.700000000000003</c:v>
                </c:pt>
                <c:pt idx="47">
                  <c:v>55.6</c:v>
                </c:pt>
                <c:pt idx="48">
                  <c:v>44.9</c:v>
                </c:pt>
                <c:pt idx="49">
                  <c:v>53.4</c:v>
                </c:pt>
                <c:pt idx="50">
                  <c:v>57.2</c:v>
                </c:pt>
                <c:pt idx="51">
                  <c:v>59.5</c:v>
                </c:pt>
                <c:pt idx="52">
                  <c:v>51.8</c:v>
                </c:pt>
                <c:pt idx="53">
                  <c:v>50</c:v>
                </c:pt>
                <c:pt idx="54">
                  <c:v>52</c:v>
                </c:pt>
                <c:pt idx="55">
                  <c:v>49.3</c:v>
                </c:pt>
                <c:pt idx="56">
                  <c:v>51.6</c:v>
                </c:pt>
                <c:pt idx="57">
                  <c:v>51.5</c:v>
                </c:pt>
                <c:pt idx="58">
                  <c:v>58.4</c:v>
                </c:pt>
                <c:pt idx="59">
                  <c:v>56.5</c:v>
                </c:pt>
                <c:pt idx="60">
                  <c:v>51.6</c:v>
                </c:pt>
                <c:pt idx="61">
                  <c:v>58.1</c:v>
                </c:pt>
                <c:pt idx="62">
                  <c:v>53.3</c:v>
                </c:pt>
                <c:pt idx="63">
                  <c:v>62.9</c:v>
                </c:pt>
                <c:pt idx="64">
                  <c:v>47.2</c:v>
                </c:pt>
                <c:pt idx="65">
                  <c:v>45.6</c:v>
                </c:pt>
                <c:pt idx="66">
                  <c:v>59.2</c:v>
                </c:pt>
                <c:pt idx="67">
                  <c:v>56.3</c:v>
                </c:pt>
                <c:pt idx="68">
                  <c:v>51.5</c:v>
                </c:pt>
                <c:pt idx="69">
                  <c:v>63.2</c:v>
                </c:pt>
                <c:pt idx="70">
                  <c:v>51.3</c:v>
                </c:pt>
                <c:pt idx="71">
                  <c:v>54.3</c:v>
                </c:pt>
                <c:pt idx="72">
                  <c:v>50.9</c:v>
                </c:pt>
                <c:pt idx="73">
                  <c:v>50.2</c:v>
                </c:pt>
                <c:pt idx="74">
                  <c:v>48.4</c:v>
                </c:pt>
                <c:pt idx="75">
                  <c:v>59.2</c:v>
                </c:pt>
                <c:pt idx="76">
                  <c:v>52</c:v>
                </c:pt>
                <c:pt idx="77">
                  <c:v>59</c:v>
                </c:pt>
                <c:pt idx="78">
                  <c:v>63.2</c:v>
                </c:pt>
                <c:pt idx="79">
                  <c:v>54.2</c:v>
                </c:pt>
                <c:pt idx="80">
                  <c:v>59.3</c:v>
                </c:pt>
                <c:pt idx="81">
                  <c:v>53.1</c:v>
                </c:pt>
                <c:pt idx="82">
                  <c:v>49.6</c:v>
                </c:pt>
                <c:pt idx="83">
                  <c:v>53.3</c:v>
                </c:pt>
                <c:pt idx="84">
                  <c:v>58.4</c:v>
                </c:pt>
                <c:pt idx="85">
                  <c:v>57.4</c:v>
                </c:pt>
                <c:pt idx="86">
                  <c:v>52.8</c:v>
                </c:pt>
                <c:pt idx="87">
                  <c:v>46.6</c:v>
                </c:pt>
                <c:pt idx="88">
                  <c:v>42.4</c:v>
                </c:pt>
                <c:pt idx="89">
                  <c:v>51.3</c:v>
                </c:pt>
                <c:pt idx="90">
                  <c:v>56.6</c:v>
                </c:pt>
                <c:pt idx="91">
                  <c:v>42.2</c:v>
                </c:pt>
                <c:pt idx="92">
                  <c:v>60</c:v>
                </c:pt>
                <c:pt idx="93">
                  <c:v>54.6</c:v>
                </c:pt>
                <c:pt idx="94">
                  <c:v>49.3</c:v>
                </c:pt>
                <c:pt idx="95">
                  <c:v>66</c:v>
                </c:pt>
                <c:pt idx="96">
                  <c:v>46.8</c:v>
                </c:pt>
                <c:pt idx="97">
                  <c:v>63.6</c:v>
                </c:pt>
                <c:pt idx="98">
                  <c:v>48.4</c:v>
                </c:pt>
                <c:pt idx="99">
                  <c:v>57.9</c:v>
                </c:pt>
                <c:pt idx="100">
                  <c:v>56.4</c:v>
                </c:pt>
                <c:pt idx="101">
                  <c:v>54.9</c:v>
                </c:pt>
                <c:pt idx="102">
                  <c:v>58.9</c:v>
                </c:pt>
                <c:pt idx="103">
                  <c:v>39.299999999999997</c:v>
                </c:pt>
                <c:pt idx="104">
                  <c:v>49</c:v>
                </c:pt>
                <c:pt idx="105">
                  <c:v>53.3</c:v>
                </c:pt>
                <c:pt idx="106">
                  <c:v>57.7</c:v>
                </c:pt>
                <c:pt idx="107">
                  <c:v>45.6</c:v>
                </c:pt>
                <c:pt idx="108">
                  <c:v>49.3</c:v>
                </c:pt>
                <c:pt idx="109">
                  <c:v>58.4</c:v>
                </c:pt>
                <c:pt idx="110">
                  <c:v>57.8</c:v>
                </c:pt>
                <c:pt idx="111">
                  <c:v>70.400000000000006</c:v>
                </c:pt>
                <c:pt idx="112">
                  <c:v>50.3</c:v>
                </c:pt>
                <c:pt idx="113">
                  <c:v>52.3</c:v>
                </c:pt>
                <c:pt idx="114">
                  <c:v>46.8</c:v>
                </c:pt>
                <c:pt idx="115">
                  <c:v>51.6</c:v>
                </c:pt>
                <c:pt idx="116">
                  <c:v>45</c:v>
                </c:pt>
                <c:pt idx="117">
                  <c:v>56.7</c:v>
                </c:pt>
                <c:pt idx="118">
                  <c:v>60</c:v>
                </c:pt>
                <c:pt idx="119">
                  <c:v>60.1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4C-40A6-92C1-1DA048A44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Yield (bu/ac)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t>Fertilizer (kg/ha)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Fertilizer rate explains about 57% of the variation in yield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Yield (bu/ac)</c:v>
          </c:tx>
          <c:xVal>
            <c:numLit>
              <c:ptCount val="0"/>
            </c:numLit>
          </c:xVal>
          <c:yVal>
            <c:numRef>
              <c:f>'Linear model'!$F$5:$F$124</c:f>
              <c:numCache>
                <c:formatCode>0.0</c:formatCode>
                <c:ptCount val="120"/>
                <c:pt idx="0">
                  <c:v>56.7</c:v>
                </c:pt>
                <c:pt idx="1">
                  <c:v>62</c:v>
                </c:pt>
                <c:pt idx="2">
                  <c:v>53.6</c:v>
                </c:pt>
                <c:pt idx="3">
                  <c:v>51.2</c:v>
                </c:pt>
                <c:pt idx="4">
                  <c:v>49.2</c:v>
                </c:pt>
                <c:pt idx="5">
                  <c:v>51.2</c:v>
                </c:pt>
                <c:pt idx="6">
                  <c:v>49</c:v>
                </c:pt>
                <c:pt idx="7">
                  <c:v>56.8</c:v>
                </c:pt>
                <c:pt idx="8">
                  <c:v>61</c:v>
                </c:pt>
                <c:pt idx="9">
                  <c:v>48.2</c:v>
                </c:pt>
                <c:pt idx="10">
                  <c:v>59.5</c:v>
                </c:pt>
                <c:pt idx="11">
                  <c:v>55.9</c:v>
                </c:pt>
                <c:pt idx="12">
                  <c:v>55.2</c:v>
                </c:pt>
                <c:pt idx="13">
                  <c:v>51.7</c:v>
                </c:pt>
                <c:pt idx="14">
                  <c:v>62.1</c:v>
                </c:pt>
                <c:pt idx="15">
                  <c:v>42.5</c:v>
                </c:pt>
                <c:pt idx="16">
                  <c:v>44.9</c:v>
                </c:pt>
                <c:pt idx="17">
                  <c:v>61</c:v>
                </c:pt>
                <c:pt idx="18">
                  <c:v>40.6</c:v>
                </c:pt>
                <c:pt idx="19">
                  <c:v>58.9</c:v>
                </c:pt>
                <c:pt idx="20">
                  <c:v>56.8</c:v>
                </c:pt>
                <c:pt idx="21">
                  <c:v>54.5</c:v>
                </c:pt>
                <c:pt idx="22">
                  <c:v>51.1</c:v>
                </c:pt>
                <c:pt idx="23">
                  <c:v>52.1</c:v>
                </c:pt>
                <c:pt idx="24">
                  <c:v>54.8</c:v>
                </c:pt>
                <c:pt idx="25">
                  <c:v>47.3</c:v>
                </c:pt>
                <c:pt idx="26">
                  <c:v>48.2</c:v>
                </c:pt>
                <c:pt idx="27">
                  <c:v>52.3</c:v>
                </c:pt>
                <c:pt idx="28">
                  <c:v>51.6</c:v>
                </c:pt>
                <c:pt idx="29">
                  <c:v>49</c:v>
                </c:pt>
                <c:pt idx="30">
                  <c:v>56.5</c:v>
                </c:pt>
                <c:pt idx="31">
                  <c:v>56.6</c:v>
                </c:pt>
                <c:pt idx="32">
                  <c:v>62.5</c:v>
                </c:pt>
                <c:pt idx="33">
                  <c:v>47.9</c:v>
                </c:pt>
                <c:pt idx="34">
                  <c:v>49.3</c:v>
                </c:pt>
                <c:pt idx="35">
                  <c:v>51.8</c:v>
                </c:pt>
                <c:pt idx="36">
                  <c:v>50.3</c:v>
                </c:pt>
                <c:pt idx="37">
                  <c:v>52.1</c:v>
                </c:pt>
                <c:pt idx="38">
                  <c:v>50.2</c:v>
                </c:pt>
                <c:pt idx="39">
                  <c:v>50.3</c:v>
                </c:pt>
                <c:pt idx="40">
                  <c:v>51.8</c:v>
                </c:pt>
                <c:pt idx="41">
                  <c:v>58</c:v>
                </c:pt>
                <c:pt idx="42">
                  <c:v>51.9</c:v>
                </c:pt>
                <c:pt idx="43">
                  <c:v>55.3</c:v>
                </c:pt>
                <c:pt idx="44">
                  <c:v>62.8</c:v>
                </c:pt>
                <c:pt idx="45">
                  <c:v>45.3</c:v>
                </c:pt>
                <c:pt idx="46">
                  <c:v>39.700000000000003</c:v>
                </c:pt>
                <c:pt idx="47">
                  <c:v>55.6</c:v>
                </c:pt>
                <c:pt idx="48">
                  <c:v>44.9</c:v>
                </c:pt>
                <c:pt idx="49">
                  <c:v>53.4</c:v>
                </c:pt>
                <c:pt idx="50">
                  <c:v>57.2</c:v>
                </c:pt>
                <c:pt idx="51">
                  <c:v>59.5</c:v>
                </c:pt>
                <c:pt idx="52">
                  <c:v>51.8</c:v>
                </c:pt>
                <c:pt idx="53">
                  <c:v>50</c:v>
                </c:pt>
                <c:pt idx="54">
                  <c:v>52</c:v>
                </c:pt>
                <c:pt idx="55">
                  <c:v>49.3</c:v>
                </c:pt>
                <c:pt idx="56">
                  <c:v>51.6</c:v>
                </c:pt>
                <c:pt idx="57">
                  <c:v>51.5</c:v>
                </c:pt>
                <c:pt idx="58">
                  <c:v>58.4</c:v>
                </c:pt>
                <c:pt idx="59">
                  <c:v>56.5</c:v>
                </c:pt>
                <c:pt idx="60">
                  <c:v>51.6</c:v>
                </c:pt>
                <c:pt idx="61">
                  <c:v>58.1</c:v>
                </c:pt>
                <c:pt idx="62">
                  <c:v>53.3</c:v>
                </c:pt>
                <c:pt idx="63">
                  <c:v>62.9</c:v>
                </c:pt>
                <c:pt idx="64">
                  <c:v>47.2</c:v>
                </c:pt>
                <c:pt idx="65">
                  <c:v>45.6</c:v>
                </c:pt>
                <c:pt idx="66">
                  <c:v>59.2</c:v>
                </c:pt>
                <c:pt idx="67">
                  <c:v>56.3</c:v>
                </c:pt>
                <c:pt idx="68">
                  <c:v>51.5</c:v>
                </c:pt>
                <c:pt idx="69">
                  <c:v>63.2</c:v>
                </c:pt>
                <c:pt idx="70">
                  <c:v>51.3</c:v>
                </c:pt>
                <c:pt idx="71">
                  <c:v>54.3</c:v>
                </c:pt>
                <c:pt idx="72">
                  <c:v>50.9</c:v>
                </c:pt>
                <c:pt idx="73">
                  <c:v>50.2</c:v>
                </c:pt>
                <c:pt idx="74">
                  <c:v>48.4</c:v>
                </c:pt>
                <c:pt idx="75">
                  <c:v>59.2</c:v>
                </c:pt>
                <c:pt idx="76">
                  <c:v>52</c:v>
                </c:pt>
                <c:pt idx="77">
                  <c:v>59</c:v>
                </c:pt>
                <c:pt idx="78">
                  <c:v>63.2</c:v>
                </c:pt>
                <c:pt idx="79">
                  <c:v>54.2</c:v>
                </c:pt>
                <c:pt idx="80">
                  <c:v>59.3</c:v>
                </c:pt>
                <c:pt idx="81">
                  <c:v>53.1</c:v>
                </c:pt>
                <c:pt idx="82">
                  <c:v>49.6</c:v>
                </c:pt>
                <c:pt idx="83">
                  <c:v>53.3</c:v>
                </c:pt>
                <c:pt idx="84">
                  <c:v>58.4</c:v>
                </c:pt>
                <c:pt idx="85">
                  <c:v>57.4</c:v>
                </c:pt>
                <c:pt idx="86">
                  <c:v>52.8</c:v>
                </c:pt>
                <c:pt idx="87">
                  <c:v>46.6</c:v>
                </c:pt>
                <c:pt idx="88">
                  <c:v>42.4</c:v>
                </c:pt>
                <c:pt idx="89">
                  <c:v>51.3</c:v>
                </c:pt>
                <c:pt idx="90">
                  <c:v>56.6</c:v>
                </c:pt>
                <c:pt idx="91">
                  <c:v>42.2</c:v>
                </c:pt>
                <c:pt idx="92">
                  <c:v>60</c:v>
                </c:pt>
                <c:pt idx="93">
                  <c:v>54.6</c:v>
                </c:pt>
                <c:pt idx="94">
                  <c:v>49.3</c:v>
                </c:pt>
                <c:pt idx="95">
                  <c:v>66</c:v>
                </c:pt>
                <c:pt idx="96">
                  <c:v>46.8</c:v>
                </c:pt>
                <c:pt idx="97">
                  <c:v>63.6</c:v>
                </c:pt>
                <c:pt idx="98">
                  <c:v>48.4</c:v>
                </c:pt>
                <c:pt idx="99">
                  <c:v>57.9</c:v>
                </c:pt>
                <c:pt idx="100">
                  <c:v>56.4</c:v>
                </c:pt>
                <c:pt idx="101">
                  <c:v>54.9</c:v>
                </c:pt>
                <c:pt idx="102">
                  <c:v>58.9</c:v>
                </c:pt>
                <c:pt idx="103">
                  <c:v>39.299999999999997</c:v>
                </c:pt>
                <c:pt idx="104">
                  <c:v>49</c:v>
                </c:pt>
                <c:pt idx="105">
                  <c:v>53.3</c:v>
                </c:pt>
                <c:pt idx="106">
                  <c:v>57.7</c:v>
                </c:pt>
                <c:pt idx="107">
                  <c:v>45.6</c:v>
                </c:pt>
                <c:pt idx="108">
                  <c:v>49.3</c:v>
                </c:pt>
                <c:pt idx="109">
                  <c:v>58.4</c:v>
                </c:pt>
                <c:pt idx="110">
                  <c:v>57.8</c:v>
                </c:pt>
                <c:pt idx="111">
                  <c:v>70.400000000000006</c:v>
                </c:pt>
                <c:pt idx="112">
                  <c:v>50.3</c:v>
                </c:pt>
                <c:pt idx="113">
                  <c:v>52.3</c:v>
                </c:pt>
                <c:pt idx="114">
                  <c:v>46.8</c:v>
                </c:pt>
                <c:pt idx="115">
                  <c:v>51.6</c:v>
                </c:pt>
                <c:pt idx="116">
                  <c:v>45</c:v>
                </c:pt>
                <c:pt idx="117">
                  <c:v>56.7</c:v>
                </c:pt>
                <c:pt idx="118">
                  <c:v>60</c:v>
                </c:pt>
                <c:pt idx="119">
                  <c:v>60.1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CE-4D31-AEE2-4CED99478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Yield (bu/ac)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Fertilizer (kg/ha)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nolaTrialTable" displayName="CanolaTrialTable" ref="A1:E121" totalsRowShown="0">
  <tableColumns count="5">
    <tableColumn id="1" xr3:uid="{00000000-0010-0000-0000-000001000000}" name="field_id"/>
    <tableColumn id="2" xr3:uid="{00000000-0010-0000-0000-000002000000}" name="fertilizer_kg_ha"/>
    <tableColumn id="3" xr3:uid="{00000000-0010-0000-0000-000003000000}" name="rainfall_mm"/>
    <tableColumn id="4" xr3:uid="{00000000-0010-0000-0000-000004000000}" name="variety"/>
    <tableColumn id="5" xr3:uid="{00000000-0010-0000-0000-000005000000}" name="yield_bu_acr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showGridLines="0" workbookViewId="0"/>
  </sheetViews>
  <sheetFormatPr defaultRowHeight="15"/>
  <cols>
    <col min="1" max="1" width="12" customWidth="1"/>
    <col min="2" max="2" width="20" customWidth="1"/>
    <col min="3" max="3" width="16" customWidth="1"/>
    <col min="4" max="4" width="15" customWidth="1"/>
    <col min="5" max="5" width="19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5" t="s">
        <v>5</v>
      </c>
      <c r="B2" s="6">
        <v>146.19999999999999</v>
      </c>
      <c r="C2" s="6">
        <v>198.7</v>
      </c>
      <c r="D2" s="5" t="s">
        <v>6</v>
      </c>
      <c r="E2" s="6">
        <v>56.7</v>
      </c>
    </row>
    <row r="3" spans="1:5">
      <c r="A3" s="5" t="s">
        <v>7</v>
      </c>
      <c r="B3" s="6">
        <v>136.5</v>
      </c>
      <c r="C3" s="6">
        <v>282.3</v>
      </c>
      <c r="D3" s="5" t="s">
        <v>8</v>
      </c>
      <c r="E3" s="6">
        <v>62</v>
      </c>
    </row>
    <row r="4" spans="1:5">
      <c r="A4" s="5" t="s">
        <v>9</v>
      </c>
      <c r="B4" s="6">
        <v>113.1</v>
      </c>
      <c r="C4" s="6">
        <v>273.60000000000002</v>
      </c>
      <c r="D4" s="5" t="s">
        <v>10</v>
      </c>
      <c r="E4" s="6">
        <v>53.6</v>
      </c>
    </row>
    <row r="5" spans="1:5">
      <c r="A5" s="5" t="s">
        <v>11</v>
      </c>
      <c r="B5" s="6">
        <v>111.8</v>
      </c>
      <c r="C5" s="6">
        <v>173</v>
      </c>
      <c r="D5" s="5" t="s">
        <v>6</v>
      </c>
      <c r="E5" s="6">
        <v>51.2</v>
      </c>
    </row>
    <row r="6" spans="1:5">
      <c r="A6" s="5" t="s">
        <v>12</v>
      </c>
      <c r="B6" s="6">
        <v>102.6</v>
      </c>
      <c r="C6" s="6">
        <v>215.5</v>
      </c>
      <c r="D6" s="5" t="s">
        <v>6</v>
      </c>
      <c r="E6" s="6">
        <v>49.2</v>
      </c>
    </row>
    <row r="7" spans="1:5">
      <c r="A7" s="5" t="s">
        <v>13</v>
      </c>
      <c r="B7" s="6">
        <v>140.5</v>
      </c>
      <c r="C7" s="6">
        <v>151.1</v>
      </c>
      <c r="D7" s="5" t="s">
        <v>6</v>
      </c>
      <c r="E7" s="6">
        <v>51.2</v>
      </c>
    </row>
    <row r="8" spans="1:5">
      <c r="A8" s="5" t="s">
        <v>14</v>
      </c>
      <c r="B8" s="6">
        <v>102</v>
      </c>
      <c r="C8" s="6">
        <v>217</v>
      </c>
      <c r="D8" s="5" t="s">
        <v>10</v>
      </c>
      <c r="E8" s="6">
        <v>49</v>
      </c>
    </row>
    <row r="9" spans="1:5">
      <c r="A9" s="5" t="s">
        <v>15</v>
      </c>
      <c r="B9" s="6">
        <v>136.80000000000001</v>
      </c>
      <c r="C9" s="6">
        <v>275.2</v>
      </c>
      <c r="D9" s="5" t="s">
        <v>6</v>
      </c>
      <c r="E9" s="6">
        <v>56.8</v>
      </c>
    </row>
    <row r="10" spans="1:5">
      <c r="A10" s="5" t="s">
        <v>16</v>
      </c>
      <c r="B10" s="6">
        <v>141.6</v>
      </c>
      <c r="C10" s="6">
        <v>258.5</v>
      </c>
      <c r="D10" s="5" t="s">
        <v>6</v>
      </c>
      <c r="E10" s="6">
        <v>61</v>
      </c>
    </row>
    <row r="11" spans="1:5">
      <c r="A11" s="5" t="s">
        <v>17</v>
      </c>
      <c r="B11" s="6">
        <v>97.9</v>
      </c>
      <c r="C11" s="6">
        <v>210.2</v>
      </c>
      <c r="D11" s="5" t="s">
        <v>10</v>
      </c>
      <c r="E11" s="6">
        <v>48.2</v>
      </c>
    </row>
    <row r="12" spans="1:5">
      <c r="A12" s="5" t="s">
        <v>18</v>
      </c>
      <c r="B12" s="6">
        <v>154.6</v>
      </c>
      <c r="C12" s="6">
        <v>288.5</v>
      </c>
      <c r="D12" s="5" t="s">
        <v>6</v>
      </c>
      <c r="E12" s="6">
        <v>59.5</v>
      </c>
    </row>
    <row r="13" spans="1:5">
      <c r="A13" s="5" t="s">
        <v>19</v>
      </c>
      <c r="B13" s="6">
        <v>139.80000000000001</v>
      </c>
      <c r="C13" s="6"/>
      <c r="D13" s="5" t="s">
        <v>8</v>
      </c>
      <c r="E13" s="6">
        <v>55.9</v>
      </c>
    </row>
    <row r="14" spans="1:5">
      <c r="A14" s="5" t="s">
        <v>20</v>
      </c>
      <c r="B14" s="6">
        <v>111.6</v>
      </c>
      <c r="C14" s="6">
        <v>264.60000000000002</v>
      </c>
      <c r="D14" s="5" t="s">
        <v>6</v>
      </c>
      <c r="E14" s="6">
        <v>55.2</v>
      </c>
    </row>
    <row r="15" spans="1:5">
      <c r="A15" s="5" t="s">
        <v>21</v>
      </c>
      <c r="B15" s="6">
        <v>120.3</v>
      </c>
      <c r="C15" s="6">
        <v>186.7</v>
      </c>
      <c r="D15" s="5" t="s">
        <v>6</v>
      </c>
      <c r="E15" s="6">
        <v>51.7</v>
      </c>
    </row>
    <row r="16" spans="1:5">
      <c r="A16" s="5" t="s">
        <v>22</v>
      </c>
      <c r="B16" s="6">
        <v>147</v>
      </c>
      <c r="C16" s="6">
        <v>261.60000000000002</v>
      </c>
      <c r="D16" s="5" t="s">
        <v>8</v>
      </c>
      <c r="E16" s="6">
        <v>62.1</v>
      </c>
    </row>
    <row r="17" spans="1:5">
      <c r="A17" s="5" t="s">
        <v>23</v>
      </c>
      <c r="B17" s="6">
        <v>104.6</v>
      </c>
      <c r="C17" s="6">
        <v>155.80000000000001</v>
      </c>
      <c r="D17" s="5" t="s">
        <v>6</v>
      </c>
      <c r="E17" s="6">
        <v>42.5</v>
      </c>
    </row>
    <row r="18" spans="1:5">
      <c r="A18" s="5" t="s">
        <v>24</v>
      </c>
      <c r="B18" s="6">
        <v>108.6</v>
      </c>
      <c r="C18" s="6">
        <v>242.9</v>
      </c>
      <c r="D18" s="5" t="s">
        <v>8</v>
      </c>
      <c r="E18" s="6">
        <v>44.9</v>
      </c>
    </row>
    <row r="19" spans="1:5">
      <c r="A19" s="5" t="s">
        <v>25</v>
      </c>
      <c r="B19" s="6">
        <v>144.19999999999999</v>
      </c>
      <c r="C19" s="6">
        <v>232</v>
      </c>
      <c r="D19" s="5" t="s">
        <v>8</v>
      </c>
      <c r="E19" s="6">
        <v>61</v>
      </c>
    </row>
    <row r="20" spans="1:5">
      <c r="A20" s="5" t="s">
        <v>26</v>
      </c>
      <c r="B20" s="6">
        <v>60.5</v>
      </c>
      <c r="C20" s="6">
        <v>155.69999999999999</v>
      </c>
      <c r="D20" s="5" t="s">
        <v>8</v>
      </c>
      <c r="E20" s="6">
        <v>40.6</v>
      </c>
    </row>
    <row r="21" spans="1:5">
      <c r="A21" s="5" t="s">
        <v>27</v>
      </c>
      <c r="B21" s="6">
        <v>138.4</v>
      </c>
      <c r="C21" s="6">
        <v>274.10000000000002</v>
      </c>
      <c r="D21" s="5" t="s">
        <v>10</v>
      </c>
      <c r="E21" s="6">
        <v>58.9</v>
      </c>
    </row>
    <row r="22" spans="1:5">
      <c r="A22" s="5" t="s">
        <v>28</v>
      </c>
      <c r="B22" s="6">
        <v>158.30000000000001</v>
      </c>
      <c r="C22" s="6">
        <v>243.3</v>
      </c>
      <c r="D22" s="5" t="s">
        <v>8</v>
      </c>
      <c r="E22" s="6">
        <v>56.8</v>
      </c>
    </row>
    <row r="23" spans="1:5">
      <c r="A23" s="5" t="s">
        <v>29</v>
      </c>
      <c r="B23" s="6">
        <v>144.5</v>
      </c>
      <c r="C23" s="6">
        <v>232.2</v>
      </c>
      <c r="D23" s="5" t="s">
        <v>10</v>
      </c>
      <c r="E23" s="6">
        <v>54.5</v>
      </c>
    </row>
    <row r="24" spans="1:5">
      <c r="A24" s="5" t="s">
        <v>30</v>
      </c>
      <c r="B24" s="6">
        <v>113.2</v>
      </c>
      <c r="C24" s="6">
        <v>265.8</v>
      </c>
      <c r="D24" s="5" t="s">
        <v>10</v>
      </c>
      <c r="E24" s="6">
        <v>51.1</v>
      </c>
    </row>
    <row r="25" spans="1:5">
      <c r="A25" s="5" t="s">
        <v>31</v>
      </c>
      <c r="B25" s="6">
        <v>116</v>
      </c>
      <c r="C25" s="6">
        <v>241.8</v>
      </c>
      <c r="D25" s="5" t="s">
        <v>6</v>
      </c>
      <c r="E25" s="6">
        <v>52.1</v>
      </c>
    </row>
    <row r="26" spans="1:5">
      <c r="A26" s="5" t="s">
        <v>32</v>
      </c>
      <c r="B26" s="6">
        <v>137.9</v>
      </c>
      <c r="C26" s="6">
        <v>256.3</v>
      </c>
      <c r="D26" s="5" t="s">
        <v>6</v>
      </c>
      <c r="E26" s="6">
        <v>54.8</v>
      </c>
    </row>
    <row r="27" spans="1:5">
      <c r="A27" s="5" t="s">
        <v>33</v>
      </c>
      <c r="B27" s="6">
        <v>90.7</v>
      </c>
      <c r="C27" s="6">
        <v>174.4</v>
      </c>
      <c r="D27" s="5" t="s">
        <v>6</v>
      </c>
      <c r="E27" s="6">
        <v>47.3</v>
      </c>
    </row>
    <row r="28" spans="1:5">
      <c r="A28" s="5" t="s">
        <v>34</v>
      </c>
      <c r="B28" s="6">
        <v>125.5</v>
      </c>
      <c r="C28" s="6">
        <v>248.9</v>
      </c>
      <c r="D28" s="5" t="s">
        <v>10</v>
      </c>
      <c r="E28" s="6">
        <v>48.2</v>
      </c>
    </row>
    <row r="29" spans="1:5">
      <c r="A29" s="5" t="s">
        <v>35</v>
      </c>
      <c r="B29" s="6">
        <v>112.1</v>
      </c>
      <c r="C29" s="6">
        <v>225.4</v>
      </c>
      <c r="D29" s="5" t="s">
        <v>8</v>
      </c>
      <c r="E29" s="6">
        <v>52.3</v>
      </c>
    </row>
    <row r="30" spans="1:5">
      <c r="A30" s="5" t="s">
        <v>36</v>
      </c>
      <c r="B30" s="6">
        <v>105</v>
      </c>
      <c r="C30" s="6">
        <v>215.2</v>
      </c>
      <c r="D30" s="5" t="s">
        <v>10</v>
      </c>
      <c r="E30" s="6">
        <v>51.6</v>
      </c>
    </row>
    <row r="31" spans="1:5">
      <c r="A31" s="5" t="s">
        <v>37</v>
      </c>
      <c r="B31" s="6">
        <v>132.19999999999999</v>
      </c>
      <c r="C31" s="6">
        <v>225.3</v>
      </c>
      <c r="D31" s="5" t="s">
        <v>10</v>
      </c>
      <c r="E31" s="6">
        <v>49</v>
      </c>
    </row>
    <row r="32" spans="1:5">
      <c r="A32" s="5" t="s">
        <v>38</v>
      </c>
      <c r="B32" s="6">
        <v>140.1</v>
      </c>
      <c r="C32" s="6">
        <v>238.3</v>
      </c>
      <c r="D32" s="5" t="s">
        <v>8</v>
      </c>
      <c r="E32" s="6">
        <v>56.5</v>
      </c>
    </row>
    <row r="33" spans="1:5">
      <c r="A33" s="5" t="s">
        <v>39</v>
      </c>
      <c r="B33" s="6">
        <v>134.69999999999999</v>
      </c>
      <c r="C33" s="6">
        <v>260.3</v>
      </c>
      <c r="D33" s="5" t="s">
        <v>8</v>
      </c>
      <c r="E33" s="6">
        <v>56.6</v>
      </c>
    </row>
    <row r="34" spans="1:5">
      <c r="A34" s="5" t="s">
        <v>40</v>
      </c>
      <c r="B34" s="6">
        <v>171.1</v>
      </c>
      <c r="C34" s="6">
        <v>258.5</v>
      </c>
      <c r="D34" s="5" t="s">
        <v>6</v>
      </c>
      <c r="E34" s="6">
        <v>62.5</v>
      </c>
    </row>
    <row r="35" spans="1:5">
      <c r="A35" s="5" t="s">
        <v>41</v>
      </c>
      <c r="B35" s="6">
        <v>108.1</v>
      </c>
      <c r="C35" s="6">
        <v>236.5</v>
      </c>
      <c r="D35" s="5" t="s">
        <v>8</v>
      </c>
      <c r="E35" s="6">
        <v>47.9</v>
      </c>
    </row>
    <row r="36" spans="1:5">
      <c r="A36" s="5" t="s">
        <v>42</v>
      </c>
      <c r="B36" s="6">
        <v>137.1</v>
      </c>
      <c r="C36" s="6">
        <v>214.5</v>
      </c>
      <c r="D36" s="5" t="s">
        <v>6</v>
      </c>
      <c r="E36" s="6">
        <v>49.3</v>
      </c>
    </row>
    <row r="37" spans="1:5">
      <c r="A37" s="5" t="s">
        <v>43</v>
      </c>
      <c r="B37" s="6">
        <v>135.6</v>
      </c>
      <c r="C37" s="6">
        <v>184.9</v>
      </c>
      <c r="D37" s="5" t="s">
        <v>6</v>
      </c>
      <c r="E37" s="6">
        <v>51.8</v>
      </c>
    </row>
    <row r="38" spans="1:5">
      <c r="A38" s="5" t="s">
        <v>44</v>
      </c>
      <c r="B38" s="6">
        <v>94</v>
      </c>
      <c r="C38" s="6">
        <v>261.8</v>
      </c>
      <c r="D38" s="5" t="s">
        <v>6</v>
      </c>
      <c r="E38" s="6">
        <v>50.3</v>
      </c>
    </row>
    <row r="39" spans="1:5">
      <c r="A39" s="5" t="s">
        <v>45</v>
      </c>
      <c r="B39" s="6">
        <v>130</v>
      </c>
      <c r="C39" s="6">
        <v>244.1</v>
      </c>
      <c r="D39" s="5" t="s">
        <v>10</v>
      </c>
      <c r="E39" s="6">
        <v>52.1</v>
      </c>
    </row>
    <row r="40" spans="1:5">
      <c r="A40" s="5" t="s">
        <v>46</v>
      </c>
      <c r="B40" s="6">
        <v>161.5</v>
      </c>
      <c r="C40" s="6">
        <v>208.6</v>
      </c>
      <c r="D40" s="5" t="s">
        <v>10</v>
      </c>
      <c r="E40" s="6">
        <v>50.2</v>
      </c>
    </row>
    <row r="41" spans="1:5">
      <c r="A41" s="5" t="s">
        <v>47</v>
      </c>
      <c r="B41" s="6">
        <v>88.2</v>
      </c>
      <c r="C41" s="6">
        <v>185.8</v>
      </c>
      <c r="D41" s="5" t="s">
        <v>10</v>
      </c>
      <c r="E41" s="6">
        <v>50.3</v>
      </c>
    </row>
    <row r="42" spans="1:5">
      <c r="A42" s="5" t="s">
        <v>48</v>
      </c>
      <c r="B42" s="6">
        <v>132.80000000000001</v>
      </c>
      <c r="C42" s="6">
        <v>188</v>
      </c>
      <c r="D42" s="5" t="s">
        <v>10</v>
      </c>
      <c r="E42" s="6">
        <v>51.8</v>
      </c>
    </row>
    <row r="43" spans="1:5">
      <c r="A43" s="5" t="s">
        <v>49</v>
      </c>
      <c r="B43" s="6">
        <v>129.9</v>
      </c>
      <c r="C43" s="6">
        <v>282.8</v>
      </c>
      <c r="D43" s="5" t="s">
        <v>10</v>
      </c>
      <c r="E43" s="6">
        <v>58</v>
      </c>
    </row>
    <row r="44" spans="1:5">
      <c r="A44" s="5" t="s">
        <v>50</v>
      </c>
      <c r="B44" s="6">
        <v>115.3</v>
      </c>
      <c r="C44" s="6">
        <v>216.6</v>
      </c>
      <c r="D44" s="5" t="s">
        <v>6</v>
      </c>
      <c r="E44" s="6">
        <v>51.9</v>
      </c>
    </row>
    <row r="45" spans="1:5">
      <c r="A45" s="5" t="s">
        <v>51</v>
      </c>
      <c r="B45" s="6">
        <v>128.30000000000001</v>
      </c>
      <c r="C45" s="6">
        <v>265.60000000000002</v>
      </c>
      <c r="D45" s="5" t="s">
        <v>6</v>
      </c>
      <c r="E45" s="6">
        <v>55.3</v>
      </c>
    </row>
    <row r="46" spans="1:5">
      <c r="A46" s="5" t="s">
        <v>52</v>
      </c>
      <c r="B46" s="6">
        <v>141.80000000000001</v>
      </c>
      <c r="C46" s="6">
        <v>264.5</v>
      </c>
      <c r="D46" s="5" t="s">
        <v>6</v>
      </c>
      <c r="E46" s="6">
        <v>62.8</v>
      </c>
    </row>
    <row r="47" spans="1:5">
      <c r="A47" s="5" t="s">
        <v>53</v>
      </c>
      <c r="B47" s="6">
        <v>109.1</v>
      </c>
      <c r="C47" s="6">
        <v>231.5</v>
      </c>
      <c r="D47" s="5" t="s">
        <v>8</v>
      </c>
      <c r="E47" s="6">
        <v>45.3</v>
      </c>
    </row>
    <row r="48" spans="1:5">
      <c r="A48" s="5" t="s">
        <v>54</v>
      </c>
      <c r="B48" s="6">
        <v>63.4</v>
      </c>
      <c r="C48" s="6"/>
      <c r="D48" s="5" t="s">
        <v>10</v>
      </c>
      <c r="E48" s="6">
        <v>39.700000000000003</v>
      </c>
    </row>
    <row r="49" spans="1:5">
      <c r="A49" s="5" t="s">
        <v>55</v>
      </c>
      <c r="B49" s="6">
        <v>125.9</v>
      </c>
      <c r="C49" s="6">
        <v>255.5</v>
      </c>
      <c r="D49" s="5" t="s">
        <v>6</v>
      </c>
      <c r="E49" s="6">
        <v>55.6</v>
      </c>
    </row>
    <row r="50" spans="1:5">
      <c r="A50" s="5" t="s">
        <v>56</v>
      </c>
      <c r="B50" s="6">
        <v>104.1</v>
      </c>
      <c r="C50" s="6">
        <v>173.3</v>
      </c>
      <c r="D50" s="5" t="s">
        <v>8</v>
      </c>
      <c r="E50" s="6">
        <v>44.9</v>
      </c>
    </row>
    <row r="51" spans="1:5">
      <c r="A51" s="5" t="s">
        <v>57</v>
      </c>
      <c r="B51" s="6">
        <v>139.30000000000001</v>
      </c>
      <c r="C51" s="6">
        <v>208.9</v>
      </c>
      <c r="D51" s="5" t="s">
        <v>6</v>
      </c>
      <c r="E51" s="6">
        <v>53.4</v>
      </c>
    </row>
    <row r="52" spans="1:5">
      <c r="A52" s="5" t="s">
        <v>58</v>
      </c>
      <c r="B52" s="6">
        <v>139.1</v>
      </c>
      <c r="C52" s="6">
        <v>224.9</v>
      </c>
      <c r="D52" s="5" t="s">
        <v>8</v>
      </c>
      <c r="E52" s="6">
        <v>57.2</v>
      </c>
    </row>
    <row r="53" spans="1:5">
      <c r="A53" s="5" t="s">
        <v>59</v>
      </c>
      <c r="B53" s="6">
        <v>145.19999999999999</v>
      </c>
      <c r="C53" s="6">
        <v>234.9</v>
      </c>
      <c r="D53" s="5" t="s">
        <v>6</v>
      </c>
      <c r="E53" s="6">
        <v>59.5</v>
      </c>
    </row>
    <row r="54" spans="1:5">
      <c r="A54" s="5" t="s">
        <v>60</v>
      </c>
      <c r="B54" s="6">
        <v>133.80000000000001</v>
      </c>
      <c r="C54" s="6">
        <v>180.9</v>
      </c>
      <c r="D54" s="5" t="s">
        <v>8</v>
      </c>
      <c r="E54" s="6">
        <v>51.8</v>
      </c>
    </row>
    <row r="55" spans="1:5">
      <c r="A55" s="5" t="s">
        <v>61</v>
      </c>
      <c r="B55" s="6">
        <v>109.5</v>
      </c>
      <c r="C55" s="6">
        <v>209.3</v>
      </c>
      <c r="D55" s="5" t="s">
        <v>8</v>
      </c>
      <c r="E55" s="6">
        <v>50</v>
      </c>
    </row>
    <row r="56" spans="1:5">
      <c r="A56" s="5" t="s">
        <v>62</v>
      </c>
      <c r="B56" s="6">
        <v>105.2</v>
      </c>
      <c r="C56" s="6">
        <v>220</v>
      </c>
      <c r="D56" s="5" t="s">
        <v>10</v>
      </c>
      <c r="E56" s="6">
        <v>52</v>
      </c>
    </row>
    <row r="57" spans="1:5">
      <c r="A57" s="5" t="s">
        <v>63</v>
      </c>
      <c r="B57" s="6">
        <v>123</v>
      </c>
      <c r="C57" s="6">
        <v>216.5</v>
      </c>
      <c r="D57" s="5" t="s">
        <v>10</v>
      </c>
      <c r="E57" s="6">
        <v>49.3</v>
      </c>
    </row>
    <row r="58" spans="1:5">
      <c r="A58" s="5" t="s">
        <v>64</v>
      </c>
      <c r="B58" s="6">
        <v>116.3</v>
      </c>
      <c r="C58" s="6">
        <v>172.4</v>
      </c>
      <c r="D58" s="5" t="s">
        <v>10</v>
      </c>
      <c r="E58" s="6">
        <v>51.6</v>
      </c>
    </row>
    <row r="59" spans="1:5">
      <c r="A59" s="5" t="s">
        <v>65</v>
      </c>
      <c r="B59" s="6">
        <v>143.4</v>
      </c>
      <c r="C59" s="6">
        <v>211.4</v>
      </c>
      <c r="D59" s="5" t="s">
        <v>10</v>
      </c>
      <c r="E59" s="6">
        <v>51.5</v>
      </c>
    </row>
    <row r="60" spans="1:5">
      <c r="A60" s="5" t="s">
        <v>66</v>
      </c>
      <c r="B60" s="6">
        <v>142.4</v>
      </c>
      <c r="C60" s="6">
        <v>231.1</v>
      </c>
      <c r="D60" s="5" t="s">
        <v>6</v>
      </c>
      <c r="E60" s="6">
        <v>58.4</v>
      </c>
    </row>
    <row r="61" spans="1:5">
      <c r="A61" s="5" t="s">
        <v>67</v>
      </c>
      <c r="B61" s="6">
        <v>119.5</v>
      </c>
      <c r="C61" s="6">
        <v>227.3</v>
      </c>
      <c r="D61" s="5" t="s">
        <v>6</v>
      </c>
      <c r="E61" s="6">
        <v>56.5</v>
      </c>
    </row>
    <row r="62" spans="1:5">
      <c r="A62" s="5" t="s">
        <v>68</v>
      </c>
      <c r="B62" s="6">
        <v>128.1</v>
      </c>
      <c r="C62" s="6">
        <v>235.7</v>
      </c>
      <c r="D62" s="5" t="s">
        <v>6</v>
      </c>
      <c r="E62" s="6">
        <v>51.6</v>
      </c>
    </row>
    <row r="63" spans="1:5">
      <c r="A63" s="5" t="s">
        <v>69</v>
      </c>
      <c r="B63" s="6">
        <v>124.3</v>
      </c>
      <c r="C63" s="6">
        <v>265</v>
      </c>
      <c r="D63" s="5" t="s">
        <v>6</v>
      </c>
      <c r="E63" s="6">
        <v>58.1</v>
      </c>
    </row>
    <row r="64" spans="1:5">
      <c r="A64" s="5" t="s">
        <v>70</v>
      </c>
      <c r="B64" s="6">
        <v>141.1</v>
      </c>
      <c r="C64" s="6">
        <v>198.8</v>
      </c>
      <c r="D64" s="5" t="s">
        <v>6</v>
      </c>
      <c r="E64" s="6">
        <v>53.3</v>
      </c>
    </row>
    <row r="65" spans="1:5">
      <c r="A65" s="5" t="s">
        <v>71</v>
      </c>
      <c r="B65" s="6">
        <v>186</v>
      </c>
      <c r="C65" s="6">
        <v>240.9</v>
      </c>
      <c r="D65" s="5" t="s">
        <v>10</v>
      </c>
      <c r="E65" s="6">
        <v>62.9</v>
      </c>
    </row>
    <row r="66" spans="1:5">
      <c r="A66" s="5" t="s">
        <v>72</v>
      </c>
      <c r="B66" s="6">
        <v>94.3</v>
      </c>
      <c r="C66" s="6">
        <v>223.5</v>
      </c>
      <c r="D66" s="5" t="s">
        <v>8</v>
      </c>
      <c r="E66" s="6">
        <v>47.2</v>
      </c>
    </row>
    <row r="67" spans="1:5">
      <c r="A67" s="5" t="s">
        <v>73</v>
      </c>
      <c r="B67" s="6">
        <v>102.9</v>
      </c>
      <c r="C67" s="6">
        <v>168.6</v>
      </c>
      <c r="D67" s="5" t="s">
        <v>8</v>
      </c>
      <c r="E67" s="6">
        <v>45.6</v>
      </c>
    </row>
    <row r="68" spans="1:5">
      <c r="A68" s="5" t="s">
        <v>74</v>
      </c>
      <c r="B68" s="6">
        <v>186.9</v>
      </c>
      <c r="C68" s="6">
        <v>258.60000000000002</v>
      </c>
      <c r="D68" s="5" t="s">
        <v>10</v>
      </c>
      <c r="E68" s="6">
        <v>59.2</v>
      </c>
    </row>
    <row r="69" spans="1:5">
      <c r="A69" s="5" t="s">
        <v>75</v>
      </c>
      <c r="B69" s="6">
        <v>120.3</v>
      </c>
      <c r="C69" s="6">
        <v>271.39999999999998</v>
      </c>
      <c r="D69" s="5" t="s">
        <v>10</v>
      </c>
      <c r="E69" s="6">
        <v>56.3</v>
      </c>
    </row>
    <row r="70" spans="1:5">
      <c r="A70" s="5" t="s">
        <v>76</v>
      </c>
      <c r="B70" s="6">
        <v>128.80000000000001</v>
      </c>
      <c r="C70" s="6">
        <v>203.4</v>
      </c>
      <c r="D70" s="5" t="s">
        <v>8</v>
      </c>
      <c r="E70" s="6">
        <v>51.5</v>
      </c>
    </row>
    <row r="71" spans="1:5">
      <c r="A71" s="5" t="s">
        <v>77</v>
      </c>
      <c r="B71" s="6">
        <v>158.19999999999999</v>
      </c>
      <c r="C71" s="6">
        <v>320.8</v>
      </c>
      <c r="D71" s="5" t="s">
        <v>10</v>
      </c>
      <c r="E71" s="6">
        <v>63.2</v>
      </c>
    </row>
    <row r="72" spans="1:5">
      <c r="A72" s="5" t="s">
        <v>78</v>
      </c>
      <c r="B72" s="6">
        <v>114.6</v>
      </c>
      <c r="C72" s="6">
        <v>285.2</v>
      </c>
      <c r="D72" s="5" t="s">
        <v>8</v>
      </c>
      <c r="E72" s="6">
        <v>51.3</v>
      </c>
    </row>
    <row r="73" spans="1:5">
      <c r="A73" s="5" t="s">
        <v>79</v>
      </c>
      <c r="B73" s="6">
        <v>141</v>
      </c>
      <c r="C73" s="6">
        <v>236.8</v>
      </c>
      <c r="D73" s="5" t="s">
        <v>10</v>
      </c>
      <c r="E73" s="6">
        <v>54.3</v>
      </c>
    </row>
    <row r="74" spans="1:5">
      <c r="A74" s="5" t="s">
        <v>80</v>
      </c>
      <c r="B74" s="6">
        <v>110.8</v>
      </c>
      <c r="C74" s="6">
        <v>255.2</v>
      </c>
      <c r="D74" s="5" t="s">
        <v>10</v>
      </c>
      <c r="E74" s="6">
        <v>50.9</v>
      </c>
    </row>
    <row r="75" spans="1:5">
      <c r="A75" s="5" t="s">
        <v>81</v>
      </c>
      <c r="B75" s="6">
        <v>120.9</v>
      </c>
      <c r="C75" s="6">
        <v>282.10000000000002</v>
      </c>
      <c r="D75" s="5" t="s">
        <v>8</v>
      </c>
      <c r="E75" s="6">
        <v>50.2</v>
      </c>
    </row>
    <row r="76" spans="1:5">
      <c r="A76" s="5" t="s">
        <v>82</v>
      </c>
      <c r="B76" s="6">
        <v>97.6</v>
      </c>
      <c r="C76" s="6">
        <v>190.3</v>
      </c>
      <c r="D76" s="5" t="s">
        <v>8</v>
      </c>
      <c r="E76" s="6">
        <v>48.4</v>
      </c>
    </row>
    <row r="77" spans="1:5">
      <c r="A77" s="5" t="s">
        <v>83</v>
      </c>
      <c r="B77" s="6">
        <v>153.1</v>
      </c>
      <c r="C77" s="6">
        <v>211.6</v>
      </c>
      <c r="D77" s="5" t="s">
        <v>6</v>
      </c>
      <c r="E77" s="6">
        <v>59.2</v>
      </c>
    </row>
    <row r="78" spans="1:5">
      <c r="A78" s="5" t="s">
        <v>84</v>
      </c>
      <c r="B78" s="6">
        <v>126.5</v>
      </c>
      <c r="C78" s="6">
        <v>164.4</v>
      </c>
      <c r="D78" s="5" t="s">
        <v>6</v>
      </c>
      <c r="E78" s="6">
        <v>52</v>
      </c>
    </row>
    <row r="79" spans="1:5">
      <c r="A79" s="5" t="s">
        <v>85</v>
      </c>
      <c r="B79" s="6">
        <v>160.19999999999999</v>
      </c>
      <c r="C79" s="6">
        <v>216.1</v>
      </c>
      <c r="D79" s="5" t="s">
        <v>8</v>
      </c>
      <c r="E79" s="6">
        <v>59</v>
      </c>
    </row>
    <row r="80" spans="1:5">
      <c r="A80" s="5" t="s">
        <v>86</v>
      </c>
      <c r="B80" s="6">
        <v>179.1</v>
      </c>
      <c r="C80" s="6">
        <v>257.2</v>
      </c>
      <c r="D80" s="5" t="s">
        <v>10</v>
      </c>
      <c r="E80" s="6">
        <v>63.2</v>
      </c>
    </row>
    <row r="81" spans="1:5">
      <c r="A81" s="5" t="s">
        <v>87</v>
      </c>
      <c r="B81" s="6">
        <v>116.7</v>
      </c>
      <c r="C81" s="6">
        <v>183.4</v>
      </c>
      <c r="D81" s="5" t="s">
        <v>10</v>
      </c>
      <c r="E81" s="6">
        <v>54.2</v>
      </c>
    </row>
    <row r="82" spans="1:5">
      <c r="A82" s="5" t="s">
        <v>88</v>
      </c>
      <c r="B82" s="6">
        <v>132.19999999999999</v>
      </c>
      <c r="C82" s="6">
        <v>252.8</v>
      </c>
      <c r="D82" s="5" t="s">
        <v>10</v>
      </c>
      <c r="E82" s="6">
        <v>59.3</v>
      </c>
    </row>
    <row r="83" spans="1:5">
      <c r="A83" s="5" t="s">
        <v>89</v>
      </c>
      <c r="B83" s="6">
        <v>111</v>
      </c>
      <c r="C83" s="6">
        <v>240</v>
      </c>
      <c r="D83" s="5" t="s">
        <v>8</v>
      </c>
      <c r="E83" s="6">
        <v>53.1</v>
      </c>
    </row>
    <row r="84" spans="1:5">
      <c r="A84" s="5" t="s">
        <v>90</v>
      </c>
      <c r="B84" s="6">
        <v>116.3</v>
      </c>
      <c r="C84" s="6">
        <v>243.9</v>
      </c>
      <c r="D84" s="5" t="s">
        <v>8</v>
      </c>
      <c r="E84" s="6">
        <v>49.6</v>
      </c>
    </row>
    <row r="85" spans="1:5">
      <c r="A85" s="5" t="s">
        <v>91</v>
      </c>
      <c r="B85" s="6">
        <v>120.8</v>
      </c>
      <c r="C85" s="6">
        <v>237.4</v>
      </c>
      <c r="D85" s="5" t="s">
        <v>6</v>
      </c>
      <c r="E85" s="6">
        <v>53.3</v>
      </c>
    </row>
    <row r="86" spans="1:5">
      <c r="A86" s="5" t="s">
        <v>92</v>
      </c>
      <c r="B86" s="6">
        <v>126.1</v>
      </c>
      <c r="C86" s="6">
        <v>243.2</v>
      </c>
      <c r="D86" s="5" t="s">
        <v>8</v>
      </c>
      <c r="E86" s="6">
        <v>58.4</v>
      </c>
    </row>
    <row r="87" spans="1:5">
      <c r="A87" s="5" t="s">
        <v>93</v>
      </c>
      <c r="B87" s="6">
        <v>141.80000000000001</v>
      </c>
      <c r="C87" s="6">
        <v>248.4</v>
      </c>
      <c r="D87" s="5" t="s">
        <v>8</v>
      </c>
      <c r="E87" s="6">
        <v>57.4</v>
      </c>
    </row>
    <row r="88" spans="1:5">
      <c r="A88" s="5" t="s">
        <v>94</v>
      </c>
      <c r="B88" s="6">
        <v>137.9</v>
      </c>
      <c r="C88" s="6">
        <v>242.5</v>
      </c>
      <c r="D88" s="5" t="s">
        <v>6</v>
      </c>
      <c r="E88" s="6">
        <v>52.8</v>
      </c>
    </row>
    <row r="89" spans="1:5">
      <c r="A89" s="5" t="s">
        <v>95</v>
      </c>
      <c r="B89" s="6">
        <v>105.8</v>
      </c>
      <c r="C89" s="6"/>
      <c r="D89" s="5" t="s">
        <v>6</v>
      </c>
      <c r="E89" s="6">
        <v>46.6</v>
      </c>
    </row>
    <row r="90" spans="1:5">
      <c r="A90" s="5" t="s">
        <v>96</v>
      </c>
      <c r="B90" s="6">
        <v>114.4</v>
      </c>
      <c r="C90" s="6">
        <v>187.5</v>
      </c>
      <c r="D90" s="5" t="s">
        <v>8</v>
      </c>
      <c r="E90" s="6">
        <v>42.4</v>
      </c>
    </row>
    <row r="91" spans="1:5">
      <c r="A91" s="5" t="s">
        <v>97</v>
      </c>
      <c r="B91" s="6">
        <v>115.2</v>
      </c>
      <c r="C91" s="6">
        <v>218</v>
      </c>
      <c r="D91" s="5" t="s">
        <v>10</v>
      </c>
      <c r="E91" s="6">
        <v>51.3</v>
      </c>
    </row>
    <row r="92" spans="1:5">
      <c r="A92" s="5" t="s">
        <v>98</v>
      </c>
      <c r="B92" s="6">
        <v>111.6</v>
      </c>
      <c r="C92" s="6">
        <v>241.9</v>
      </c>
      <c r="D92" s="5" t="s">
        <v>10</v>
      </c>
      <c r="E92" s="6">
        <v>56.6</v>
      </c>
    </row>
    <row r="93" spans="1:5">
      <c r="A93" s="5" t="s">
        <v>99</v>
      </c>
      <c r="B93" s="6">
        <v>98</v>
      </c>
      <c r="C93" s="6">
        <v>148</v>
      </c>
      <c r="D93" s="5" t="s">
        <v>10</v>
      </c>
      <c r="E93" s="6">
        <v>42.2</v>
      </c>
    </row>
    <row r="94" spans="1:5">
      <c r="A94" s="5" t="s">
        <v>100</v>
      </c>
      <c r="B94" s="6">
        <v>149.19999999999999</v>
      </c>
      <c r="C94" s="6">
        <v>281.39999999999998</v>
      </c>
      <c r="D94" s="5" t="s">
        <v>10</v>
      </c>
      <c r="E94" s="6">
        <v>60</v>
      </c>
    </row>
    <row r="95" spans="1:5">
      <c r="A95" s="5" t="s">
        <v>101</v>
      </c>
      <c r="B95" s="6">
        <v>107.4</v>
      </c>
      <c r="C95" s="6">
        <v>264.89999999999998</v>
      </c>
      <c r="D95" s="5" t="s">
        <v>8</v>
      </c>
      <c r="E95" s="6">
        <v>54.6</v>
      </c>
    </row>
    <row r="96" spans="1:5">
      <c r="A96" s="5" t="s">
        <v>102</v>
      </c>
      <c r="B96" s="6">
        <v>116.9</v>
      </c>
      <c r="C96" s="6">
        <v>128.9</v>
      </c>
      <c r="D96" s="5" t="s">
        <v>8</v>
      </c>
      <c r="E96" s="6">
        <v>49.3</v>
      </c>
    </row>
    <row r="97" spans="1:5">
      <c r="A97" s="5" t="s">
        <v>103</v>
      </c>
      <c r="B97" s="6">
        <v>146.6</v>
      </c>
      <c r="C97" s="6">
        <v>311</v>
      </c>
      <c r="D97" s="5" t="s">
        <v>8</v>
      </c>
      <c r="E97" s="6">
        <v>66</v>
      </c>
    </row>
    <row r="98" spans="1:5">
      <c r="A98" s="5" t="s">
        <v>104</v>
      </c>
      <c r="B98" s="6">
        <v>121.6</v>
      </c>
      <c r="C98" s="6">
        <v>255.9</v>
      </c>
      <c r="D98" s="5" t="s">
        <v>8</v>
      </c>
      <c r="E98" s="6">
        <v>46.8</v>
      </c>
    </row>
    <row r="99" spans="1:5">
      <c r="A99" s="5" t="s">
        <v>105</v>
      </c>
      <c r="B99" s="6">
        <v>163.4</v>
      </c>
      <c r="C99" s="6">
        <v>297.3</v>
      </c>
      <c r="D99" s="5" t="s">
        <v>10</v>
      </c>
      <c r="E99" s="6">
        <v>63.6</v>
      </c>
    </row>
    <row r="100" spans="1:5">
      <c r="A100" s="5" t="s">
        <v>106</v>
      </c>
      <c r="B100" s="6">
        <v>106.2</v>
      </c>
      <c r="C100" s="6">
        <v>150.9</v>
      </c>
      <c r="D100" s="5" t="s">
        <v>8</v>
      </c>
      <c r="E100" s="6">
        <v>48.4</v>
      </c>
    </row>
    <row r="101" spans="1:5">
      <c r="A101" s="5" t="s">
        <v>107</v>
      </c>
      <c r="B101" s="6">
        <v>142.69999999999999</v>
      </c>
      <c r="C101" s="6">
        <v>271.5</v>
      </c>
      <c r="D101" s="5" t="s">
        <v>6</v>
      </c>
      <c r="E101" s="6">
        <v>57.9</v>
      </c>
    </row>
    <row r="102" spans="1:5">
      <c r="A102" s="5" t="s">
        <v>108</v>
      </c>
      <c r="B102" s="6">
        <v>131</v>
      </c>
      <c r="C102" s="6">
        <v>237.2</v>
      </c>
      <c r="D102" s="5" t="s">
        <v>10</v>
      </c>
      <c r="E102" s="6">
        <v>56.4</v>
      </c>
    </row>
    <row r="103" spans="1:5">
      <c r="A103" s="5" t="s">
        <v>109</v>
      </c>
      <c r="B103" s="6">
        <v>151.4</v>
      </c>
      <c r="C103" s="6">
        <v>289.2</v>
      </c>
      <c r="D103" s="5" t="s">
        <v>10</v>
      </c>
      <c r="E103" s="6">
        <v>54.9</v>
      </c>
    </row>
    <row r="104" spans="1:5">
      <c r="A104" s="5" t="s">
        <v>110</v>
      </c>
      <c r="B104" s="6">
        <v>163.4</v>
      </c>
      <c r="C104" s="6">
        <v>263</v>
      </c>
      <c r="D104" s="5" t="s">
        <v>10</v>
      </c>
      <c r="E104" s="6">
        <v>58.9</v>
      </c>
    </row>
    <row r="105" spans="1:5">
      <c r="A105" s="5" t="s">
        <v>111</v>
      </c>
      <c r="B105" s="6">
        <v>72.3</v>
      </c>
      <c r="C105" s="6">
        <v>140.5</v>
      </c>
      <c r="D105" s="5" t="s">
        <v>6</v>
      </c>
      <c r="E105" s="6">
        <v>39.299999999999997</v>
      </c>
    </row>
    <row r="106" spans="1:5">
      <c r="A106" s="5" t="s">
        <v>112</v>
      </c>
      <c r="B106" s="6">
        <v>85.4</v>
      </c>
      <c r="C106" s="6">
        <v>239.5</v>
      </c>
      <c r="D106" s="5" t="s">
        <v>10</v>
      </c>
      <c r="E106" s="6">
        <v>49</v>
      </c>
    </row>
    <row r="107" spans="1:5">
      <c r="A107" s="5" t="s">
        <v>113</v>
      </c>
      <c r="B107" s="6">
        <v>129.6</v>
      </c>
      <c r="C107" s="6">
        <v>218.6</v>
      </c>
      <c r="D107" s="5" t="s">
        <v>8</v>
      </c>
      <c r="E107" s="6">
        <v>53.3</v>
      </c>
    </row>
    <row r="108" spans="1:5">
      <c r="A108" s="5" t="s">
        <v>114</v>
      </c>
      <c r="B108" s="6">
        <v>139.1</v>
      </c>
      <c r="C108" s="6">
        <v>270.89999999999998</v>
      </c>
      <c r="D108" s="5" t="s">
        <v>6</v>
      </c>
      <c r="E108" s="6">
        <v>57.7</v>
      </c>
    </row>
    <row r="109" spans="1:5">
      <c r="A109" s="5" t="s">
        <v>115</v>
      </c>
      <c r="B109" s="6">
        <v>133.30000000000001</v>
      </c>
      <c r="C109" s="6">
        <v>185</v>
      </c>
      <c r="D109" s="5" t="s">
        <v>10</v>
      </c>
      <c r="E109" s="6">
        <v>45.6</v>
      </c>
    </row>
    <row r="110" spans="1:5">
      <c r="A110" s="5" t="s">
        <v>116</v>
      </c>
      <c r="B110" s="6">
        <v>106.5</v>
      </c>
      <c r="C110" s="6">
        <v>190.3</v>
      </c>
      <c r="D110" s="5" t="s">
        <v>8</v>
      </c>
      <c r="E110" s="6">
        <v>49.3</v>
      </c>
    </row>
    <row r="111" spans="1:5">
      <c r="A111" s="5" t="s">
        <v>117</v>
      </c>
      <c r="B111" s="6">
        <v>146.80000000000001</v>
      </c>
      <c r="C111" s="6">
        <v>201.8</v>
      </c>
      <c r="D111" s="5" t="s">
        <v>8</v>
      </c>
      <c r="E111" s="6">
        <v>58.4</v>
      </c>
    </row>
    <row r="112" spans="1:5">
      <c r="A112" s="5" t="s">
        <v>118</v>
      </c>
      <c r="B112" s="6">
        <v>120</v>
      </c>
      <c r="C112" s="6">
        <v>283.3</v>
      </c>
      <c r="D112" s="5" t="s">
        <v>6</v>
      </c>
      <c r="E112" s="6">
        <v>57.8</v>
      </c>
    </row>
    <row r="113" spans="1:5">
      <c r="A113" s="5" t="s">
        <v>119</v>
      </c>
      <c r="B113" s="6">
        <v>151</v>
      </c>
      <c r="C113" s="6">
        <v>279.39999999999998</v>
      </c>
      <c r="D113" s="5" t="s">
        <v>6</v>
      </c>
      <c r="E113" s="6">
        <v>70.400000000000006</v>
      </c>
    </row>
    <row r="114" spans="1:5">
      <c r="A114" s="5" t="s">
        <v>120</v>
      </c>
      <c r="B114" s="6">
        <v>82.1</v>
      </c>
      <c r="C114" s="6">
        <v>200.3</v>
      </c>
      <c r="D114" s="5" t="s">
        <v>6</v>
      </c>
      <c r="E114" s="6">
        <v>50.3</v>
      </c>
    </row>
    <row r="115" spans="1:5">
      <c r="A115" s="5" t="s">
        <v>121</v>
      </c>
      <c r="B115" s="6">
        <v>115.1</v>
      </c>
      <c r="C115" s="6">
        <v>223.1</v>
      </c>
      <c r="D115" s="5" t="s">
        <v>10</v>
      </c>
      <c r="E115" s="6">
        <v>52.3</v>
      </c>
    </row>
    <row r="116" spans="1:5">
      <c r="A116" s="5" t="s">
        <v>122</v>
      </c>
      <c r="B116" s="6">
        <v>58.3</v>
      </c>
      <c r="C116" s="6">
        <v>192</v>
      </c>
      <c r="D116" s="5" t="s">
        <v>8</v>
      </c>
      <c r="E116" s="6">
        <v>46.8</v>
      </c>
    </row>
    <row r="117" spans="1:5">
      <c r="A117" s="5" t="s">
        <v>123</v>
      </c>
      <c r="B117" s="6">
        <v>121.4</v>
      </c>
      <c r="C117" s="6">
        <v>258.60000000000002</v>
      </c>
      <c r="D117" s="5" t="s">
        <v>6</v>
      </c>
      <c r="E117" s="6">
        <v>51.6</v>
      </c>
    </row>
    <row r="118" spans="1:5">
      <c r="A118" s="5" t="s">
        <v>124</v>
      </c>
      <c r="B118" s="6">
        <v>85.9</v>
      </c>
      <c r="C118" s="6">
        <v>173.7</v>
      </c>
      <c r="D118" s="5" t="s">
        <v>8</v>
      </c>
      <c r="E118" s="6">
        <v>45</v>
      </c>
    </row>
    <row r="119" spans="1:5">
      <c r="A119" s="5" t="s">
        <v>125</v>
      </c>
      <c r="B119" s="6">
        <v>100.7</v>
      </c>
      <c r="C119" s="6">
        <v>181.7</v>
      </c>
      <c r="D119" s="5" t="s">
        <v>8</v>
      </c>
      <c r="E119" s="6">
        <v>56.7</v>
      </c>
    </row>
    <row r="120" spans="1:5">
      <c r="A120" s="5" t="s">
        <v>126</v>
      </c>
      <c r="B120" s="6">
        <v>151.4</v>
      </c>
      <c r="C120" s="6">
        <v>266.60000000000002</v>
      </c>
      <c r="D120" s="5" t="s">
        <v>6</v>
      </c>
      <c r="E120" s="6">
        <v>60</v>
      </c>
    </row>
    <row r="121" spans="1:5">
      <c r="A121" s="5" t="s">
        <v>127</v>
      </c>
      <c r="B121" s="6">
        <v>133.30000000000001</v>
      </c>
      <c r="C121" s="6">
        <v>221.5</v>
      </c>
      <c r="D121" s="5" t="s">
        <v>6</v>
      </c>
      <c r="E121" s="6">
        <v>60.1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showGridLines="0" workbookViewId="0"/>
  </sheetViews>
  <sheetFormatPr defaultRowHeight="15"/>
  <cols>
    <col min="1" max="1" width="20" customWidth="1"/>
    <col min="2" max="2" width="55" customWidth="1"/>
    <col min="3" max="6" width="14" customWidth="1"/>
  </cols>
  <sheetData>
    <row r="1" spans="1:6" ht="33.950000000000003" customHeight="1">
      <c r="A1" s="10" t="s">
        <v>128</v>
      </c>
      <c r="B1" s="17"/>
      <c r="C1" s="17"/>
      <c r="D1" s="17"/>
      <c r="E1" s="17"/>
      <c r="F1" s="17"/>
    </row>
    <row r="2" spans="1:6" ht="32.1" customHeight="1">
      <c r="A2" s="11" t="s">
        <v>129</v>
      </c>
      <c r="B2" s="17"/>
      <c r="C2" s="17"/>
      <c r="D2" s="17"/>
      <c r="E2" s="17"/>
      <c r="F2" s="17"/>
    </row>
    <row r="3" spans="1:6">
      <c r="A3" s="1"/>
      <c r="B3" s="1"/>
      <c r="C3" s="1"/>
      <c r="D3" s="1"/>
      <c r="E3" s="1"/>
      <c r="F3" s="1"/>
    </row>
    <row r="4" spans="1:6">
      <c r="A4" s="18" t="s">
        <v>130</v>
      </c>
      <c r="B4" s="19"/>
      <c r="C4" s="19"/>
      <c r="D4" s="19"/>
      <c r="E4" s="19"/>
      <c r="F4" s="20"/>
    </row>
    <row r="5" spans="1:6">
      <c r="A5" s="12" t="s">
        <v>131</v>
      </c>
      <c r="B5" s="12"/>
      <c r="C5" s="12"/>
      <c r="D5" s="12"/>
      <c r="E5" s="12"/>
      <c r="F5" s="12"/>
    </row>
    <row r="6" spans="1:6">
      <c r="A6" s="12"/>
      <c r="B6" s="12"/>
      <c r="C6" s="12"/>
      <c r="D6" s="12"/>
      <c r="E6" s="12"/>
      <c r="F6" s="12"/>
    </row>
    <row r="7" spans="1:6">
      <c r="A7" s="12"/>
      <c r="B7" s="12"/>
      <c r="C7" s="12"/>
      <c r="D7" s="12"/>
      <c r="E7" s="12"/>
      <c r="F7" s="12"/>
    </row>
    <row r="8" spans="1:6">
      <c r="A8" s="1"/>
      <c r="B8" s="1"/>
      <c r="C8" s="1"/>
      <c r="D8" s="1"/>
      <c r="E8" s="1"/>
      <c r="F8" s="1"/>
    </row>
    <row r="9" spans="1:6">
      <c r="A9" s="2" t="s">
        <v>132</v>
      </c>
      <c r="B9" s="2" t="s">
        <v>133</v>
      </c>
      <c r="C9" s="1"/>
      <c r="D9" s="1"/>
      <c r="E9" s="1"/>
      <c r="F9" s="1"/>
    </row>
    <row r="10" spans="1:6">
      <c r="A10" s="3" t="s">
        <v>134</v>
      </c>
      <c r="B10" s="3" t="s">
        <v>135</v>
      </c>
      <c r="C10" s="1"/>
      <c r="D10" s="1"/>
      <c r="E10" s="1"/>
      <c r="F10" s="1"/>
    </row>
    <row r="11" spans="1:6">
      <c r="A11" s="3" t="s">
        <v>136</v>
      </c>
      <c r="B11" s="3" t="s">
        <v>137</v>
      </c>
      <c r="C11" s="1"/>
      <c r="D11" s="1"/>
      <c r="E11" s="1"/>
      <c r="F11" s="1"/>
    </row>
    <row r="12" spans="1:6">
      <c r="A12" s="3" t="s">
        <v>138</v>
      </c>
      <c r="B12" s="3" t="s">
        <v>139</v>
      </c>
      <c r="C12" s="1"/>
      <c r="D12" s="1"/>
      <c r="E12" s="1"/>
      <c r="F12" s="1"/>
    </row>
    <row r="13" spans="1:6">
      <c r="A13" s="3" t="s">
        <v>140</v>
      </c>
      <c r="B13" s="3" t="s">
        <v>141</v>
      </c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 ht="33.950000000000003" customHeight="1">
      <c r="A15" s="13" t="s">
        <v>142</v>
      </c>
      <c r="B15" s="13"/>
      <c r="C15" s="13"/>
      <c r="D15" s="13"/>
      <c r="E15" s="13"/>
      <c r="F15" s="13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</sheetData>
  <mergeCells count="5">
    <mergeCell ref="A1:F1"/>
    <mergeCell ref="A2:F2"/>
    <mergeCell ref="A4:F4"/>
    <mergeCell ref="A5:F7"/>
    <mergeCell ref="A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8"/>
  <sheetViews>
    <sheetView showGridLines="0" workbookViewId="0"/>
  </sheetViews>
  <sheetFormatPr defaultRowHeight="15"/>
  <cols>
    <col min="1" max="1" width="20" customWidth="1"/>
    <col min="2" max="2" width="42" customWidth="1"/>
    <col min="3" max="3" width="3" customWidth="1"/>
  </cols>
  <sheetData>
    <row r="1" spans="1:14" ht="33.950000000000003" customHeight="1">
      <c r="A1" s="10" t="s">
        <v>143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1:14" ht="32.1" customHeight="1">
      <c r="A2" s="11" t="s">
        <v>144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2" t="s">
        <v>145</v>
      </c>
      <c r="B4" s="2" t="s">
        <v>146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>
      <c r="A5" s="7" t="s">
        <v>147</v>
      </c>
      <c r="B5" s="7" t="s">
        <v>148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2" t="s">
        <v>149</v>
      </c>
      <c r="B7" s="2" t="s">
        <v>150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8">
        <f>Data!B2</f>
        <v>146.19999999999999</v>
      </c>
      <c r="B8" s="8">
        <f>Data!E2</f>
        <v>56.7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8">
        <f>Data!B3</f>
        <v>136.5</v>
      </c>
      <c r="B9" s="8">
        <f>Data!E3</f>
        <v>62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8">
        <f>Data!B4</f>
        <v>113.1</v>
      </c>
      <c r="B10" s="8">
        <f>Data!E4</f>
        <v>53.6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8">
        <f>Data!B5</f>
        <v>111.8</v>
      </c>
      <c r="B11" s="8">
        <f>Data!E5</f>
        <v>51.2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8">
        <f>Data!B6</f>
        <v>102.6</v>
      </c>
      <c r="B12" s="8">
        <f>Data!E6</f>
        <v>49.2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>
      <c r="A13" s="8">
        <f>Data!B7</f>
        <v>140.5</v>
      </c>
      <c r="B13" s="8">
        <f>Data!E7</f>
        <v>51.2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8">
        <f>Data!B8</f>
        <v>102</v>
      </c>
      <c r="B14" s="8">
        <f>Data!E8</f>
        <v>49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8">
        <f>Data!B9</f>
        <v>136.80000000000001</v>
      </c>
      <c r="B15" s="8">
        <f>Data!E9</f>
        <v>56.8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8">
        <f>Data!B10</f>
        <v>141.6</v>
      </c>
      <c r="B16" s="8">
        <f>Data!E10</f>
        <v>61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>
      <c r="A17" s="8">
        <f>Data!B11</f>
        <v>97.9</v>
      </c>
      <c r="B17" s="8">
        <f>Data!E11</f>
        <v>48.2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8">
        <f>Data!B12</f>
        <v>154.6</v>
      </c>
      <c r="B18" s="8">
        <f>Data!E12</f>
        <v>59.5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8">
        <f>Data!B13</f>
        <v>139.80000000000001</v>
      </c>
      <c r="B19" s="8">
        <f>Data!E13</f>
        <v>55.9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>
      <c r="A20" s="8">
        <f>Data!B14</f>
        <v>111.6</v>
      </c>
      <c r="B20" s="8">
        <f>Data!E14</f>
        <v>55.2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8">
        <f>Data!B15</f>
        <v>120.3</v>
      </c>
      <c r="B21" s="8">
        <f>Data!E15</f>
        <v>51.7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8">
        <f>Data!B16</f>
        <v>147</v>
      </c>
      <c r="B22" s="8">
        <f>Data!E16</f>
        <v>62.1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8">
        <f>Data!B17</f>
        <v>104.6</v>
      </c>
      <c r="B23" s="8">
        <f>Data!E17</f>
        <v>42.5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>
      <c r="A24" s="8">
        <f>Data!B18</f>
        <v>108.6</v>
      </c>
      <c r="B24" s="8">
        <f>Data!E18</f>
        <v>44.9</v>
      </c>
      <c r="C24" s="1"/>
      <c r="D24" s="14" t="s">
        <v>151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spans="1:14">
      <c r="A25" s="8">
        <f>Data!B19</f>
        <v>144.19999999999999</v>
      </c>
      <c r="B25" s="8">
        <f>Data!E19</f>
        <v>61</v>
      </c>
      <c r="C25" s="1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spans="1:14">
      <c r="A26" s="8">
        <f>Data!B20</f>
        <v>60.5</v>
      </c>
      <c r="B26" s="8">
        <f>Data!E20</f>
        <v>40.6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>
      <c r="A27" s="8">
        <f>Data!B21</f>
        <v>138.4</v>
      </c>
      <c r="B27" s="8">
        <f>Data!E21</f>
        <v>58.9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>
      <c r="A28" s="8">
        <f>Data!B22</f>
        <v>158.30000000000001</v>
      </c>
      <c r="B28" s="8">
        <f>Data!E22</f>
        <v>56.8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8">
        <f>Data!B23</f>
        <v>144.5</v>
      </c>
      <c r="B29" s="8">
        <f>Data!E23</f>
        <v>54.5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>
      <c r="A30" s="8">
        <f>Data!B24</f>
        <v>113.2</v>
      </c>
      <c r="B30" s="8">
        <f>Data!E24</f>
        <v>51.1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>
      <c r="A31" s="8">
        <f>Data!B25</f>
        <v>116</v>
      </c>
      <c r="B31" s="8">
        <f>Data!E25</f>
        <v>52.1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8">
        <f>Data!B26</f>
        <v>137.9</v>
      </c>
      <c r="B32" s="8">
        <f>Data!E26</f>
        <v>54.8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>
      <c r="A33" s="8">
        <f>Data!B27</f>
        <v>90.7</v>
      </c>
      <c r="B33" s="8">
        <f>Data!E27</f>
        <v>47.3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8">
        <f>Data!B28</f>
        <v>125.5</v>
      </c>
      <c r="B34" s="8">
        <f>Data!E28</f>
        <v>48.2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8">
        <f>Data!B29</f>
        <v>112.1</v>
      </c>
      <c r="B35" s="8">
        <f>Data!E29</f>
        <v>52.3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8">
        <f>Data!B30</f>
        <v>105</v>
      </c>
      <c r="B36" s="8">
        <f>Data!E30</f>
        <v>51.6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8">
        <f>Data!B31</f>
        <v>132.19999999999999</v>
      </c>
      <c r="B37" s="8">
        <f>Data!E31</f>
        <v>49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8">
        <f>Data!B32</f>
        <v>140.1</v>
      </c>
      <c r="B38" s="8">
        <f>Data!E32</f>
        <v>56.5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8">
        <f>Data!B33</f>
        <v>134.69999999999999</v>
      </c>
      <c r="B39" s="8">
        <f>Data!E33</f>
        <v>56.6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8">
        <f>Data!B34</f>
        <v>171.1</v>
      </c>
      <c r="B40" s="8">
        <f>Data!E34</f>
        <v>62.5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8">
        <f>Data!B35</f>
        <v>108.1</v>
      </c>
      <c r="B41" s="8">
        <f>Data!E35</f>
        <v>47.9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8">
        <f>Data!B36</f>
        <v>137.1</v>
      </c>
      <c r="B42" s="8">
        <f>Data!E36</f>
        <v>49.3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8">
        <f>Data!B37</f>
        <v>135.6</v>
      </c>
      <c r="B43" s="8">
        <f>Data!E37</f>
        <v>51.8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8">
        <f>Data!B38</f>
        <v>94</v>
      </c>
      <c r="B44" s="8">
        <f>Data!E38</f>
        <v>50.3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8">
        <f>Data!B39</f>
        <v>130</v>
      </c>
      <c r="B45" s="8">
        <f>Data!E39</f>
        <v>52.1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8">
        <f>Data!B40</f>
        <v>161.5</v>
      </c>
      <c r="B46" s="8">
        <f>Data!E40</f>
        <v>50.2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8">
        <f>Data!B41</f>
        <v>88.2</v>
      </c>
      <c r="B47" s="8">
        <f>Data!E41</f>
        <v>50.3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8">
        <f>Data!B42</f>
        <v>132.80000000000001</v>
      </c>
      <c r="B48" s="8">
        <f>Data!E42</f>
        <v>51.8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8">
        <f>Data!B43</f>
        <v>129.9</v>
      </c>
      <c r="B49" s="8">
        <f>Data!E43</f>
        <v>58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8">
        <f>Data!B44</f>
        <v>115.3</v>
      </c>
      <c r="B50" s="8">
        <f>Data!E44</f>
        <v>51.9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8">
        <f>Data!B45</f>
        <v>128.30000000000001</v>
      </c>
      <c r="B51" s="8">
        <f>Data!E45</f>
        <v>55.3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8">
        <f>Data!B46</f>
        <v>141.80000000000001</v>
      </c>
      <c r="B52" s="8">
        <f>Data!E46</f>
        <v>62.8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8">
        <f>Data!B47</f>
        <v>109.1</v>
      </c>
      <c r="B53" s="8">
        <f>Data!E47</f>
        <v>45.3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8">
        <f>Data!B48</f>
        <v>63.4</v>
      </c>
      <c r="B54" s="8">
        <f>Data!E48</f>
        <v>39.700000000000003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8">
        <f>Data!B49</f>
        <v>125.9</v>
      </c>
      <c r="B55" s="8">
        <f>Data!E49</f>
        <v>55.6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8">
        <f>Data!B50</f>
        <v>104.1</v>
      </c>
      <c r="B56" s="8">
        <f>Data!E50</f>
        <v>44.9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8">
        <f>Data!B51</f>
        <v>139.30000000000001</v>
      </c>
      <c r="B57" s="8">
        <f>Data!E51</f>
        <v>53.4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8">
        <f>Data!B52</f>
        <v>139.1</v>
      </c>
      <c r="B58" s="8">
        <f>Data!E52</f>
        <v>57.2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8">
        <f>Data!B53</f>
        <v>145.19999999999999</v>
      </c>
      <c r="B59" s="8">
        <f>Data!E53</f>
        <v>59.5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8">
        <f>Data!B54</f>
        <v>133.80000000000001</v>
      </c>
      <c r="B60" s="8">
        <f>Data!E54</f>
        <v>51.8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8">
        <f>Data!B55</f>
        <v>109.5</v>
      </c>
      <c r="B61" s="8">
        <f>Data!E55</f>
        <v>50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8">
        <f>Data!B56</f>
        <v>105.2</v>
      </c>
      <c r="B62" s="8">
        <f>Data!E56</f>
        <v>52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8">
        <f>Data!B57</f>
        <v>123</v>
      </c>
      <c r="B63" s="8">
        <f>Data!E57</f>
        <v>49.3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8">
        <f>Data!B58</f>
        <v>116.3</v>
      </c>
      <c r="B64" s="8">
        <f>Data!E58</f>
        <v>51.6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8">
        <f>Data!B59</f>
        <v>143.4</v>
      </c>
      <c r="B65" s="8">
        <f>Data!E59</f>
        <v>51.5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>
      <c r="A66" s="8">
        <f>Data!B60</f>
        <v>142.4</v>
      </c>
      <c r="B66" s="8">
        <f>Data!E60</f>
        <v>58.4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8">
        <f>Data!B61</f>
        <v>119.5</v>
      </c>
      <c r="B67" s="8">
        <f>Data!E61</f>
        <v>56.5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8">
        <f>Data!B62</f>
        <v>128.1</v>
      </c>
      <c r="B68" s="8">
        <f>Data!E62</f>
        <v>51.6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>
      <c r="A69" s="8">
        <f>Data!B63</f>
        <v>124.3</v>
      </c>
      <c r="B69" s="8">
        <f>Data!E63</f>
        <v>58.1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>
      <c r="A70" s="8">
        <f>Data!B64</f>
        <v>141.1</v>
      </c>
      <c r="B70" s="8">
        <f>Data!E64</f>
        <v>53.3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>
      <c r="A71" s="8">
        <f>Data!B65</f>
        <v>186</v>
      </c>
      <c r="B71" s="8">
        <f>Data!E65</f>
        <v>62.9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>
      <c r="A72" s="8">
        <f>Data!B66</f>
        <v>94.3</v>
      </c>
      <c r="B72" s="8">
        <f>Data!E66</f>
        <v>47.2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>
      <c r="A73" s="8">
        <f>Data!B67</f>
        <v>102.9</v>
      </c>
      <c r="B73" s="8">
        <f>Data!E67</f>
        <v>45.6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>
      <c r="A74" s="8">
        <f>Data!B68</f>
        <v>186.9</v>
      </c>
      <c r="B74" s="8">
        <f>Data!E68</f>
        <v>59.2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>
      <c r="A75" s="8">
        <f>Data!B69</f>
        <v>120.3</v>
      </c>
      <c r="B75" s="8">
        <f>Data!E69</f>
        <v>56.3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>
      <c r="A76" s="8">
        <f>Data!B70</f>
        <v>128.80000000000001</v>
      </c>
      <c r="B76" s="8">
        <f>Data!E70</f>
        <v>51.5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8">
        <f>Data!B71</f>
        <v>158.19999999999999</v>
      </c>
      <c r="B77" s="8">
        <f>Data!E71</f>
        <v>63.2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8">
        <f>Data!B72</f>
        <v>114.6</v>
      </c>
      <c r="B78" s="8">
        <f>Data!E72</f>
        <v>51.3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>
      <c r="A79" s="8">
        <f>Data!B73</f>
        <v>141</v>
      </c>
      <c r="B79" s="8">
        <f>Data!E73</f>
        <v>54.3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>
      <c r="A80" s="8">
        <f>Data!B74</f>
        <v>110.8</v>
      </c>
      <c r="B80" s="8">
        <f>Data!E74</f>
        <v>50.9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>
      <c r="A81" s="8">
        <f>Data!B75</f>
        <v>120.9</v>
      </c>
      <c r="B81" s="8">
        <f>Data!E75</f>
        <v>50.2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>
      <c r="A82" s="8">
        <f>Data!B76</f>
        <v>97.6</v>
      </c>
      <c r="B82" s="8">
        <f>Data!E76</f>
        <v>48.4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>
      <c r="A83" s="8">
        <f>Data!B77</f>
        <v>153.1</v>
      </c>
      <c r="B83" s="8">
        <f>Data!E77</f>
        <v>59.2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>
      <c r="A84" s="8">
        <f>Data!B78</f>
        <v>126.5</v>
      </c>
      <c r="B84" s="8">
        <f>Data!E78</f>
        <v>52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>
      <c r="A85" s="8">
        <f>Data!B79</f>
        <v>160.19999999999999</v>
      </c>
      <c r="B85" s="8">
        <f>Data!E79</f>
        <v>59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>
      <c r="A86" s="8">
        <f>Data!B80</f>
        <v>179.1</v>
      </c>
      <c r="B86" s="8">
        <f>Data!E80</f>
        <v>63.2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8">
        <f>Data!B81</f>
        <v>116.7</v>
      </c>
      <c r="B87" s="8">
        <f>Data!E81</f>
        <v>54.2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8">
        <f>Data!B82</f>
        <v>132.19999999999999</v>
      </c>
      <c r="B88" s="8">
        <f>Data!E82</f>
        <v>59.3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>
      <c r="A89" s="8">
        <f>Data!B83</f>
        <v>111</v>
      </c>
      <c r="B89" s="8">
        <f>Data!E83</f>
        <v>53.1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>
      <c r="A90" s="8">
        <f>Data!B84</f>
        <v>116.3</v>
      </c>
      <c r="B90" s="8">
        <f>Data!E84</f>
        <v>49.6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>
      <c r="A91" s="8">
        <f>Data!B85</f>
        <v>120.8</v>
      </c>
      <c r="B91" s="8">
        <f>Data!E85</f>
        <v>53.3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>
      <c r="A92" s="8">
        <f>Data!B86</f>
        <v>126.1</v>
      </c>
      <c r="B92" s="8">
        <f>Data!E86</f>
        <v>58.4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>
      <c r="A93" s="8">
        <f>Data!B87</f>
        <v>141.80000000000001</v>
      </c>
      <c r="B93" s="8">
        <f>Data!E87</f>
        <v>57.4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>
      <c r="A94" s="8">
        <f>Data!B88</f>
        <v>137.9</v>
      </c>
      <c r="B94" s="8">
        <f>Data!E88</f>
        <v>52.8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>
      <c r="A95" s="8">
        <f>Data!B89</f>
        <v>105.8</v>
      </c>
      <c r="B95" s="8">
        <f>Data!E89</f>
        <v>46.6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>
      <c r="A96" s="8">
        <f>Data!B90</f>
        <v>114.4</v>
      </c>
      <c r="B96" s="8">
        <f>Data!E90</f>
        <v>42.4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>
      <c r="A97" s="8">
        <f>Data!B91</f>
        <v>115.2</v>
      </c>
      <c r="B97" s="8">
        <f>Data!E91</f>
        <v>51.3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>
      <c r="A98" s="8">
        <f>Data!B92</f>
        <v>111.6</v>
      </c>
      <c r="B98" s="8">
        <f>Data!E92</f>
        <v>56.6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>
      <c r="A99" s="8">
        <f>Data!B93</f>
        <v>98</v>
      </c>
      <c r="B99" s="8">
        <f>Data!E93</f>
        <v>42.2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>
      <c r="A100" s="8">
        <f>Data!B94</f>
        <v>149.19999999999999</v>
      </c>
      <c r="B100" s="8">
        <f>Data!E94</f>
        <v>60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>
      <c r="A101" s="8">
        <f>Data!B95</f>
        <v>107.4</v>
      </c>
      <c r="B101" s="8">
        <f>Data!E95</f>
        <v>54.6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>
      <c r="A102" s="8">
        <f>Data!B96</f>
        <v>116.9</v>
      </c>
      <c r="B102" s="8">
        <f>Data!E96</f>
        <v>49.3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>
      <c r="A103" s="8">
        <f>Data!B97</f>
        <v>146.6</v>
      </c>
      <c r="B103" s="8">
        <f>Data!E97</f>
        <v>66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>
      <c r="A104" s="8">
        <f>Data!B98</f>
        <v>121.6</v>
      </c>
      <c r="B104" s="8">
        <f>Data!E98</f>
        <v>46.8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>
      <c r="A105" s="8">
        <f>Data!B99</f>
        <v>163.4</v>
      </c>
      <c r="B105" s="8">
        <f>Data!E99</f>
        <v>63.6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>
      <c r="A106" s="8">
        <f>Data!B100</f>
        <v>106.2</v>
      </c>
      <c r="B106" s="8">
        <f>Data!E100</f>
        <v>48.4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A107" s="8">
        <f>Data!B101</f>
        <v>142.69999999999999</v>
      </c>
      <c r="B107" s="8">
        <f>Data!E101</f>
        <v>57.9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A108" s="8">
        <f>Data!B102</f>
        <v>131</v>
      </c>
      <c r="B108" s="8">
        <f>Data!E102</f>
        <v>56.4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>
      <c r="A109" s="8">
        <f>Data!B103</f>
        <v>151.4</v>
      </c>
      <c r="B109" s="8">
        <f>Data!E103</f>
        <v>54.9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>
      <c r="A110" s="8">
        <f>Data!B104</f>
        <v>163.4</v>
      </c>
      <c r="B110" s="8">
        <f>Data!E104</f>
        <v>58.9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>
      <c r="A111" s="8">
        <f>Data!B105</f>
        <v>72.3</v>
      </c>
      <c r="B111" s="8">
        <f>Data!E105</f>
        <v>39.299999999999997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>
      <c r="A112" s="8">
        <f>Data!B106</f>
        <v>85.4</v>
      </c>
      <c r="B112" s="8">
        <f>Data!E106</f>
        <v>49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>
      <c r="A113" s="8">
        <f>Data!B107</f>
        <v>129.6</v>
      </c>
      <c r="B113" s="8">
        <f>Data!E107</f>
        <v>53.3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>
      <c r="A114" s="8">
        <f>Data!B108</f>
        <v>139.1</v>
      </c>
      <c r="B114" s="8">
        <f>Data!E108</f>
        <v>57.7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>
      <c r="A115" s="8">
        <f>Data!B109</f>
        <v>133.30000000000001</v>
      </c>
      <c r="B115" s="8">
        <f>Data!E109</f>
        <v>45.6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>
      <c r="A116" s="8">
        <f>Data!B110</f>
        <v>106.5</v>
      </c>
      <c r="B116" s="8">
        <f>Data!E110</f>
        <v>49.3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>
      <c r="A117" s="8">
        <f>Data!B111</f>
        <v>146.80000000000001</v>
      </c>
      <c r="B117" s="8">
        <f>Data!E111</f>
        <v>58.4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>
      <c r="A118" s="8">
        <f>Data!B112</f>
        <v>120</v>
      </c>
      <c r="B118" s="8">
        <f>Data!E112</f>
        <v>57.8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>
      <c r="A119" s="8">
        <f>Data!B113</f>
        <v>151</v>
      </c>
      <c r="B119" s="8">
        <f>Data!E113</f>
        <v>70.400000000000006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>
      <c r="A120" s="8">
        <f>Data!B114</f>
        <v>82.1</v>
      </c>
      <c r="B120" s="8">
        <f>Data!E114</f>
        <v>50.3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>
      <c r="A121" s="8">
        <f>Data!B115</f>
        <v>115.1</v>
      </c>
      <c r="B121" s="8">
        <f>Data!E115</f>
        <v>52.3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>
      <c r="A122" s="8">
        <f>Data!B116</f>
        <v>58.3</v>
      </c>
      <c r="B122" s="8">
        <f>Data!E116</f>
        <v>46.8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>
      <c r="A123" s="8">
        <f>Data!B117</f>
        <v>121.4</v>
      </c>
      <c r="B123" s="8">
        <f>Data!E117</f>
        <v>51.6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>
      <c r="A124" s="8">
        <f>Data!B118</f>
        <v>85.9</v>
      </c>
      <c r="B124" s="8">
        <f>Data!E118</f>
        <v>45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>
      <c r="A125" s="8">
        <f>Data!B119</f>
        <v>100.7</v>
      </c>
      <c r="B125" s="8">
        <f>Data!E119</f>
        <v>56.7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>
      <c r="A126" s="8">
        <f>Data!B120</f>
        <v>151.4</v>
      </c>
      <c r="B126" s="8">
        <f>Data!E120</f>
        <v>60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>
      <c r="A127" s="8">
        <f>Data!B121</f>
        <v>133.30000000000001</v>
      </c>
      <c r="B127" s="8">
        <f>Data!E121</f>
        <v>60.1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</sheetData>
  <mergeCells count="3">
    <mergeCell ref="A1:N1"/>
    <mergeCell ref="A2:N2"/>
    <mergeCell ref="D24:N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showGridLines="0" workbookViewId="0">
      <selection activeCell="B5" sqref="B5"/>
    </sheetView>
  </sheetViews>
  <sheetFormatPr defaultRowHeight="15"/>
  <cols>
    <col min="1" max="1" width="27" customWidth="1"/>
    <col min="2" max="2" width="18" customWidth="1"/>
    <col min="3" max="3" width="46" customWidth="1"/>
    <col min="4" max="4" width="23" customWidth="1"/>
    <col min="5" max="8" width="12" customWidth="1"/>
  </cols>
  <sheetData>
    <row r="1" spans="1:8" ht="33.950000000000003" customHeight="1">
      <c r="A1" s="10" t="s">
        <v>138</v>
      </c>
      <c r="B1" s="17"/>
      <c r="C1" s="17"/>
      <c r="D1" s="17"/>
      <c r="E1" s="17"/>
      <c r="F1" s="17"/>
      <c r="G1" s="17"/>
      <c r="H1" s="17"/>
    </row>
    <row r="2" spans="1:8" ht="32.1" customHeight="1">
      <c r="A2" s="11" t="s">
        <v>152</v>
      </c>
      <c r="B2" s="17"/>
      <c r="C2" s="17"/>
      <c r="D2" s="17"/>
      <c r="E2" s="17"/>
      <c r="F2" s="17"/>
      <c r="G2" s="17"/>
      <c r="H2" s="17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2" t="s">
        <v>153</v>
      </c>
      <c r="B4" s="2" t="s">
        <v>154</v>
      </c>
      <c r="C4" s="2" t="s">
        <v>155</v>
      </c>
      <c r="D4" s="2" t="s">
        <v>156</v>
      </c>
      <c r="E4" s="1"/>
      <c r="F4" s="1"/>
      <c r="G4" s="1"/>
      <c r="H4" s="1"/>
    </row>
    <row r="5" spans="1:8">
      <c r="A5" s="3" t="s">
        <v>157</v>
      </c>
      <c r="B5" s="9">
        <f>CORREL(Data!$B$2:$B$121,Data!$E$2:$E$121)</f>
        <v>0.75357590681705366</v>
      </c>
      <c r="C5" s="3" t="s">
        <v>158</v>
      </c>
      <c r="D5" s="3" t="str">
        <f>IF(B5&gt;0,"Positive",IF(B5&lt;0,"Negative","No linear relationship"))</f>
        <v>Positive</v>
      </c>
      <c r="E5" s="1"/>
      <c r="F5" s="1"/>
      <c r="G5" s="1"/>
      <c r="H5" s="1"/>
    </row>
    <row r="6" spans="1:8">
      <c r="A6" s="3" t="s">
        <v>159</v>
      </c>
      <c r="B6" s="9">
        <f>CORREL(Data!$C$2:$C$121,Data!$E$2:$E$121)</f>
        <v>0.64798045914604163</v>
      </c>
      <c r="C6" s="3" t="s">
        <v>160</v>
      </c>
      <c r="D6" s="3" t="str">
        <f>IF(B6&gt;0,"Positive",IF(B6&lt;0,"Negative","No linear relationship"))</f>
        <v>Positive</v>
      </c>
      <c r="E6" s="1"/>
      <c r="F6" s="1"/>
      <c r="G6" s="1"/>
      <c r="H6" s="1"/>
    </row>
    <row r="7" spans="1:8">
      <c r="A7" s="3" t="s">
        <v>161</v>
      </c>
      <c r="B7" s="9">
        <f>CORREL(Data!$B$2:$B$121,Data!$C$2:$C$121)</f>
        <v>0.46145454785747864</v>
      </c>
      <c r="C7" s="3" t="s">
        <v>162</v>
      </c>
      <c r="D7" s="3" t="str">
        <f>IF(B7&gt;0,"Positive",IF(B7&lt;0,"Negative","No linear relationship"))</f>
        <v>Positive</v>
      </c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 ht="33.950000000000003" customHeight="1">
      <c r="A10" s="15" t="s">
        <v>163</v>
      </c>
      <c r="B10" s="15"/>
      <c r="C10" s="15"/>
      <c r="D10" s="15"/>
      <c r="E10" s="15"/>
      <c r="F10" s="15"/>
      <c r="G10" s="15"/>
      <c r="H10" s="15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 ht="30" customHeight="1">
      <c r="A12" s="16" t="s">
        <v>164</v>
      </c>
      <c r="B12" s="16"/>
      <c r="C12" s="16"/>
      <c r="D12" s="16"/>
      <c r="E12" s="16"/>
      <c r="F12" s="16"/>
      <c r="G12" s="16"/>
      <c r="H12" s="16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</sheetData>
  <mergeCells count="4">
    <mergeCell ref="A1:H1"/>
    <mergeCell ref="A2:H2"/>
    <mergeCell ref="A10:H10"/>
    <mergeCell ref="A12:H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25"/>
  <sheetViews>
    <sheetView showGridLines="0" tabSelected="1" workbookViewId="0">
      <selection activeCell="B14" sqref="B14"/>
    </sheetView>
  </sheetViews>
  <sheetFormatPr defaultRowHeight="15"/>
  <cols>
    <col min="1" max="1" width="31" customWidth="1"/>
    <col min="2" max="2" width="17" customWidth="1"/>
    <col min="3" max="3" width="43" customWidth="1"/>
    <col min="4" max="4" width="3" customWidth="1"/>
    <col min="5" max="6" width="18" customWidth="1"/>
    <col min="7" max="7" width="3" customWidth="1"/>
  </cols>
  <sheetData>
    <row r="1" spans="1:17" ht="33.950000000000003" customHeight="1">
      <c r="A1" s="10" t="s">
        <v>165</v>
      </c>
      <c r="B1" s="17"/>
      <c r="C1" s="17"/>
      <c r="D1" s="17"/>
      <c r="E1" s="17"/>
      <c r="F1" s="17"/>
      <c r="G1" s="17"/>
      <c r="H1" s="17"/>
      <c r="I1" s="17"/>
      <c r="J1" s="17"/>
      <c r="K1" s="1"/>
      <c r="L1" s="1"/>
      <c r="M1" s="1"/>
      <c r="N1" s="1"/>
      <c r="O1" s="1"/>
      <c r="P1" s="1"/>
      <c r="Q1" s="1"/>
    </row>
    <row r="2" spans="1:17" ht="32.1" customHeight="1">
      <c r="A2" s="11" t="s">
        <v>166</v>
      </c>
      <c r="B2" s="17"/>
      <c r="C2" s="17"/>
      <c r="D2" s="17"/>
      <c r="E2" s="17"/>
      <c r="F2" s="17"/>
      <c r="G2" s="17"/>
      <c r="H2" s="17"/>
      <c r="I2" s="17"/>
      <c r="J2" s="17"/>
      <c r="K2" s="1"/>
      <c r="L2" s="1"/>
      <c r="M2" s="1"/>
      <c r="N2" s="1"/>
      <c r="O2" s="1"/>
      <c r="P2" s="1"/>
      <c r="Q2" s="1"/>
    </row>
    <row r="3" spans="1:1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2" t="s">
        <v>167</v>
      </c>
      <c r="B4" s="2" t="s">
        <v>168</v>
      </c>
      <c r="C4" s="2" t="s">
        <v>155</v>
      </c>
      <c r="D4" s="1"/>
      <c r="E4" s="2" t="s">
        <v>149</v>
      </c>
      <c r="F4" s="2" t="s">
        <v>150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3" t="s">
        <v>169</v>
      </c>
      <c r="B5" s="9">
        <f>SLOPE(Data!$E$2:$E$121,Data!$B$2:$B$121)</f>
        <v>0.18141239358803124</v>
      </c>
      <c r="C5" s="3" t="s">
        <v>170</v>
      </c>
      <c r="D5" s="1"/>
      <c r="E5" s="8">
        <f>Data!B2</f>
        <v>146.19999999999999</v>
      </c>
      <c r="F5" s="8">
        <f>Data!E2</f>
        <v>56.7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>
      <c r="A6" s="3" t="s">
        <v>171</v>
      </c>
      <c r="B6" s="9">
        <f>INTERCEPT(Data!$E$2:$E$121,Data!$B$2:$B$121)</f>
        <v>30.698126795028394</v>
      </c>
      <c r="C6" s="3" t="s">
        <v>172</v>
      </c>
      <c r="D6" s="1"/>
      <c r="E6" s="8">
        <f>Data!B3</f>
        <v>136.5</v>
      </c>
      <c r="F6" s="8">
        <f>Data!E3</f>
        <v>62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s="3" t="s">
        <v>173</v>
      </c>
      <c r="B7" s="9">
        <f>RSQ(Data!$E$2:$E$121,Data!$B$2:$B$121)</f>
        <v>0.56787664733514487</v>
      </c>
      <c r="C7" s="3" t="s">
        <v>174</v>
      </c>
      <c r="D7" s="1"/>
      <c r="E7" s="8">
        <f>Data!B4</f>
        <v>113.1</v>
      </c>
      <c r="F7" s="8">
        <f>Data!E4</f>
        <v>53.6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3" t="s">
        <v>175</v>
      </c>
      <c r="B8" s="8">
        <f>MIN(Data!$B$2:$B$121)</f>
        <v>58.3</v>
      </c>
      <c r="C8" s="3" t="s">
        <v>176</v>
      </c>
      <c r="D8" s="1"/>
      <c r="E8" s="8">
        <f>Data!B5</f>
        <v>111.8</v>
      </c>
      <c r="F8" s="8">
        <f>Data!E5</f>
        <v>51.2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3" t="s">
        <v>177</v>
      </c>
      <c r="B9" s="8">
        <f>MAX(Data!$B$2:$B$121)</f>
        <v>186.9</v>
      </c>
      <c r="C9" s="3" t="s">
        <v>178</v>
      </c>
      <c r="D9" s="1"/>
      <c r="E9" s="8">
        <f>Data!B6</f>
        <v>102.6</v>
      </c>
      <c r="F9" s="8">
        <f>Data!E6</f>
        <v>49.2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1"/>
      <c r="B10" s="1"/>
      <c r="C10" s="1"/>
      <c r="D10" s="1"/>
      <c r="E10" s="8">
        <f>Data!B7</f>
        <v>140.5</v>
      </c>
      <c r="F10" s="8">
        <f>Data!E7</f>
        <v>51.2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A11" s="1"/>
      <c r="B11" s="1"/>
      <c r="C11" s="1"/>
      <c r="D11" s="1"/>
      <c r="E11" s="8">
        <f>Data!B8</f>
        <v>102</v>
      </c>
      <c r="F11" s="8">
        <f>Data!E8</f>
        <v>49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A12" s="2" t="s">
        <v>179</v>
      </c>
      <c r="B12" s="2" t="s">
        <v>168</v>
      </c>
      <c r="C12" s="2" t="s">
        <v>180</v>
      </c>
      <c r="D12" s="1"/>
      <c r="E12" s="8">
        <f>Data!B9</f>
        <v>136.80000000000001</v>
      </c>
      <c r="F12" s="8">
        <f>Data!E9</f>
        <v>56.8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3" t="s">
        <v>181</v>
      </c>
      <c r="B13" s="21">
        <v>120</v>
      </c>
      <c r="C13" s="3" t="s">
        <v>182</v>
      </c>
      <c r="D13" s="1"/>
      <c r="E13" s="8">
        <f>Data!B10</f>
        <v>141.6</v>
      </c>
      <c r="F13" s="8">
        <f>Data!E10</f>
        <v>61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3" t="s">
        <v>183</v>
      </c>
      <c r="B14" s="8">
        <f>$B$6+$B$5*$B$13</f>
        <v>52.467614025592141</v>
      </c>
      <c r="C14" s="3" t="s">
        <v>184</v>
      </c>
      <c r="D14" s="1"/>
      <c r="E14" s="8">
        <f>Data!B11</f>
        <v>97.9</v>
      </c>
      <c r="F14" s="8">
        <f>Data!E11</f>
        <v>48.2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1"/>
      <c r="C15" s="1"/>
      <c r="D15" s="1"/>
      <c r="E15" s="8">
        <f>Data!B12</f>
        <v>154.6</v>
      </c>
      <c r="F15" s="8">
        <f>Data!E12</f>
        <v>59.5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1"/>
      <c r="C16" s="1"/>
      <c r="D16" s="1"/>
      <c r="E16" s="8">
        <f>Data!B13</f>
        <v>139.80000000000001</v>
      </c>
      <c r="F16" s="8">
        <f>Data!E13</f>
        <v>55.9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4" t="s">
        <v>185</v>
      </c>
      <c r="B17" s="14"/>
      <c r="C17" s="14"/>
      <c r="D17" s="1"/>
      <c r="E17" s="8">
        <f>Data!B14</f>
        <v>111.6</v>
      </c>
      <c r="F17" s="8">
        <f>Data!E14</f>
        <v>55.2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4"/>
      <c r="B18" s="14"/>
      <c r="C18" s="14"/>
      <c r="D18" s="1"/>
      <c r="E18" s="8">
        <f>Data!B15</f>
        <v>120.3</v>
      </c>
      <c r="F18" s="8">
        <f>Data!E15</f>
        <v>51.7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4"/>
      <c r="B19" s="14"/>
      <c r="C19" s="14"/>
      <c r="D19" s="1"/>
      <c r="E19" s="8">
        <f>Data!B16</f>
        <v>147</v>
      </c>
      <c r="F19" s="8">
        <f>Data!E16</f>
        <v>62.1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/>
      <c r="B20" s="1"/>
      <c r="C20" s="1"/>
      <c r="D20" s="1"/>
      <c r="E20" s="8">
        <f>Data!B17</f>
        <v>104.6</v>
      </c>
      <c r="F20" s="8">
        <f>Data!E17</f>
        <v>42.5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 s="1"/>
      <c r="B21" s="1"/>
      <c r="C21" s="1"/>
      <c r="D21" s="1"/>
      <c r="E21" s="8">
        <f>Data!B18</f>
        <v>108.6</v>
      </c>
      <c r="F21" s="8">
        <f>Data!E18</f>
        <v>44.9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1"/>
      <c r="B22" s="1"/>
      <c r="C22" s="1"/>
      <c r="D22" s="1"/>
      <c r="E22" s="8">
        <f>Data!B19</f>
        <v>144.19999999999999</v>
      </c>
      <c r="F22" s="8">
        <f>Data!E19</f>
        <v>61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/>
      <c r="B23" s="1"/>
      <c r="C23" s="1"/>
      <c r="D23" s="1"/>
      <c r="E23" s="8">
        <f>Data!B20</f>
        <v>60.5</v>
      </c>
      <c r="F23" s="8">
        <f>Data!E20</f>
        <v>40.6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>
      <c r="A24" s="1"/>
      <c r="B24" s="1"/>
      <c r="C24" s="1"/>
      <c r="D24" s="1"/>
      <c r="E24" s="8">
        <f>Data!B21</f>
        <v>138.4</v>
      </c>
      <c r="F24" s="8">
        <f>Data!E21</f>
        <v>58.9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1"/>
      <c r="B25" s="1"/>
      <c r="C25" s="1"/>
      <c r="D25" s="1"/>
      <c r="E25" s="8">
        <f>Data!B22</f>
        <v>158.30000000000001</v>
      </c>
      <c r="F25" s="8">
        <f>Data!E22</f>
        <v>56.8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>
      <c r="A26" s="1"/>
      <c r="B26" s="1"/>
      <c r="C26" s="1"/>
      <c r="D26" s="1"/>
      <c r="E26" s="8">
        <f>Data!B23</f>
        <v>144.5</v>
      </c>
      <c r="F26" s="8">
        <f>Data!E23</f>
        <v>54.5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"/>
      <c r="B27" s="1"/>
      <c r="C27" s="1"/>
      <c r="D27" s="1"/>
      <c r="E27" s="8">
        <f>Data!B24</f>
        <v>113.2</v>
      </c>
      <c r="F27" s="8">
        <f>Data!E24</f>
        <v>51.1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>
      <c r="A28" s="1"/>
      <c r="B28" s="1"/>
      <c r="C28" s="1"/>
      <c r="D28" s="1"/>
      <c r="E28" s="8">
        <f>Data!B25</f>
        <v>116</v>
      </c>
      <c r="F28" s="8">
        <f>Data!E25</f>
        <v>52.1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"/>
      <c r="B29" s="1"/>
      <c r="C29" s="1"/>
      <c r="D29" s="1"/>
      <c r="E29" s="8">
        <f>Data!B26</f>
        <v>137.9</v>
      </c>
      <c r="F29" s="8">
        <f>Data!E26</f>
        <v>54.8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1"/>
      <c r="B30" s="1"/>
      <c r="C30" s="1"/>
      <c r="D30" s="1"/>
      <c r="E30" s="8">
        <f>Data!B27</f>
        <v>90.7</v>
      </c>
      <c r="F30" s="8">
        <f>Data!E27</f>
        <v>47.3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/>
      <c r="B31" s="1"/>
      <c r="C31" s="1"/>
      <c r="D31" s="1"/>
      <c r="E31" s="8">
        <f>Data!B28</f>
        <v>125.5</v>
      </c>
      <c r="F31" s="8">
        <f>Data!E28</f>
        <v>48.2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A32" s="1"/>
      <c r="B32" s="1"/>
      <c r="C32" s="1"/>
      <c r="D32" s="1"/>
      <c r="E32" s="8">
        <f>Data!B29</f>
        <v>112.1</v>
      </c>
      <c r="F32" s="8">
        <f>Data!E29</f>
        <v>52.3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1"/>
      <c r="B33" s="1"/>
      <c r="C33" s="1"/>
      <c r="D33" s="1"/>
      <c r="E33" s="8">
        <f>Data!B30</f>
        <v>105</v>
      </c>
      <c r="F33" s="8">
        <f>Data!E30</f>
        <v>51.6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1"/>
      <c r="B34" s="1"/>
      <c r="C34" s="1"/>
      <c r="D34" s="1"/>
      <c r="E34" s="8">
        <f>Data!B31</f>
        <v>132.19999999999999</v>
      </c>
      <c r="F34" s="8">
        <f>Data!E31</f>
        <v>49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>
      <c r="A35" s="1"/>
      <c r="B35" s="1"/>
      <c r="C35" s="1"/>
      <c r="D35" s="1"/>
      <c r="E35" s="8">
        <f>Data!B32</f>
        <v>140.1</v>
      </c>
      <c r="F35" s="8">
        <f>Data!E32</f>
        <v>56.5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>
      <c r="A36" s="1"/>
      <c r="B36" s="1"/>
      <c r="C36" s="1"/>
      <c r="D36" s="1"/>
      <c r="E36" s="8">
        <f>Data!B33</f>
        <v>134.69999999999999</v>
      </c>
      <c r="F36" s="8">
        <f>Data!E33</f>
        <v>56.6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1"/>
      <c r="B37" s="1"/>
      <c r="C37" s="1"/>
      <c r="D37" s="1"/>
      <c r="E37" s="8">
        <f>Data!B34</f>
        <v>171.1</v>
      </c>
      <c r="F37" s="8">
        <f>Data!E34</f>
        <v>62.5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1"/>
      <c r="B38" s="1"/>
      <c r="C38" s="1"/>
      <c r="D38" s="1"/>
      <c r="E38" s="8">
        <f>Data!B35</f>
        <v>108.1</v>
      </c>
      <c r="F38" s="8">
        <f>Data!E35</f>
        <v>47.9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1"/>
      <c r="B39" s="1"/>
      <c r="C39" s="1"/>
      <c r="D39" s="1"/>
      <c r="E39" s="8">
        <f>Data!B36</f>
        <v>137.1</v>
      </c>
      <c r="F39" s="8">
        <f>Data!E36</f>
        <v>49.3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>
      <c r="A40" s="1"/>
      <c r="B40" s="1"/>
      <c r="C40" s="1"/>
      <c r="D40" s="1"/>
      <c r="E40" s="8">
        <f>Data!B37</f>
        <v>135.6</v>
      </c>
      <c r="F40" s="8">
        <f>Data!E37</f>
        <v>51.8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>
      <c r="A41" s="1"/>
      <c r="B41" s="1"/>
      <c r="C41" s="1"/>
      <c r="D41" s="1"/>
      <c r="E41" s="8">
        <f>Data!B38</f>
        <v>94</v>
      </c>
      <c r="F41" s="8">
        <f>Data!E38</f>
        <v>50.3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>
      <c r="A42" s="1"/>
      <c r="B42" s="1"/>
      <c r="C42" s="1"/>
      <c r="D42" s="1"/>
      <c r="E42" s="8">
        <f>Data!B39</f>
        <v>130</v>
      </c>
      <c r="F42" s="8">
        <f>Data!E39</f>
        <v>52.1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A43" s="1"/>
      <c r="B43" s="1"/>
      <c r="C43" s="1"/>
      <c r="D43" s="1"/>
      <c r="E43" s="8">
        <f>Data!B40</f>
        <v>161.5</v>
      </c>
      <c r="F43" s="8">
        <f>Data!E40</f>
        <v>50.2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>
      <c r="A44" s="1"/>
      <c r="B44" s="1"/>
      <c r="C44" s="1"/>
      <c r="D44" s="1"/>
      <c r="E44" s="8">
        <f>Data!B41</f>
        <v>88.2</v>
      </c>
      <c r="F44" s="8">
        <f>Data!E41</f>
        <v>50.3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>
      <c r="A45" s="1"/>
      <c r="B45" s="1"/>
      <c r="C45" s="1"/>
      <c r="D45" s="1"/>
      <c r="E45" s="8">
        <f>Data!B42</f>
        <v>132.80000000000001</v>
      </c>
      <c r="F45" s="8">
        <f>Data!E42</f>
        <v>51.8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>
      <c r="A46" s="1"/>
      <c r="B46" s="1"/>
      <c r="C46" s="1"/>
      <c r="D46" s="1"/>
      <c r="E46" s="8">
        <f>Data!B43</f>
        <v>129.9</v>
      </c>
      <c r="F46" s="8">
        <f>Data!E43</f>
        <v>58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>
      <c r="A47" s="1"/>
      <c r="B47" s="1"/>
      <c r="C47" s="1"/>
      <c r="D47" s="1"/>
      <c r="E47" s="8">
        <f>Data!B44</f>
        <v>115.3</v>
      </c>
      <c r="F47" s="8">
        <f>Data!E44</f>
        <v>51.9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A48" s="1"/>
      <c r="B48" s="1"/>
      <c r="C48" s="1"/>
      <c r="D48" s="1"/>
      <c r="E48" s="8">
        <f>Data!B45</f>
        <v>128.30000000000001</v>
      </c>
      <c r="F48" s="8">
        <f>Data!E45</f>
        <v>55.3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>
      <c r="A49" s="1"/>
      <c r="B49" s="1"/>
      <c r="C49" s="1"/>
      <c r="D49" s="1"/>
      <c r="E49" s="8">
        <f>Data!B46</f>
        <v>141.80000000000001</v>
      </c>
      <c r="F49" s="8">
        <f>Data!E46</f>
        <v>62.8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>
      <c r="A50" s="1"/>
      <c r="B50" s="1"/>
      <c r="C50" s="1"/>
      <c r="D50" s="1"/>
      <c r="E50" s="8">
        <f>Data!B47</f>
        <v>109.1</v>
      </c>
      <c r="F50" s="8">
        <f>Data!E47</f>
        <v>45.3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>
      <c r="A51" s="1"/>
      <c r="B51" s="1"/>
      <c r="C51" s="1"/>
      <c r="D51" s="1"/>
      <c r="E51" s="8">
        <f>Data!B48</f>
        <v>63.4</v>
      </c>
      <c r="F51" s="8">
        <f>Data!E48</f>
        <v>39.700000000000003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>
      <c r="A52" s="1"/>
      <c r="B52" s="1"/>
      <c r="C52" s="1"/>
      <c r="D52" s="1"/>
      <c r="E52" s="8">
        <f>Data!B49</f>
        <v>125.9</v>
      </c>
      <c r="F52" s="8">
        <f>Data!E49</f>
        <v>55.6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>
      <c r="A53" s="1"/>
      <c r="B53" s="1"/>
      <c r="C53" s="1"/>
      <c r="D53" s="1"/>
      <c r="E53" s="8">
        <f>Data!B50</f>
        <v>104.1</v>
      </c>
      <c r="F53" s="8">
        <f>Data!E50</f>
        <v>44.9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>
      <c r="A54" s="1"/>
      <c r="B54" s="1"/>
      <c r="C54" s="1"/>
      <c r="D54" s="1"/>
      <c r="E54" s="8">
        <f>Data!B51</f>
        <v>139.30000000000001</v>
      </c>
      <c r="F54" s="8">
        <f>Data!E51</f>
        <v>53.4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>
      <c r="A55" s="1"/>
      <c r="B55" s="1"/>
      <c r="C55" s="1"/>
      <c r="D55" s="1"/>
      <c r="E55" s="8">
        <f>Data!B52</f>
        <v>139.1</v>
      </c>
      <c r="F55" s="8">
        <f>Data!E52</f>
        <v>57.2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>
      <c r="A56" s="1"/>
      <c r="B56" s="1"/>
      <c r="C56" s="1"/>
      <c r="D56" s="1"/>
      <c r="E56" s="8">
        <f>Data!B53</f>
        <v>145.19999999999999</v>
      </c>
      <c r="F56" s="8">
        <f>Data!E53</f>
        <v>59.5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>
      <c r="A57" s="1"/>
      <c r="B57" s="1"/>
      <c r="C57" s="1"/>
      <c r="D57" s="1"/>
      <c r="E57" s="8">
        <f>Data!B54</f>
        <v>133.80000000000001</v>
      </c>
      <c r="F57" s="8">
        <f>Data!E54</f>
        <v>51.8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>
      <c r="A58" s="1"/>
      <c r="B58" s="1"/>
      <c r="C58" s="1"/>
      <c r="D58" s="1"/>
      <c r="E58" s="8">
        <f>Data!B55</f>
        <v>109.5</v>
      </c>
      <c r="F58" s="8">
        <f>Data!E55</f>
        <v>50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>
      <c r="A59" s="1"/>
      <c r="B59" s="1"/>
      <c r="C59" s="1"/>
      <c r="D59" s="1"/>
      <c r="E59" s="8">
        <f>Data!B56</f>
        <v>105.2</v>
      </c>
      <c r="F59" s="8">
        <f>Data!E56</f>
        <v>52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>
      <c r="A60" s="1"/>
      <c r="B60" s="1"/>
      <c r="C60" s="1"/>
      <c r="D60" s="1"/>
      <c r="E60" s="8">
        <f>Data!B57</f>
        <v>123</v>
      </c>
      <c r="F60" s="8">
        <f>Data!E57</f>
        <v>49.3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>
      <c r="A61" s="1"/>
      <c r="B61" s="1"/>
      <c r="C61" s="1"/>
      <c r="D61" s="1"/>
      <c r="E61" s="8">
        <f>Data!B58</f>
        <v>116.3</v>
      </c>
      <c r="F61" s="8">
        <f>Data!E58</f>
        <v>51.6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>
      <c r="A62" s="1"/>
      <c r="B62" s="1"/>
      <c r="C62" s="1"/>
      <c r="D62" s="1"/>
      <c r="E62" s="8">
        <f>Data!B59</f>
        <v>143.4</v>
      </c>
      <c r="F62" s="8">
        <f>Data!E59</f>
        <v>51.5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>
      <c r="A63" s="1"/>
      <c r="B63" s="1"/>
      <c r="C63" s="1"/>
      <c r="D63" s="1"/>
      <c r="E63" s="8">
        <f>Data!B60</f>
        <v>142.4</v>
      </c>
      <c r="F63" s="8">
        <f>Data!E60</f>
        <v>58.4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>
      <c r="A64" s="1"/>
      <c r="B64" s="1"/>
      <c r="C64" s="1"/>
      <c r="D64" s="1"/>
      <c r="E64" s="8">
        <f>Data!B61</f>
        <v>119.5</v>
      </c>
      <c r="F64" s="8">
        <f>Data!E61</f>
        <v>56.5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>
      <c r="A65" s="1"/>
      <c r="B65" s="1"/>
      <c r="C65" s="1"/>
      <c r="D65" s="1"/>
      <c r="E65" s="8">
        <f>Data!B62</f>
        <v>128.1</v>
      </c>
      <c r="F65" s="8">
        <f>Data!E62</f>
        <v>51.6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>
      <c r="A66" s="1"/>
      <c r="B66" s="1"/>
      <c r="C66" s="1"/>
      <c r="D66" s="1"/>
      <c r="E66" s="8">
        <f>Data!B63</f>
        <v>124.3</v>
      </c>
      <c r="F66" s="8">
        <f>Data!E63</f>
        <v>58.1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>
      <c r="A67" s="1"/>
      <c r="B67" s="1"/>
      <c r="C67" s="1"/>
      <c r="D67" s="1"/>
      <c r="E67" s="8">
        <f>Data!B64</f>
        <v>141.1</v>
      </c>
      <c r="F67" s="8">
        <f>Data!E64</f>
        <v>53.3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>
      <c r="A68" s="1"/>
      <c r="B68" s="1"/>
      <c r="C68" s="1"/>
      <c r="D68" s="1"/>
      <c r="E68" s="8">
        <f>Data!B65</f>
        <v>186</v>
      </c>
      <c r="F68" s="8">
        <f>Data!E65</f>
        <v>62.9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>
      <c r="A69" s="1"/>
      <c r="B69" s="1"/>
      <c r="C69" s="1"/>
      <c r="D69" s="1"/>
      <c r="E69" s="8">
        <f>Data!B66</f>
        <v>94.3</v>
      </c>
      <c r="F69" s="8">
        <f>Data!E66</f>
        <v>47.2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1"/>
      <c r="B70" s="1"/>
      <c r="C70" s="1"/>
      <c r="D70" s="1"/>
      <c r="E70" s="8">
        <f>Data!B67</f>
        <v>102.9</v>
      </c>
      <c r="F70" s="8">
        <f>Data!E67</f>
        <v>45.6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>
      <c r="A71" s="1"/>
      <c r="B71" s="1"/>
      <c r="C71" s="1"/>
      <c r="D71" s="1"/>
      <c r="E71" s="8">
        <f>Data!B68</f>
        <v>186.9</v>
      </c>
      <c r="F71" s="8">
        <f>Data!E68</f>
        <v>59.2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>
      <c r="A72" s="1"/>
      <c r="B72" s="1"/>
      <c r="C72" s="1"/>
      <c r="D72" s="1"/>
      <c r="E72" s="8">
        <f>Data!B69</f>
        <v>120.3</v>
      </c>
      <c r="F72" s="8">
        <f>Data!E69</f>
        <v>56.3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>
      <c r="A73" s="1"/>
      <c r="B73" s="1"/>
      <c r="C73" s="1"/>
      <c r="D73" s="1"/>
      <c r="E73" s="8">
        <f>Data!B70</f>
        <v>128.80000000000001</v>
      </c>
      <c r="F73" s="8">
        <f>Data!E70</f>
        <v>51.5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>
      <c r="A74" s="1"/>
      <c r="B74" s="1"/>
      <c r="C74" s="1"/>
      <c r="D74" s="1"/>
      <c r="E74" s="8">
        <f>Data!B71</f>
        <v>158.19999999999999</v>
      </c>
      <c r="F74" s="8">
        <f>Data!E71</f>
        <v>63.2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>
      <c r="A75" s="1"/>
      <c r="B75" s="1"/>
      <c r="C75" s="1"/>
      <c r="D75" s="1"/>
      <c r="E75" s="8">
        <f>Data!B72</f>
        <v>114.6</v>
      </c>
      <c r="F75" s="8">
        <f>Data!E72</f>
        <v>51.3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>
      <c r="A76" s="1"/>
      <c r="B76" s="1"/>
      <c r="C76" s="1"/>
      <c r="D76" s="1"/>
      <c r="E76" s="8">
        <f>Data!B73</f>
        <v>141</v>
      </c>
      <c r="F76" s="8">
        <f>Data!E73</f>
        <v>54.3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/>
      <c r="B77" s="1"/>
      <c r="C77" s="1"/>
      <c r="D77" s="1"/>
      <c r="E77" s="8">
        <f>Data!B74</f>
        <v>110.8</v>
      </c>
      <c r="F77" s="8">
        <f>Data!E74</f>
        <v>50.9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1"/>
      <c r="B78" s="1"/>
      <c r="C78" s="1"/>
      <c r="D78" s="1"/>
      <c r="E78" s="8">
        <f>Data!B75</f>
        <v>120.9</v>
      </c>
      <c r="F78" s="8">
        <f>Data!E75</f>
        <v>50.2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1"/>
      <c r="B79" s="1"/>
      <c r="C79" s="1"/>
      <c r="D79" s="1"/>
      <c r="E79" s="8">
        <f>Data!B76</f>
        <v>97.6</v>
      </c>
      <c r="F79" s="8">
        <f>Data!E76</f>
        <v>48.4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1"/>
      <c r="C80" s="1"/>
      <c r="D80" s="1"/>
      <c r="E80" s="8">
        <f>Data!B77</f>
        <v>153.1</v>
      </c>
      <c r="F80" s="8">
        <f>Data!E77</f>
        <v>59.2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>
      <c r="A81" s="1"/>
      <c r="B81" s="1"/>
      <c r="C81" s="1"/>
      <c r="D81" s="1"/>
      <c r="E81" s="8">
        <f>Data!B78</f>
        <v>126.5</v>
      </c>
      <c r="F81" s="8">
        <f>Data!E78</f>
        <v>52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>
      <c r="A82" s="1"/>
      <c r="B82" s="1"/>
      <c r="C82" s="1"/>
      <c r="D82" s="1"/>
      <c r="E82" s="8">
        <f>Data!B79</f>
        <v>160.19999999999999</v>
      </c>
      <c r="F82" s="8">
        <f>Data!E79</f>
        <v>59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>
      <c r="A83" s="1"/>
      <c r="B83" s="1"/>
      <c r="C83" s="1"/>
      <c r="D83" s="1"/>
      <c r="E83" s="8">
        <f>Data!B80</f>
        <v>179.1</v>
      </c>
      <c r="F83" s="8">
        <f>Data!E80</f>
        <v>63.2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>
      <c r="A84" s="1"/>
      <c r="B84" s="1"/>
      <c r="C84" s="1"/>
      <c r="D84" s="1"/>
      <c r="E84" s="8">
        <f>Data!B81</f>
        <v>116.7</v>
      </c>
      <c r="F84" s="8">
        <f>Data!E81</f>
        <v>54.2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>
      <c r="A85" s="1"/>
      <c r="B85" s="1"/>
      <c r="C85" s="1"/>
      <c r="D85" s="1"/>
      <c r="E85" s="8">
        <f>Data!B82</f>
        <v>132.19999999999999</v>
      </c>
      <c r="F85" s="8">
        <f>Data!E82</f>
        <v>59.3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>
      <c r="A86" s="1"/>
      <c r="B86" s="1"/>
      <c r="C86" s="1"/>
      <c r="D86" s="1"/>
      <c r="E86" s="8">
        <f>Data!B83</f>
        <v>111</v>
      </c>
      <c r="F86" s="8">
        <f>Data!E83</f>
        <v>53.1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>
      <c r="A87" s="1"/>
      <c r="B87" s="1"/>
      <c r="C87" s="1"/>
      <c r="D87" s="1"/>
      <c r="E87" s="8">
        <f>Data!B84</f>
        <v>116.3</v>
      </c>
      <c r="F87" s="8">
        <f>Data!E84</f>
        <v>49.6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>
      <c r="A88" s="1"/>
      <c r="B88" s="1"/>
      <c r="C88" s="1"/>
      <c r="D88" s="1"/>
      <c r="E88" s="8">
        <f>Data!B85</f>
        <v>120.8</v>
      </c>
      <c r="F88" s="8">
        <f>Data!E85</f>
        <v>53.3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>
      <c r="A89" s="1"/>
      <c r="B89" s="1"/>
      <c r="C89" s="1"/>
      <c r="D89" s="1"/>
      <c r="E89" s="8">
        <f>Data!B86</f>
        <v>126.1</v>
      </c>
      <c r="F89" s="8">
        <f>Data!E86</f>
        <v>58.4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>
      <c r="A90" s="1"/>
      <c r="B90" s="1"/>
      <c r="C90" s="1"/>
      <c r="D90" s="1"/>
      <c r="E90" s="8">
        <f>Data!B87</f>
        <v>141.80000000000001</v>
      </c>
      <c r="F90" s="8">
        <f>Data!E87</f>
        <v>57.4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>
      <c r="A91" s="1"/>
      <c r="B91" s="1"/>
      <c r="C91" s="1"/>
      <c r="D91" s="1"/>
      <c r="E91" s="8">
        <f>Data!B88</f>
        <v>137.9</v>
      </c>
      <c r="F91" s="8">
        <f>Data!E88</f>
        <v>52.8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>
      <c r="A92" s="1"/>
      <c r="B92" s="1"/>
      <c r="C92" s="1"/>
      <c r="D92" s="1"/>
      <c r="E92" s="8">
        <f>Data!B89</f>
        <v>105.8</v>
      </c>
      <c r="F92" s="8">
        <f>Data!E89</f>
        <v>46.6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>
      <c r="A93" s="1"/>
      <c r="B93" s="1"/>
      <c r="C93" s="1"/>
      <c r="D93" s="1"/>
      <c r="E93" s="8">
        <f>Data!B90</f>
        <v>114.4</v>
      </c>
      <c r="F93" s="8">
        <f>Data!E90</f>
        <v>42.4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>
      <c r="A94" s="1"/>
      <c r="B94" s="1"/>
      <c r="C94" s="1"/>
      <c r="D94" s="1"/>
      <c r="E94" s="8">
        <f>Data!B91</f>
        <v>115.2</v>
      </c>
      <c r="F94" s="8">
        <f>Data!E91</f>
        <v>51.3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>
      <c r="A95" s="1"/>
      <c r="B95" s="1"/>
      <c r="C95" s="1"/>
      <c r="D95" s="1"/>
      <c r="E95" s="8">
        <f>Data!B92</f>
        <v>111.6</v>
      </c>
      <c r="F95" s="8">
        <f>Data!E92</f>
        <v>56.6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>
      <c r="A96" s="1"/>
      <c r="B96" s="1"/>
      <c r="C96" s="1"/>
      <c r="D96" s="1"/>
      <c r="E96" s="8">
        <f>Data!B93</f>
        <v>98</v>
      </c>
      <c r="F96" s="8">
        <f>Data!E93</f>
        <v>42.2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>
      <c r="A97" s="1"/>
      <c r="B97" s="1"/>
      <c r="C97" s="1"/>
      <c r="D97" s="1"/>
      <c r="E97" s="8">
        <f>Data!B94</f>
        <v>149.19999999999999</v>
      </c>
      <c r="F97" s="8">
        <f>Data!E94</f>
        <v>60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>
      <c r="A98" s="1"/>
      <c r="B98" s="1"/>
      <c r="C98" s="1"/>
      <c r="D98" s="1"/>
      <c r="E98" s="8">
        <f>Data!B95</f>
        <v>107.4</v>
      </c>
      <c r="F98" s="8">
        <f>Data!E95</f>
        <v>54.6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>
      <c r="A99" s="1"/>
      <c r="B99" s="1"/>
      <c r="C99" s="1"/>
      <c r="D99" s="1"/>
      <c r="E99" s="8">
        <f>Data!B96</f>
        <v>116.9</v>
      </c>
      <c r="F99" s="8">
        <f>Data!E96</f>
        <v>49.3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>
      <c r="A100" s="1"/>
      <c r="B100" s="1"/>
      <c r="C100" s="1"/>
      <c r="D100" s="1"/>
      <c r="E100" s="8">
        <f>Data!B97</f>
        <v>146.6</v>
      </c>
      <c r="F100" s="8">
        <f>Data!E97</f>
        <v>66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>
      <c r="A101" s="1"/>
      <c r="B101" s="1"/>
      <c r="C101" s="1"/>
      <c r="D101" s="1"/>
      <c r="E101" s="8">
        <f>Data!B98</f>
        <v>121.6</v>
      </c>
      <c r="F101" s="8">
        <f>Data!E98</f>
        <v>46.8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>
      <c r="A102" s="1"/>
      <c r="B102" s="1"/>
      <c r="C102" s="1"/>
      <c r="D102" s="1"/>
      <c r="E102" s="8">
        <f>Data!B99</f>
        <v>163.4</v>
      </c>
      <c r="F102" s="8">
        <f>Data!E99</f>
        <v>63.6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>
      <c r="A103" s="1"/>
      <c r="B103" s="1"/>
      <c r="C103" s="1"/>
      <c r="D103" s="1"/>
      <c r="E103" s="8">
        <f>Data!B100</f>
        <v>106.2</v>
      </c>
      <c r="F103" s="8">
        <f>Data!E100</f>
        <v>48.4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>
      <c r="A104" s="1"/>
      <c r="B104" s="1"/>
      <c r="C104" s="1"/>
      <c r="D104" s="1"/>
      <c r="E104" s="8">
        <f>Data!B101</f>
        <v>142.69999999999999</v>
      </c>
      <c r="F104" s="8">
        <f>Data!E101</f>
        <v>57.9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>
      <c r="A105" s="1"/>
      <c r="B105" s="1"/>
      <c r="C105" s="1"/>
      <c r="D105" s="1"/>
      <c r="E105" s="8">
        <f>Data!B102</f>
        <v>131</v>
      </c>
      <c r="F105" s="8">
        <f>Data!E102</f>
        <v>56.4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>
      <c r="A106" s="1"/>
      <c r="B106" s="1"/>
      <c r="C106" s="1"/>
      <c r="D106" s="1"/>
      <c r="E106" s="8">
        <f>Data!B103</f>
        <v>151.4</v>
      </c>
      <c r="F106" s="8">
        <f>Data!E103</f>
        <v>54.9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>
      <c r="A107" s="1"/>
      <c r="B107" s="1"/>
      <c r="C107" s="1"/>
      <c r="D107" s="1"/>
      <c r="E107" s="8">
        <f>Data!B104</f>
        <v>163.4</v>
      </c>
      <c r="F107" s="8">
        <f>Data!E104</f>
        <v>58.9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>
      <c r="A108" s="1"/>
      <c r="B108" s="1"/>
      <c r="C108" s="1"/>
      <c r="D108" s="1"/>
      <c r="E108" s="8">
        <f>Data!B105</f>
        <v>72.3</v>
      </c>
      <c r="F108" s="8">
        <f>Data!E105</f>
        <v>39.299999999999997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>
      <c r="A109" s="1"/>
      <c r="B109" s="1"/>
      <c r="C109" s="1"/>
      <c r="D109" s="1"/>
      <c r="E109" s="8">
        <f>Data!B106</f>
        <v>85.4</v>
      </c>
      <c r="F109" s="8">
        <f>Data!E106</f>
        <v>49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>
      <c r="A110" s="1"/>
      <c r="B110" s="1"/>
      <c r="C110" s="1"/>
      <c r="D110" s="1"/>
      <c r="E110" s="8">
        <f>Data!B107</f>
        <v>129.6</v>
      </c>
      <c r="F110" s="8">
        <f>Data!E107</f>
        <v>53.3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>
      <c r="A111" s="1"/>
      <c r="B111" s="1"/>
      <c r="C111" s="1"/>
      <c r="D111" s="1"/>
      <c r="E111" s="8">
        <f>Data!B108</f>
        <v>139.1</v>
      </c>
      <c r="F111" s="8">
        <f>Data!E108</f>
        <v>57.7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>
      <c r="A112" s="1"/>
      <c r="B112" s="1"/>
      <c r="C112" s="1"/>
      <c r="D112" s="1"/>
      <c r="E112" s="8">
        <f>Data!B109</f>
        <v>133.30000000000001</v>
      </c>
      <c r="F112" s="8">
        <f>Data!E109</f>
        <v>45.6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>
      <c r="A113" s="1"/>
      <c r="B113" s="1"/>
      <c r="C113" s="1"/>
      <c r="D113" s="1"/>
      <c r="E113" s="8">
        <f>Data!B110</f>
        <v>106.5</v>
      </c>
      <c r="F113" s="8">
        <f>Data!E110</f>
        <v>49.3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>
      <c r="A114" s="1"/>
      <c r="B114" s="1"/>
      <c r="C114" s="1"/>
      <c r="D114" s="1"/>
      <c r="E114" s="8">
        <f>Data!B111</f>
        <v>146.80000000000001</v>
      </c>
      <c r="F114" s="8">
        <f>Data!E111</f>
        <v>58.4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>
      <c r="A115" s="1"/>
      <c r="B115" s="1"/>
      <c r="C115" s="1"/>
      <c r="D115" s="1"/>
      <c r="E115" s="8">
        <f>Data!B112</f>
        <v>120</v>
      </c>
      <c r="F115" s="8">
        <f>Data!E112</f>
        <v>57.8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>
      <c r="A116" s="1"/>
      <c r="B116" s="1"/>
      <c r="C116" s="1"/>
      <c r="D116" s="1"/>
      <c r="E116" s="8">
        <f>Data!B113</f>
        <v>151</v>
      </c>
      <c r="F116" s="8">
        <f>Data!E113</f>
        <v>70.400000000000006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>
      <c r="A117" s="1"/>
      <c r="B117" s="1"/>
      <c r="C117" s="1"/>
      <c r="D117" s="1"/>
      <c r="E117" s="8">
        <f>Data!B114</f>
        <v>82.1</v>
      </c>
      <c r="F117" s="8">
        <f>Data!E114</f>
        <v>50.3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>
      <c r="A118" s="1"/>
      <c r="B118" s="1"/>
      <c r="C118" s="1"/>
      <c r="D118" s="1"/>
      <c r="E118" s="8">
        <f>Data!B115</f>
        <v>115.1</v>
      </c>
      <c r="F118" s="8">
        <f>Data!E115</f>
        <v>52.3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>
      <c r="A119" s="1"/>
      <c r="B119" s="1"/>
      <c r="C119" s="1"/>
      <c r="D119" s="1"/>
      <c r="E119" s="8">
        <f>Data!B116</f>
        <v>58.3</v>
      </c>
      <c r="F119" s="8">
        <f>Data!E116</f>
        <v>46.8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>
      <c r="A120" s="1"/>
      <c r="B120" s="1"/>
      <c r="C120" s="1"/>
      <c r="D120" s="1"/>
      <c r="E120" s="8">
        <f>Data!B117</f>
        <v>121.4</v>
      </c>
      <c r="F120" s="8">
        <f>Data!E117</f>
        <v>51.6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>
      <c r="A121" s="1"/>
      <c r="B121" s="1"/>
      <c r="C121" s="1"/>
      <c r="D121" s="1"/>
      <c r="E121" s="8">
        <f>Data!B118</f>
        <v>85.9</v>
      </c>
      <c r="F121" s="8">
        <f>Data!E118</f>
        <v>45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>
      <c r="A122" s="1"/>
      <c r="B122" s="1"/>
      <c r="C122" s="1"/>
      <c r="D122" s="1"/>
      <c r="E122" s="8">
        <f>Data!B119</f>
        <v>100.7</v>
      </c>
      <c r="F122" s="8">
        <f>Data!E119</f>
        <v>56.7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>
      <c r="A123" s="1"/>
      <c r="B123" s="1"/>
      <c r="C123" s="1"/>
      <c r="D123" s="1"/>
      <c r="E123" s="8">
        <f>Data!B120</f>
        <v>151.4</v>
      </c>
      <c r="F123" s="8">
        <f>Data!E120</f>
        <v>60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>
      <c r="A124" s="1"/>
      <c r="B124" s="1"/>
      <c r="C124" s="1"/>
      <c r="D124" s="1"/>
      <c r="E124" s="8">
        <f>Data!B121</f>
        <v>133.30000000000001</v>
      </c>
      <c r="F124" s="8">
        <f>Data!E121</f>
        <v>60.1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</sheetData>
  <mergeCells count="3">
    <mergeCell ref="A1:J1"/>
    <mergeCell ref="A2:J2"/>
    <mergeCell ref="A17:C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Slade, Peter</cp:lastModifiedBy>
  <cp:revision/>
  <dcterms:created xsi:type="dcterms:W3CDTF">2026-08-22T17:04:07Z</dcterms:created>
  <dcterms:modified xsi:type="dcterms:W3CDTF">2026-08-22T17:04:07Z</dcterms:modified>
  <cp:category/>
  <cp:contentStatus/>
</cp:coreProperties>
</file>