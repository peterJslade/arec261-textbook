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Ex2.xml" ContentType="application/vnd.ms-office.chartex+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202300"/>
  <mc:AlternateContent xmlns:mc="http://schemas.openxmlformats.org/markup-compatibility/2006">
    <mc:Choice Requires="x15">
      <x15ac:absPath xmlns:x15ac="http://schemas.microsoft.com/office/spreadsheetml/2010/11/ac" url="https://usaskca1-my.sharepoint.com/personal/pjs998_usask_ca/Documents/Teaching/261/2026/textbook_261/textbook_examples/"/>
    </mc:Choice>
  </mc:AlternateContent>
  <xr:revisionPtr revIDLastSave="174" documentId="8_{E03AF2A9-D327-A541-ADB2-E7D79CDD9711}" xr6:coauthVersionLast="47" xr6:coauthVersionMax="47" xr10:uidLastSave="{51A4EEE3-DE4D-2348-8733-3B89D4BE7247}"/>
  <bookViews>
    <workbookView xWindow="1620" yWindow="900" windowWidth="27640" windowHeight="18120" activeTab="4" xr2:uid="{E0A39ED0-7C98-1C4C-834F-3D01DA12686E}"/>
  </bookViews>
  <sheets>
    <sheet name="README" sheetId="3" r:id="rId1"/>
    <sheet name="Raw_data" sheetId="2" r:id="rId2"/>
    <sheet name="Calculated_data" sheetId="1" r:id="rId3"/>
    <sheet name="Histogram" sheetId="4" r:id="rId4"/>
    <sheet name="Box_whisker_plot" sheetId="5" r:id="rId5"/>
  </sheets>
  <definedNames>
    <definedName name="_xlchart.v1.0" hidden="1">Calculated_data!$C$2:$C$33</definedName>
    <definedName name="_xlchart.v1.1" hidden="1">Histogram!$A$3:$A$34</definedName>
    <definedName name="_xlchart.v1.2" hidden="1">Histogram!$A$3:$A$34</definedName>
    <definedName name="_xlchart.v1.3" hidden="1">Histogram!$A$3:$A$34</definedName>
    <definedName name="_xlchart.v1.4" hidden="1">Box_whisker_plot!$A$3:$A$34</definedName>
    <definedName name="_xlchart.v1.5" hidden="1">Box_whisker_plot!$A$3:$A$34</definedName>
    <definedName name="_xlchart.v1.6" hidden="1">Box_whisker_plot!$A$3:$A$34</definedName>
    <definedName name="_xlchart.v1.7" hidden="1">Box_whisker_plot!$A$3:$A$34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1" i="1" l="1"/>
  <c r="C50" i="1"/>
  <c r="C48" i="1"/>
  <c r="C49" i="1"/>
  <c r="C41" i="1"/>
  <c r="C38" i="1"/>
  <c r="F35" i="1"/>
  <c r="D35" i="1"/>
  <c r="B35" i="1"/>
  <c r="F29" i="1"/>
  <c r="F28" i="1"/>
  <c r="F25" i="1"/>
  <c r="F22" i="1"/>
  <c r="F12" i="1"/>
  <c r="F11" i="1"/>
  <c r="D33" i="1"/>
  <c r="F33" i="1" s="1"/>
  <c r="D32" i="1"/>
  <c r="F32" i="1" s="1"/>
  <c r="D31" i="1"/>
  <c r="F31" i="1" s="1"/>
  <c r="D30" i="1"/>
  <c r="F30" i="1" s="1"/>
  <c r="D29" i="1"/>
  <c r="D28" i="1"/>
  <c r="D27" i="1"/>
  <c r="F27" i="1" s="1"/>
  <c r="D26" i="1"/>
  <c r="F26" i="1" s="1"/>
  <c r="D25" i="1"/>
  <c r="D24" i="1"/>
  <c r="F24" i="1" s="1"/>
  <c r="D23" i="1"/>
  <c r="F23" i="1" s="1"/>
  <c r="D22" i="1"/>
  <c r="D21" i="1"/>
  <c r="F21" i="1" s="1"/>
  <c r="D20" i="1"/>
  <c r="F20" i="1" s="1"/>
  <c r="D19" i="1"/>
  <c r="F19" i="1" s="1"/>
  <c r="D18" i="1"/>
  <c r="F18" i="1" s="1"/>
  <c r="D17" i="1"/>
  <c r="F17" i="1" s="1"/>
  <c r="D16" i="1"/>
  <c r="F16" i="1" s="1"/>
  <c r="D15" i="1"/>
  <c r="F15" i="1" s="1"/>
  <c r="D14" i="1"/>
  <c r="F14" i="1" s="1"/>
  <c r="D13" i="1"/>
  <c r="F13" i="1" s="1"/>
  <c r="D12" i="1"/>
  <c r="D11" i="1"/>
  <c r="D10" i="1"/>
  <c r="F10" i="1" s="1"/>
  <c r="D9" i="1"/>
  <c r="F9" i="1" s="1"/>
  <c r="D8" i="1"/>
  <c r="F8" i="1" s="1"/>
  <c r="D7" i="1"/>
  <c r="F7" i="1" s="1"/>
  <c r="D6" i="1"/>
  <c r="F6" i="1" s="1"/>
  <c r="D5" i="1"/>
  <c r="F5" i="1" s="1"/>
  <c r="D4" i="1"/>
  <c r="F4" i="1" s="1"/>
  <c r="D3" i="1"/>
  <c r="F3" i="1" s="1"/>
  <c r="D2" i="1"/>
  <c r="F2" i="1" s="1"/>
  <c r="D51" i="1"/>
  <c r="D50" i="1"/>
  <c r="D49" i="1"/>
  <c r="D48" i="1"/>
  <c r="C45" i="1"/>
  <c r="C42" i="1"/>
  <c r="C39" i="1"/>
  <c r="F36" i="1"/>
  <c r="D36" i="1"/>
  <c r="B36" i="1"/>
  <c r="G33" i="1"/>
  <c r="G17" i="1"/>
  <c r="G12" i="1"/>
  <c r="G10" i="1"/>
  <c r="G8" i="1"/>
  <c r="G7" i="1"/>
  <c r="G19" i="1"/>
  <c r="G32" i="1"/>
  <c r="G16" i="1"/>
  <c r="G11" i="1"/>
  <c r="G25" i="1"/>
  <c r="G22" i="1"/>
  <c r="G21" i="1"/>
  <c r="G4" i="1"/>
  <c r="G2" i="1"/>
  <c r="G31" i="1"/>
  <c r="G15" i="1"/>
  <c r="G27" i="1"/>
  <c r="G9" i="1"/>
  <c r="G23" i="1"/>
  <c r="G5" i="1"/>
  <c r="G3" i="1"/>
  <c r="G30" i="1"/>
  <c r="G14" i="1"/>
  <c r="G13" i="1"/>
  <c r="G28" i="1"/>
  <c r="G26" i="1"/>
  <c r="G24" i="1"/>
  <c r="G29" i="1"/>
  <c r="G6" i="1"/>
  <c r="G20" i="1"/>
  <c r="G18" i="1"/>
  <c r="E33" i="1"/>
  <c r="E32" i="1"/>
  <c r="E16" i="1"/>
  <c r="E15" i="1"/>
  <c r="E14" i="1"/>
  <c r="E29" i="1"/>
  <c r="E13" i="1"/>
  <c r="E28" i="1"/>
  <c r="E12" i="1"/>
  <c r="E27" i="1"/>
  <c r="E11" i="1"/>
  <c r="E26" i="1"/>
  <c r="E10" i="1"/>
  <c r="E25" i="1"/>
  <c r="E9" i="1"/>
  <c r="E24" i="1"/>
  <c r="E8" i="1"/>
  <c r="E23" i="1"/>
  <c r="E7" i="1"/>
  <c r="E22" i="1"/>
  <c r="E21" i="1"/>
  <c r="E5" i="1"/>
  <c r="E4" i="1"/>
  <c r="E19" i="1"/>
  <c r="E18" i="1"/>
  <c r="E17" i="1"/>
  <c r="E31" i="1"/>
  <c r="E30" i="1"/>
  <c r="E6" i="1"/>
  <c r="E20" i="1"/>
  <c r="E3" i="1"/>
  <c r="E2" i="1"/>
  <c r="C44" i="1" l="1"/>
</calcChain>
</file>

<file path=xl/sharedStrings.xml><?xml version="1.0" encoding="utf-8"?>
<sst xmlns="http://schemas.openxmlformats.org/spreadsheetml/2006/main" count="93" uniqueCount="56">
  <si>
    <t>Variety</t>
  </si>
  <si>
    <t>Acres</t>
  </si>
  <si>
    <t>Yield_bu_ac</t>
  </si>
  <si>
    <t>SYNERGY AAC</t>
  </si>
  <si>
    <t>AUSTENSON CDC</t>
  </si>
  <si>
    <t>CONNECT AAC</t>
  </si>
  <si>
    <t>COPELAND CDC</t>
  </si>
  <si>
    <t>FRASER CDC</t>
  </si>
  <si>
    <t>CHURCHILL CDC</t>
  </si>
  <si>
    <t>MAVERICK CDC</t>
  </si>
  <si>
    <t>DURANGO CDC</t>
  </si>
  <si>
    <t>ADVANTAGE AB</t>
  </si>
  <si>
    <t>CLAYMORE</t>
  </si>
  <si>
    <t>LEGACY</t>
  </si>
  <si>
    <t>ALTORADO</t>
  </si>
  <si>
    <t>RENEGADE CDC</t>
  </si>
  <si>
    <t>COWBOY CDC</t>
  </si>
  <si>
    <t>CHAMPION</t>
  </si>
  <si>
    <t>GOLDSTAR CDC</t>
  </si>
  <si>
    <t>ESMA</t>
  </si>
  <si>
    <t>CATTLELAC AB</t>
  </si>
  <si>
    <t>OREANA</t>
  </si>
  <si>
    <t>CONLON</t>
  </si>
  <si>
    <t>METCALFE AC</t>
  </si>
  <si>
    <t>HAGUE AB</t>
  </si>
  <si>
    <t>WRANGLER AB</t>
  </si>
  <si>
    <t>BRAHMA</t>
  </si>
  <si>
    <t>NEWDALE</t>
  </si>
  <si>
    <t>CERVEZA</t>
  </si>
  <si>
    <t>ROSSER AC</t>
  </si>
  <si>
    <t>XENA</t>
  </si>
  <si>
    <t>COPPER CDC</t>
  </si>
  <si>
    <t>MCGWIRE CDC</t>
  </si>
  <si>
    <t>ALBRIGHT AC</t>
  </si>
  <si>
    <t>RATTAN CDC</t>
  </si>
  <si>
    <t>Production</t>
  </si>
  <si>
    <t>Revenue</t>
  </si>
  <si>
    <t>Barley price</t>
  </si>
  <si>
    <t>Formula used for production</t>
  </si>
  <si>
    <t>Formula used for revenue</t>
  </si>
  <si>
    <t>Total</t>
  </si>
  <si>
    <t>Total (formula)</t>
  </si>
  <si>
    <t>Average</t>
  </si>
  <si>
    <t>Average (formula)</t>
  </si>
  <si>
    <t>Weighted average</t>
  </si>
  <si>
    <t>Weighted average (formula)</t>
  </si>
  <si>
    <t>Median</t>
  </si>
  <si>
    <t>Median (formula)</t>
  </si>
  <si>
    <t>Coefficient of variation</t>
  </si>
  <si>
    <r>
      <t xml:space="preserve">A note on interpreting variability: </t>
    </r>
    <r>
      <rPr>
        <b/>
        <sz val="12"/>
        <color theme="1"/>
        <rFont val="Aptos Narrow"/>
        <scheme val="minor"/>
      </rPr>
      <t xml:space="preserve">correlation is not casuation!  </t>
    </r>
    <r>
      <rPr>
        <sz val="12"/>
        <color theme="1"/>
        <rFont val="Aptos Narrow"/>
        <scheme val="minor"/>
      </rPr>
      <t xml:space="preserve">The fact that some barley varieties perform worse than others might be due to the varieties themselves.  But is could also be due to the type of farmers that grown them.  Maybe some varieties are a bit more drought tolerant than others.  So farmers who face drought are more likely to use these varieties.  This means that there isn't a fair comparison between varieties. </t>
    </r>
  </si>
  <si>
    <t>Formula</t>
  </si>
  <si>
    <t>Spread of varietal yields</t>
  </si>
  <si>
    <t>Range</t>
  </si>
  <si>
    <t>Variance</t>
  </si>
  <si>
    <t>Standard deviation</t>
  </si>
  <si>
    <t>This workbook contains raw data on acreage and average yields of Barley varieties in Saskatchewan in 2025 and summary statistics of the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</si>
</sst>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3"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2"/>
      <color theme="2" tint="-0.499984740745262"/>
      <name val="Aptos Narrow"/>
      <family val="2"/>
      <scheme val="minor"/>
    </font>
    <font>
      <b/>
      <sz val="12"/>
      <color theme="1"/>
      <name val="Aptos Narrow"/>
      <scheme val="minor"/>
    </font>
    <font>
      <sz val="16"/>
      <color theme="1"/>
      <name val="Aptos Narrow"/>
      <family val="2"/>
      <scheme val="minor"/>
    </font>
    <font>
      <sz val="12"/>
      <color theme="1"/>
      <name val="Aptos Narrow"/>
      <scheme val="minor"/>
    </font>
    <font>
      <b/>
      <sz val="16"/>
      <color theme="1"/>
      <name val="Aptos Narrow"/>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7" tint="0.79998168889431442"/>
        <bgColor indexed="64"/>
      </patternFill>
    </fill>
  </fills>
  <borders count="2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1">
    <xf numFmtId="0" fontId="0" fillId="0" borderId="0" xfId="0"/>
    <xf numFmtId="0" fontId="18" fillId="0" borderId="0" xfId="0" applyFont="1"/>
    <xf numFmtId="3" fontId="0" fillId="0" borderId="0" xfId="0" applyNumberFormat="1" applyBorder="1"/>
    <xf numFmtId="0" fontId="18" fillId="0" borderId="0" xfId="0" applyFont="1" applyBorder="1"/>
    <xf numFmtId="0" fontId="18" fillId="0" borderId="14" xfId="0" applyFont="1" applyBorder="1"/>
    <xf numFmtId="3" fontId="0" fillId="0" borderId="16" xfId="0" applyNumberFormat="1" applyBorder="1"/>
    <xf numFmtId="0" fontId="18" fillId="0" borderId="16" xfId="0" applyFont="1" applyBorder="1"/>
    <xf numFmtId="0" fontId="18" fillId="0" borderId="17" xfId="0" applyFont="1" applyBorder="1"/>
    <xf numFmtId="0" fontId="19" fillId="0" borderId="0" xfId="0" applyFont="1"/>
    <xf numFmtId="0" fontId="0" fillId="36" borderId="18" xfId="0" applyFill="1" applyBorder="1"/>
    <xf numFmtId="0" fontId="0" fillId="36" borderId="20" xfId="0" applyFill="1" applyBorder="1"/>
    <xf numFmtId="0" fontId="0" fillId="34" borderId="13" xfId="0" applyFill="1" applyBorder="1"/>
    <xf numFmtId="3" fontId="0" fillId="34" borderId="0" xfId="0" applyNumberFormat="1" applyFill="1" applyBorder="1"/>
    <xf numFmtId="164" fontId="0" fillId="34" borderId="0" xfId="0" applyNumberFormat="1" applyFill="1" applyBorder="1"/>
    <xf numFmtId="0" fontId="0" fillId="34" borderId="15" xfId="0" applyFill="1" applyBorder="1"/>
    <xf numFmtId="3" fontId="0" fillId="34" borderId="16" xfId="0" applyNumberFormat="1" applyFill="1" applyBorder="1"/>
    <xf numFmtId="164" fontId="0" fillId="34" borderId="16" xfId="0" applyNumberFormat="1" applyFill="1" applyBorder="1"/>
    <xf numFmtId="0" fontId="19" fillId="33" borderId="18" xfId="0" applyFont="1" applyFill="1" applyBorder="1" applyAlignment="1">
      <alignment horizontal="center" wrapText="1"/>
    </xf>
    <xf numFmtId="0" fontId="19" fillId="33" borderId="19" xfId="0" applyFont="1" applyFill="1" applyBorder="1" applyAlignment="1">
      <alignment horizontal="center" wrapText="1"/>
    </xf>
    <xf numFmtId="0" fontId="19" fillId="33" borderId="20" xfId="0" applyFont="1" applyFill="1" applyBorder="1" applyAlignment="1">
      <alignment horizontal="center" wrapText="1"/>
    </xf>
    <xf numFmtId="0" fontId="19" fillId="35" borderId="10" xfId="0" applyFont="1" applyFill="1" applyBorder="1"/>
    <xf numFmtId="0" fontId="0" fillId="35" borderId="11" xfId="0" applyFill="1" applyBorder="1"/>
    <xf numFmtId="0" fontId="18" fillId="35" borderId="11" xfId="0" applyFont="1" applyFill="1" applyBorder="1"/>
    <xf numFmtId="0" fontId="0" fillId="35" borderId="12" xfId="0" applyFill="1" applyBorder="1"/>
    <xf numFmtId="0" fontId="19" fillId="35" borderId="15" xfId="0" applyFont="1" applyFill="1" applyBorder="1"/>
    <xf numFmtId="0" fontId="0" fillId="35" borderId="16" xfId="0" applyFill="1" applyBorder="1"/>
    <xf numFmtId="0" fontId="18" fillId="35" borderId="16" xfId="0" applyFont="1" applyFill="1" applyBorder="1"/>
    <xf numFmtId="0" fontId="0" fillId="35" borderId="17" xfId="0" applyFill="1" applyBorder="1"/>
    <xf numFmtId="0" fontId="21" fillId="35" borderId="11" xfId="0" applyFont="1" applyFill="1" applyBorder="1"/>
    <xf numFmtId="164" fontId="21" fillId="35" borderId="11" xfId="0" applyNumberFormat="1" applyFont="1" applyFill="1" applyBorder="1"/>
    <xf numFmtId="0" fontId="21" fillId="35" borderId="12" xfId="0" applyFont="1" applyFill="1" applyBorder="1"/>
    <xf numFmtId="0" fontId="21" fillId="35" borderId="16" xfId="0" applyFont="1" applyFill="1" applyBorder="1"/>
    <xf numFmtId="0" fontId="21" fillId="35" borderId="17" xfId="0" applyFont="1" applyFill="1" applyBorder="1"/>
    <xf numFmtId="2" fontId="0" fillId="35" borderId="11" xfId="0" applyNumberFormat="1" applyFill="1" applyBorder="1"/>
    <xf numFmtId="0" fontId="19" fillId="33" borderId="10" xfId="0" applyFont="1" applyFill="1" applyBorder="1"/>
    <xf numFmtId="0" fontId="0" fillId="33" borderId="11" xfId="0" applyFill="1" applyBorder="1"/>
    <xf numFmtId="0" fontId="18" fillId="33" borderId="11" xfId="0" applyFont="1" applyFill="1" applyBorder="1"/>
    <xf numFmtId="0" fontId="0" fillId="33" borderId="12" xfId="0" applyFill="1" applyBorder="1"/>
    <xf numFmtId="0" fontId="19" fillId="33" borderId="13" xfId="0" applyFont="1" applyFill="1" applyBorder="1"/>
    <xf numFmtId="0" fontId="0" fillId="33" borderId="0" xfId="0" applyFill="1" applyBorder="1"/>
    <xf numFmtId="164" fontId="0" fillId="33" borderId="0" xfId="0" applyNumberFormat="1" applyFill="1" applyBorder="1"/>
    <xf numFmtId="0" fontId="18" fillId="33" borderId="0" xfId="0" applyFont="1" applyFill="1" applyBorder="1"/>
    <xf numFmtId="0" fontId="0" fillId="33" borderId="14" xfId="0" applyFill="1" applyBorder="1"/>
    <xf numFmtId="0" fontId="19" fillId="33" borderId="15" xfId="0" applyFont="1" applyFill="1" applyBorder="1"/>
    <xf numFmtId="0" fontId="0" fillId="33" borderId="16" xfId="0" applyFill="1" applyBorder="1"/>
    <xf numFmtId="0" fontId="18" fillId="33" borderId="16" xfId="0" applyFont="1" applyFill="1" applyBorder="1"/>
    <xf numFmtId="0" fontId="0" fillId="33" borderId="17" xfId="0" applyFill="1" applyBorder="1"/>
    <xf numFmtId="0" fontId="21" fillId="33" borderId="10" xfId="0" applyFont="1" applyFill="1" applyBorder="1" applyAlignment="1">
      <alignment horizontal="left" wrapText="1"/>
    </xf>
    <xf numFmtId="0" fontId="21" fillId="33" borderId="11" xfId="0" applyFont="1" applyFill="1" applyBorder="1" applyAlignment="1">
      <alignment horizontal="left" wrapText="1"/>
    </xf>
    <xf numFmtId="0" fontId="21" fillId="33" borderId="12" xfId="0" applyFont="1" applyFill="1" applyBorder="1" applyAlignment="1">
      <alignment horizontal="left" wrapText="1"/>
    </xf>
    <xf numFmtId="0" fontId="21" fillId="33" borderId="13" xfId="0" applyFont="1" applyFill="1" applyBorder="1" applyAlignment="1">
      <alignment horizontal="left" wrapText="1"/>
    </xf>
    <xf numFmtId="0" fontId="21" fillId="33" borderId="0" xfId="0" applyFont="1" applyFill="1" applyBorder="1" applyAlignment="1">
      <alignment horizontal="left" wrapText="1"/>
    </xf>
    <xf numFmtId="0" fontId="21" fillId="33" borderId="14" xfId="0" applyFont="1" applyFill="1" applyBorder="1" applyAlignment="1">
      <alignment horizontal="left" wrapText="1"/>
    </xf>
    <xf numFmtId="0" fontId="21" fillId="33" borderId="15" xfId="0" applyFont="1" applyFill="1" applyBorder="1" applyAlignment="1">
      <alignment horizontal="left" wrapText="1"/>
    </xf>
    <xf numFmtId="0" fontId="21" fillId="33" borderId="16" xfId="0" applyFont="1" applyFill="1" applyBorder="1" applyAlignment="1">
      <alignment horizontal="left" wrapText="1"/>
    </xf>
    <xf numFmtId="0" fontId="21" fillId="33" borderId="17" xfId="0" applyFont="1" applyFill="1" applyBorder="1" applyAlignment="1">
      <alignment horizontal="left" wrapText="1"/>
    </xf>
    <xf numFmtId="4" fontId="0" fillId="34" borderId="0" xfId="0" applyNumberFormat="1" applyFill="1" applyBorder="1"/>
    <xf numFmtId="4" fontId="0" fillId="34" borderId="16" xfId="0" applyNumberFormat="1" applyFill="1" applyBorder="1"/>
    <xf numFmtId="0" fontId="20" fillId="0" borderId="0" xfId="0" applyFont="1" applyAlignment="1">
      <alignment wrapText="1"/>
    </xf>
    <xf numFmtId="0" fontId="22" fillId="0" borderId="0" xfId="0" applyFont="1" applyAlignment="1">
      <alignment horizontal="center" wrapText="1"/>
    </xf>
    <xf numFmtId="0" fontId="0" fillId="34"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Histogram of Average Saskatchewan Barley Variety Yields  in 2025</cx:v>
        </cx:txData>
      </cx:tx>
      <cx:txPr>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a:t>
          </a:r>
        </a:p>
      </cx:txPr>
    </cx:title>
    <cx:plotArea>
      <cx:plotAreaRegion>
        <cx:series layoutId="clusteredColumn" uniqueId="{00000000-0544-1644-87B6-0D2A04D2962F}">
          <cx:dataId val="0"/>
          <cx:layoutPr>
            <cx:binning intervalClosed="r" underflow="40" overflow="100">
              <cx:binSize val="15"/>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_xlchart.v1.5</cx:f>
      </cx:numDim>
    </cx:data>
  </cx:chartData>
  <cx:chart>
    <cx:title pos="t" align="ctr" overlay="0">
      <cx:tx>
        <cx:txData>
          <cx:v>Box and Whisker Plot of Saskatchewan Average Barley Variety Yields in 2026</cx:v>
        </cx:txData>
      </cx:tx>
      <cx:txPr>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Box and Whisker Plot of Saskatchewan Average Barley Variety Yields in 2026</a:t>
          </a:r>
        </a:p>
      </cx:txPr>
    </cx:title>
    <cx:plotArea>
      <cx:plotAreaRegion>
        <cx:series layoutId="boxWhisker" uniqueId="{00000000-D8B4-8D48-8E58-3375C50C4539}">
          <cx:spPr>
            <a:solidFill>
              <a:schemeClr val="accent1">
                <a:lumMod val="60000"/>
                <a:lumOff val="40000"/>
              </a:schemeClr>
            </a:solidFill>
          </cx:spPr>
          <cx:dataId val="0"/>
          <cx:layoutPr>
            <cx:visibility meanLine="0" meanMarker="1" nonoutliers="0" outliers="1"/>
            <cx:statistics quartileMethod="exclusive"/>
          </cx:layoutPr>
        </cx:series>
      </cx:plotAreaRegion>
      <cx:axis id="0" hidden="1">
        <cx:catScaling gapWidth="1"/>
        <cx:title>
          <cx:tx>
            <cx:rich>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The upper and lower bounds of the box represent the first and third quartile of the data.  </a:t>
                </a:r>
                <a:r>
                  <a:rPr lang="en-US" sz="1200" b="0" i="0" u="none" strike="noStrike" baseline="0">
                    <a:solidFill>
                      <a:sysClr val="windowText" lastClr="000000">
                        <a:lumMod val="65000"/>
                        <a:lumOff val="35000"/>
                      </a:sysClr>
                    </a:solidFill>
                    <a:effectLst/>
                    <a:latin typeface="Aptos Narrow" panose="02110004020202020204"/>
                    <a:ea typeface="Calibri" panose="020F0502020204030204" pitchFamily="34" charset="0"/>
                    <a:cs typeface="Calibri" panose="020F0502020204030204" pitchFamily="34" charset="0"/>
                  </a:rPr>
                  <a:t>The line and X within the box represent the mean and median of the data respectively.  </a:t>
                </a:r>
                <a:r>
                  <a:rPr lang="en-US" sz="1200" b="0" i="0" u="none" strike="noStrike" baseline="0">
                    <a:solidFill>
                      <a:sysClr val="windowText" lastClr="000000">
                        <a:lumMod val="65000"/>
                        <a:lumOff val="35000"/>
                      </a:sysClr>
                    </a:solidFill>
                    <a:latin typeface="Aptos Narrow" panose="02110004020202020204"/>
                  </a:rPr>
                  <a:t>The whiskers of the plot represent the most exterem values within 1.5 time the interquartile range from the mean.  The dots represent outliers.</a:t>
                </a:r>
              </a:p>
            </cx:rich>
          </cx:tx>
        </cx:title>
        <cx:tickLabels/>
      </cx:axis>
      <cx:axis id="1">
        <cx:valScaling/>
        <cx:title>
          <cx:tx>
            <cx:txData>
              <cx:v>Yields in Busehls per 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Yields in Busehls per Acre</a:t>
              </a:r>
            </a:p>
          </cx:txPr>
        </cx:title>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1"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xdr:from>
      <xdr:col>2</xdr:col>
      <xdr:colOff>647700</xdr:colOff>
      <xdr:row>2</xdr:row>
      <xdr:rowOff>177800</xdr:rowOff>
    </xdr:from>
    <xdr:to>
      <xdr:col>11</xdr:col>
      <xdr:colOff>723900</xdr:colOff>
      <xdr:row>25</xdr:row>
      <xdr:rowOff>101600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44BC997D-FE97-B0EC-404D-89C14BFF3E1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2298700" y="596900"/>
              <a:ext cx="7505700" cy="45974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304800</xdr:colOff>
      <xdr:row>4</xdr:row>
      <xdr:rowOff>101600</xdr:rowOff>
    </xdr:from>
    <xdr:to>
      <xdr:col>10</xdr:col>
      <xdr:colOff>812800</xdr:colOff>
      <xdr:row>29</xdr:row>
      <xdr:rowOff>25400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71E449F1-58F0-5BC2-FD72-32789DAB327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432300" y="927100"/>
              <a:ext cx="4635500" cy="50038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3771-09AC-AA47-B5A6-E67DCD85978C}">
  <dimension ref="A5:J8"/>
  <sheetViews>
    <sheetView workbookViewId="0">
      <selection activeCell="C13" sqref="C13"/>
    </sheetView>
  </sheetViews>
  <sheetFormatPr baseColWidth="10" defaultRowHeight="16" x14ac:dyDescent="0.2"/>
  <sheetData>
    <row r="5" spans="1:10" ht="47" customHeight="1" x14ac:dyDescent="0.3">
      <c r="A5" s="59" t="s">
        <v>55</v>
      </c>
      <c r="B5" s="59"/>
      <c r="C5" s="59"/>
      <c r="D5" s="59"/>
      <c r="E5" s="59"/>
      <c r="F5" s="59"/>
      <c r="G5" s="59"/>
      <c r="H5" s="59"/>
      <c r="I5" s="59"/>
      <c r="J5" s="59"/>
    </row>
    <row r="7" spans="1:10" ht="16" customHeight="1" x14ac:dyDescent="0.3">
      <c r="A7" s="58"/>
      <c r="B7" s="58"/>
      <c r="C7" s="58"/>
      <c r="D7" s="58"/>
      <c r="E7" s="58"/>
      <c r="F7" s="58"/>
      <c r="G7" s="58"/>
      <c r="H7" s="58"/>
      <c r="I7" s="58"/>
      <c r="J7" s="58"/>
    </row>
    <row r="8" spans="1:10" ht="16" customHeight="1" x14ac:dyDescent="0.2"/>
  </sheetData>
  <mergeCells count="1">
    <mergeCell ref="A5:J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DDED5-7313-7349-81D7-985BD508B2C5}">
  <dimension ref="A1:C33"/>
  <sheetViews>
    <sheetView workbookViewId="0">
      <selection activeCell="E10" sqref="E10"/>
    </sheetView>
  </sheetViews>
  <sheetFormatPr baseColWidth="10" defaultRowHeight="16" x14ac:dyDescent="0.2"/>
  <sheetData>
    <row r="1" spans="1:3" x14ac:dyDescent="0.2">
      <c r="A1" s="60" t="s">
        <v>0</v>
      </c>
      <c r="B1" s="60" t="s">
        <v>1</v>
      </c>
      <c r="C1" s="60" t="s">
        <v>2</v>
      </c>
    </row>
    <row r="2" spans="1:3" x14ac:dyDescent="0.2">
      <c r="A2" s="60" t="s">
        <v>3</v>
      </c>
      <c r="B2" s="60">
        <v>392684</v>
      </c>
      <c r="C2" s="60">
        <v>86.6</v>
      </c>
    </row>
    <row r="3" spans="1:3" x14ac:dyDescent="0.2">
      <c r="A3" s="60" t="s">
        <v>4</v>
      </c>
      <c r="B3" s="60">
        <v>197626</v>
      </c>
      <c r="C3" s="60">
        <v>76.099999999999994</v>
      </c>
    </row>
    <row r="4" spans="1:3" x14ac:dyDescent="0.2">
      <c r="A4" s="60" t="s">
        <v>5</v>
      </c>
      <c r="B4" s="60">
        <v>143023</v>
      </c>
      <c r="C4" s="60">
        <v>90.1</v>
      </c>
    </row>
    <row r="5" spans="1:3" x14ac:dyDescent="0.2">
      <c r="A5" s="60" t="s">
        <v>6</v>
      </c>
      <c r="B5" s="60">
        <v>125867</v>
      </c>
      <c r="C5" s="60">
        <v>84.8</v>
      </c>
    </row>
    <row r="6" spans="1:3" x14ac:dyDescent="0.2">
      <c r="A6" s="60" t="s">
        <v>7</v>
      </c>
      <c r="B6" s="60">
        <v>74958</v>
      </c>
      <c r="C6" s="60">
        <v>88</v>
      </c>
    </row>
    <row r="7" spans="1:3" x14ac:dyDescent="0.2">
      <c r="A7" s="60" t="s">
        <v>8</v>
      </c>
      <c r="B7" s="60">
        <v>66119</v>
      </c>
      <c r="C7" s="60">
        <v>93.7</v>
      </c>
    </row>
    <row r="8" spans="1:3" x14ac:dyDescent="0.2">
      <c r="A8" s="60" t="s">
        <v>9</v>
      </c>
      <c r="B8" s="60">
        <v>55767</v>
      </c>
      <c r="C8" s="60">
        <v>48.3</v>
      </c>
    </row>
    <row r="9" spans="1:3" x14ac:dyDescent="0.2">
      <c r="A9" s="60" t="s">
        <v>10</v>
      </c>
      <c r="B9" s="60">
        <v>38961</v>
      </c>
      <c r="C9" s="60">
        <v>87.4</v>
      </c>
    </row>
    <row r="10" spans="1:3" x14ac:dyDescent="0.2">
      <c r="A10" s="60" t="s">
        <v>11</v>
      </c>
      <c r="B10" s="60">
        <v>22568</v>
      </c>
      <c r="C10" s="60">
        <v>75.7</v>
      </c>
    </row>
    <row r="11" spans="1:3" x14ac:dyDescent="0.2">
      <c r="A11" s="60" t="s">
        <v>12</v>
      </c>
      <c r="B11" s="60">
        <v>21676</v>
      </c>
      <c r="C11" s="60">
        <v>77.099999999999994</v>
      </c>
    </row>
    <row r="12" spans="1:3" x14ac:dyDescent="0.2">
      <c r="A12" s="60" t="s">
        <v>13</v>
      </c>
      <c r="B12" s="60">
        <v>21311</v>
      </c>
      <c r="C12" s="60">
        <v>95.9</v>
      </c>
    </row>
    <row r="13" spans="1:3" x14ac:dyDescent="0.2">
      <c r="A13" s="60" t="s">
        <v>14</v>
      </c>
      <c r="B13" s="60">
        <v>18710</v>
      </c>
      <c r="C13" s="60">
        <v>96.7</v>
      </c>
    </row>
    <row r="14" spans="1:3" x14ac:dyDescent="0.2">
      <c r="A14" s="60" t="s">
        <v>15</v>
      </c>
      <c r="B14" s="60">
        <v>17566</v>
      </c>
      <c r="C14" s="60">
        <v>66.900000000000006</v>
      </c>
    </row>
    <row r="15" spans="1:3" x14ac:dyDescent="0.2">
      <c r="A15" s="60" t="s">
        <v>16</v>
      </c>
      <c r="B15" s="60">
        <v>10249</v>
      </c>
      <c r="C15" s="60">
        <v>40.5</v>
      </c>
    </row>
    <row r="16" spans="1:3" x14ac:dyDescent="0.2">
      <c r="A16" s="60" t="s">
        <v>17</v>
      </c>
      <c r="B16" s="60">
        <v>8884</v>
      </c>
      <c r="C16" s="60">
        <v>55.9</v>
      </c>
    </row>
    <row r="17" spans="1:3" x14ac:dyDescent="0.2">
      <c r="A17" s="60" t="s">
        <v>18</v>
      </c>
      <c r="B17" s="60">
        <v>7282</v>
      </c>
      <c r="C17" s="60">
        <v>96</v>
      </c>
    </row>
    <row r="18" spans="1:3" x14ac:dyDescent="0.2">
      <c r="A18" s="60" t="s">
        <v>19</v>
      </c>
      <c r="B18" s="60">
        <v>6754</v>
      </c>
      <c r="C18" s="60">
        <v>97.1</v>
      </c>
    </row>
    <row r="19" spans="1:3" x14ac:dyDescent="0.2">
      <c r="A19" s="60" t="s">
        <v>20</v>
      </c>
      <c r="B19" s="60">
        <v>5792</v>
      </c>
      <c r="C19" s="60">
        <v>72.5</v>
      </c>
    </row>
    <row r="20" spans="1:3" x14ac:dyDescent="0.2">
      <c r="A20" s="60" t="s">
        <v>21</v>
      </c>
      <c r="B20" s="60">
        <v>5636</v>
      </c>
      <c r="C20" s="60">
        <v>102.6</v>
      </c>
    </row>
    <row r="21" spans="1:3" x14ac:dyDescent="0.2">
      <c r="A21" s="60" t="s">
        <v>22</v>
      </c>
      <c r="B21" s="60">
        <v>5274</v>
      </c>
      <c r="C21" s="60">
        <v>84.1</v>
      </c>
    </row>
    <row r="22" spans="1:3" x14ac:dyDescent="0.2">
      <c r="A22" s="60" t="s">
        <v>23</v>
      </c>
      <c r="B22" s="60">
        <v>5090</v>
      </c>
      <c r="C22" s="60">
        <v>56.9</v>
      </c>
    </row>
    <row r="23" spans="1:3" x14ac:dyDescent="0.2">
      <c r="A23" s="60" t="s">
        <v>24</v>
      </c>
      <c r="B23" s="60">
        <v>4750</v>
      </c>
      <c r="C23" s="60">
        <v>73</v>
      </c>
    </row>
    <row r="24" spans="1:3" x14ac:dyDescent="0.2">
      <c r="A24" s="60" t="s">
        <v>25</v>
      </c>
      <c r="B24" s="60">
        <v>3015</v>
      </c>
      <c r="C24" s="60">
        <v>39.200000000000003</v>
      </c>
    </row>
    <row r="25" spans="1:3" x14ac:dyDescent="0.2">
      <c r="A25" s="60" t="s">
        <v>26</v>
      </c>
      <c r="B25" s="60">
        <v>2607</v>
      </c>
      <c r="C25" s="60">
        <v>124.7</v>
      </c>
    </row>
    <row r="26" spans="1:3" x14ac:dyDescent="0.2">
      <c r="A26" s="60" t="s">
        <v>27</v>
      </c>
      <c r="B26" s="60">
        <v>2190</v>
      </c>
      <c r="C26" s="60">
        <v>89.1</v>
      </c>
    </row>
    <row r="27" spans="1:3" x14ac:dyDescent="0.2">
      <c r="A27" s="60" t="s">
        <v>28</v>
      </c>
      <c r="B27" s="60">
        <v>1998</v>
      </c>
      <c r="C27" s="60">
        <v>97.5</v>
      </c>
    </row>
    <row r="28" spans="1:3" x14ac:dyDescent="0.2">
      <c r="A28" s="60" t="s">
        <v>29</v>
      </c>
      <c r="B28" s="60">
        <v>1430</v>
      </c>
      <c r="C28" s="60">
        <v>72</v>
      </c>
    </row>
    <row r="29" spans="1:3" x14ac:dyDescent="0.2">
      <c r="A29" s="60" t="s">
        <v>30</v>
      </c>
      <c r="B29" s="60">
        <v>1287</v>
      </c>
      <c r="C29" s="60">
        <v>56.5</v>
      </c>
    </row>
    <row r="30" spans="1:3" x14ac:dyDescent="0.2">
      <c r="A30" s="60" t="s">
        <v>31</v>
      </c>
      <c r="B30" s="60">
        <v>901</v>
      </c>
      <c r="C30" s="60">
        <v>79.2</v>
      </c>
    </row>
    <row r="31" spans="1:3" x14ac:dyDescent="0.2">
      <c r="A31" s="60" t="s">
        <v>32</v>
      </c>
      <c r="B31" s="60">
        <v>825</v>
      </c>
      <c r="C31" s="60">
        <v>79.2</v>
      </c>
    </row>
    <row r="32" spans="1:3" x14ac:dyDescent="0.2">
      <c r="A32" s="60" t="s">
        <v>33</v>
      </c>
      <c r="B32" s="60">
        <v>700</v>
      </c>
      <c r="C32" s="60">
        <v>80.099999999999994</v>
      </c>
    </row>
    <row r="33" spans="1:3" x14ac:dyDescent="0.2">
      <c r="A33" s="60" t="s">
        <v>34</v>
      </c>
      <c r="B33" s="60">
        <v>460</v>
      </c>
      <c r="C33" s="60">
        <v>90.8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A5E1E-6B20-534B-92DF-F299182CFC14}">
  <dimension ref="A1:J56"/>
  <sheetViews>
    <sheetView workbookViewId="0">
      <selection activeCell="I12" sqref="I12"/>
    </sheetView>
  </sheetViews>
  <sheetFormatPr baseColWidth="10" defaultRowHeight="16" x14ac:dyDescent="0.2"/>
  <cols>
    <col min="1" max="1" width="24.83203125" customWidth="1"/>
    <col min="2" max="2" width="13.83203125" customWidth="1"/>
    <col min="3" max="3" width="11" bestFit="1" customWidth="1"/>
    <col min="4" max="4" width="12.6640625" bestFit="1" customWidth="1"/>
    <col min="5" max="5" width="15.5" style="1" customWidth="1"/>
    <col min="6" max="6" width="12.6640625" customWidth="1"/>
    <col min="7" max="7" width="14.83203125" customWidth="1"/>
  </cols>
  <sheetData>
    <row r="1" spans="1:10" ht="30" customHeight="1" x14ac:dyDescent="0.2">
      <c r="A1" s="17" t="s">
        <v>0</v>
      </c>
      <c r="B1" s="18" t="s">
        <v>1</v>
      </c>
      <c r="C1" s="18" t="s">
        <v>2</v>
      </c>
      <c r="D1" s="18" t="s">
        <v>35</v>
      </c>
      <c r="E1" s="18" t="s">
        <v>38</v>
      </c>
      <c r="F1" s="18" t="s">
        <v>36</v>
      </c>
      <c r="G1" s="19" t="s">
        <v>39</v>
      </c>
    </row>
    <row r="2" spans="1:10" x14ac:dyDescent="0.2">
      <c r="A2" s="11" t="s">
        <v>11</v>
      </c>
      <c r="B2" s="12">
        <v>22568</v>
      </c>
      <c r="C2" s="13">
        <v>75.7</v>
      </c>
      <c r="D2" s="2">
        <f>B2*C2</f>
        <v>1708397.6</v>
      </c>
      <c r="E2" s="3" t="str">
        <f ca="1">_xlfn.FORMULATEXT(D2)</f>
        <v>=B2*C2</v>
      </c>
      <c r="F2" s="2">
        <f>D2*$J$2</f>
        <v>9396186.8000000007</v>
      </c>
      <c r="G2" s="4" t="str">
        <f t="shared" ref="G2:G33" ca="1" si="0">_xlfn.FORMULATEXT(F2)</f>
        <v>=D2*$J$2</v>
      </c>
      <c r="I2" s="9" t="s">
        <v>37</v>
      </c>
      <c r="J2" s="10">
        <v>5.5</v>
      </c>
    </row>
    <row r="3" spans="1:10" x14ac:dyDescent="0.2">
      <c r="A3" s="11" t="s">
        <v>33</v>
      </c>
      <c r="B3" s="12">
        <v>700</v>
      </c>
      <c r="C3" s="13">
        <v>80.099999999999994</v>
      </c>
      <c r="D3" s="2">
        <f t="shared" ref="D3:D33" si="1">B3*C3</f>
        <v>56069.999999999993</v>
      </c>
      <c r="E3" s="3" t="str">
        <f t="shared" ref="E3:E33" ca="1" si="2">_xlfn.FORMULATEXT(D3)</f>
        <v>=B3*C3</v>
      </c>
      <c r="F3" s="2">
        <f>D3*$J$2</f>
        <v>308384.99999999994</v>
      </c>
      <c r="G3" s="4" t="str">
        <f t="shared" ca="1" si="0"/>
        <v>=D3*$J$2</v>
      </c>
    </row>
    <row r="4" spans="1:10" x14ac:dyDescent="0.2">
      <c r="A4" s="11" t="s">
        <v>14</v>
      </c>
      <c r="B4" s="12">
        <v>18710</v>
      </c>
      <c r="C4" s="13">
        <v>96.7</v>
      </c>
      <c r="D4" s="2">
        <f t="shared" si="1"/>
        <v>1809257</v>
      </c>
      <c r="E4" s="3" t="str">
        <f t="shared" ca="1" si="2"/>
        <v>=B4*C4</v>
      </c>
      <c r="F4" s="2">
        <f>D4*$J$2</f>
        <v>9950913.5</v>
      </c>
      <c r="G4" s="4" t="str">
        <f t="shared" ca="1" si="0"/>
        <v>=D4*$J$2</v>
      </c>
    </row>
    <row r="5" spans="1:10" x14ac:dyDescent="0.2">
      <c r="A5" s="11" t="s">
        <v>4</v>
      </c>
      <c r="B5" s="12">
        <v>197626</v>
      </c>
      <c r="C5" s="13">
        <v>76.099999999999994</v>
      </c>
      <c r="D5" s="2">
        <f t="shared" si="1"/>
        <v>15039338.6</v>
      </c>
      <c r="E5" s="3" t="str">
        <f t="shared" ca="1" si="2"/>
        <v>=B5*C5</v>
      </c>
      <c r="F5" s="2">
        <f>D5*$J$2</f>
        <v>82716362.299999997</v>
      </c>
      <c r="G5" s="4" t="str">
        <f t="shared" ca="1" si="0"/>
        <v>=D5*$J$2</v>
      </c>
    </row>
    <row r="6" spans="1:10" x14ac:dyDescent="0.2">
      <c r="A6" s="11" t="s">
        <v>26</v>
      </c>
      <c r="B6" s="12">
        <v>2607</v>
      </c>
      <c r="C6" s="13">
        <v>124.7</v>
      </c>
      <c r="D6" s="2">
        <f t="shared" si="1"/>
        <v>325092.90000000002</v>
      </c>
      <c r="E6" s="3" t="str">
        <f t="shared" ca="1" si="2"/>
        <v>=B6*C6</v>
      </c>
      <c r="F6" s="2">
        <f>D6*$J$2</f>
        <v>1788010.9500000002</v>
      </c>
      <c r="G6" s="4" t="str">
        <f t="shared" ca="1" si="0"/>
        <v>=D6*$J$2</v>
      </c>
    </row>
    <row r="7" spans="1:10" x14ac:dyDescent="0.2">
      <c r="A7" s="11" t="s">
        <v>20</v>
      </c>
      <c r="B7" s="12">
        <v>5792</v>
      </c>
      <c r="C7" s="13">
        <v>72.5</v>
      </c>
      <c r="D7" s="2">
        <f t="shared" si="1"/>
        <v>419920</v>
      </c>
      <c r="E7" s="3" t="str">
        <f t="shared" ca="1" si="2"/>
        <v>=B7*C7</v>
      </c>
      <c r="F7" s="2">
        <f>D7*$J$2</f>
        <v>2309560</v>
      </c>
      <c r="G7" s="4" t="str">
        <f t="shared" ca="1" si="0"/>
        <v>=D7*$J$2</v>
      </c>
    </row>
    <row r="8" spans="1:10" x14ac:dyDescent="0.2">
      <c r="A8" s="11" t="s">
        <v>28</v>
      </c>
      <c r="B8" s="12">
        <v>1998</v>
      </c>
      <c r="C8" s="13">
        <v>97.5</v>
      </c>
      <c r="D8" s="2">
        <f t="shared" si="1"/>
        <v>194805</v>
      </c>
      <c r="E8" s="3" t="str">
        <f t="shared" ca="1" si="2"/>
        <v>=B8*C8</v>
      </c>
      <c r="F8" s="2">
        <f>D8*$J$2</f>
        <v>1071427.5</v>
      </c>
      <c r="G8" s="4" t="str">
        <f t="shared" ca="1" si="0"/>
        <v>=D8*$J$2</v>
      </c>
    </row>
    <row r="9" spans="1:10" x14ac:dyDescent="0.2">
      <c r="A9" s="11" t="s">
        <v>17</v>
      </c>
      <c r="B9" s="12">
        <v>8884</v>
      </c>
      <c r="C9" s="13">
        <v>55.9</v>
      </c>
      <c r="D9" s="2">
        <f t="shared" si="1"/>
        <v>496615.6</v>
      </c>
      <c r="E9" s="3" t="str">
        <f t="shared" ca="1" si="2"/>
        <v>=B9*C9</v>
      </c>
      <c r="F9" s="2">
        <f>D9*$J$2</f>
        <v>2731385.8</v>
      </c>
      <c r="G9" s="4" t="str">
        <f t="shared" ca="1" si="0"/>
        <v>=D9*$J$2</v>
      </c>
    </row>
    <row r="10" spans="1:10" x14ac:dyDescent="0.2">
      <c r="A10" s="11" t="s">
        <v>8</v>
      </c>
      <c r="B10" s="12">
        <v>66119</v>
      </c>
      <c r="C10" s="13">
        <v>93.7</v>
      </c>
      <c r="D10" s="2">
        <f t="shared" si="1"/>
        <v>6195350.2999999998</v>
      </c>
      <c r="E10" s="3" t="str">
        <f t="shared" ca="1" si="2"/>
        <v>=B10*C10</v>
      </c>
      <c r="F10" s="2">
        <f>D10*$J$2</f>
        <v>34074426.649999999</v>
      </c>
      <c r="G10" s="4" t="str">
        <f t="shared" ca="1" si="0"/>
        <v>=D10*$J$2</v>
      </c>
    </row>
    <row r="11" spans="1:10" x14ac:dyDescent="0.2">
      <c r="A11" s="11" t="s">
        <v>12</v>
      </c>
      <c r="B11" s="12">
        <v>21676</v>
      </c>
      <c r="C11" s="13">
        <v>77.099999999999994</v>
      </c>
      <c r="D11" s="2">
        <f t="shared" si="1"/>
        <v>1671219.5999999999</v>
      </c>
      <c r="E11" s="3" t="str">
        <f t="shared" ca="1" si="2"/>
        <v>=B11*C11</v>
      </c>
      <c r="F11" s="2">
        <f>D11*$J$2</f>
        <v>9191707.7999999989</v>
      </c>
      <c r="G11" s="4" t="str">
        <f t="shared" ca="1" si="0"/>
        <v>=D11*$J$2</v>
      </c>
    </row>
    <row r="12" spans="1:10" x14ac:dyDescent="0.2">
      <c r="A12" s="11" t="s">
        <v>22</v>
      </c>
      <c r="B12" s="12">
        <v>5274</v>
      </c>
      <c r="C12" s="13">
        <v>84.1</v>
      </c>
      <c r="D12" s="2">
        <f t="shared" si="1"/>
        <v>443543.39999999997</v>
      </c>
      <c r="E12" s="3" t="str">
        <f t="shared" ca="1" si="2"/>
        <v>=B12*C12</v>
      </c>
      <c r="F12" s="2">
        <f>D12*$J$2</f>
        <v>2439488.6999999997</v>
      </c>
      <c r="G12" s="4" t="str">
        <f t="shared" ca="1" si="0"/>
        <v>=D12*$J$2</v>
      </c>
    </row>
    <row r="13" spans="1:10" x14ac:dyDescent="0.2">
      <c r="A13" s="11" t="s">
        <v>5</v>
      </c>
      <c r="B13" s="12">
        <v>143023</v>
      </c>
      <c r="C13" s="13">
        <v>90.1</v>
      </c>
      <c r="D13" s="2">
        <f t="shared" si="1"/>
        <v>12886372.299999999</v>
      </c>
      <c r="E13" s="3" t="str">
        <f t="shared" ca="1" si="2"/>
        <v>=B13*C13</v>
      </c>
      <c r="F13" s="2">
        <f>D13*$J$2</f>
        <v>70875047.649999991</v>
      </c>
      <c r="G13" s="4" t="str">
        <f t="shared" ca="1" si="0"/>
        <v>=D13*$J$2</v>
      </c>
    </row>
    <row r="14" spans="1:10" x14ac:dyDescent="0.2">
      <c r="A14" s="11" t="s">
        <v>6</v>
      </c>
      <c r="B14" s="12">
        <v>125867</v>
      </c>
      <c r="C14" s="13">
        <v>84.8</v>
      </c>
      <c r="D14" s="2">
        <f t="shared" si="1"/>
        <v>10673521.6</v>
      </c>
      <c r="E14" s="3" t="str">
        <f t="shared" ca="1" si="2"/>
        <v>=B14*C14</v>
      </c>
      <c r="F14" s="2">
        <f>D14*$J$2</f>
        <v>58704368.799999997</v>
      </c>
      <c r="G14" s="4" t="str">
        <f t="shared" ca="1" si="0"/>
        <v>=D14*$J$2</v>
      </c>
    </row>
    <row r="15" spans="1:10" x14ac:dyDescent="0.2">
      <c r="A15" s="11" t="s">
        <v>31</v>
      </c>
      <c r="B15" s="12">
        <v>901</v>
      </c>
      <c r="C15" s="13">
        <v>79.2</v>
      </c>
      <c r="D15" s="2">
        <f t="shared" si="1"/>
        <v>71359.199999999997</v>
      </c>
      <c r="E15" s="3" t="str">
        <f t="shared" ca="1" si="2"/>
        <v>=B15*C15</v>
      </c>
      <c r="F15" s="2">
        <f>D15*$J$2</f>
        <v>392475.6</v>
      </c>
      <c r="G15" s="4" t="str">
        <f t="shared" ca="1" si="0"/>
        <v>=D15*$J$2</v>
      </c>
    </row>
    <row r="16" spans="1:10" x14ac:dyDescent="0.2">
      <c r="A16" s="11" t="s">
        <v>16</v>
      </c>
      <c r="B16" s="12">
        <v>10249</v>
      </c>
      <c r="C16" s="13">
        <v>40.5</v>
      </c>
      <c r="D16" s="2">
        <f t="shared" si="1"/>
        <v>415084.5</v>
      </c>
      <c r="E16" s="3" t="str">
        <f t="shared" ca="1" si="2"/>
        <v>=B16*C16</v>
      </c>
      <c r="F16" s="2">
        <f>D16*$J$2</f>
        <v>2282964.75</v>
      </c>
      <c r="G16" s="4" t="str">
        <f t="shared" ca="1" si="0"/>
        <v>=D16*$J$2</v>
      </c>
    </row>
    <row r="17" spans="1:7" x14ac:dyDescent="0.2">
      <c r="A17" s="11" t="s">
        <v>10</v>
      </c>
      <c r="B17" s="12">
        <v>38961</v>
      </c>
      <c r="C17" s="13">
        <v>87.4</v>
      </c>
      <c r="D17" s="2">
        <f t="shared" si="1"/>
        <v>3405191.4000000004</v>
      </c>
      <c r="E17" s="3" t="str">
        <f t="shared" ca="1" si="2"/>
        <v>=B17*C17</v>
      </c>
      <c r="F17" s="2">
        <f>D17*$J$2</f>
        <v>18728552.700000003</v>
      </c>
      <c r="G17" s="4" t="str">
        <f t="shared" ca="1" si="0"/>
        <v>=D17*$J$2</v>
      </c>
    </row>
    <row r="18" spans="1:7" x14ac:dyDescent="0.2">
      <c r="A18" s="11" t="s">
        <v>19</v>
      </c>
      <c r="B18" s="12">
        <v>6754</v>
      </c>
      <c r="C18" s="13">
        <v>97.1</v>
      </c>
      <c r="D18" s="2">
        <f t="shared" si="1"/>
        <v>655813.39999999991</v>
      </c>
      <c r="E18" s="3" t="str">
        <f t="shared" ca="1" si="2"/>
        <v>=B18*C18</v>
      </c>
      <c r="F18" s="2">
        <f>D18*$J$2</f>
        <v>3606973.6999999993</v>
      </c>
      <c r="G18" s="4" t="str">
        <f t="shared" ca="1" si="0"/>
        <v>=D18*$J$2</v>
      </c>
    </row>
    <row r="19" spans="1:7" x14ac:dyDescent="0.2">
      <c r="A19" s="11" t="s">
        <v>7</v>
      </c>
      <c r="B19" s="12">
        <v>74958</v>
      </c>
      <c r="C19" s="13">
        <v>88</v>
      </c>
      <c r="D19" s="2">
        <f t="shared" si="1"/>
        <v>6596304</v>
      </c>
      <c r="E19" s="3" t="str">
        <f t="shared" ca="1" si="2"/>
        <v>=B19*C19</v>
      </c>
      <c r="F19" s="2">
        <f>D19*$J$2</f>
        <v>36279672</v>
      </c>
      <c r="G19" s="4" t="str">
        <f t="shared" ca="1" si="0"/>
        <v>=D19*$J$2</v>
      </c>
    </row>
    <row r="20" spans="1:7" x14ac:dyDescent="0.2">
      <c r="A20" s="11" t="s">
        <v>18</v>
      </c>
      <c r="B20" s="12">
        <v>7282</v>
      </c>
      <c r="C20" s="13">
        <v>96</v>
      </c>
      <c r="D20" s="2">
        <f t="shared" si="1"/>
        <v>699072</v>
      </c>
      <c r="E20" s="3" t="str">
        <f t="shared" ca="1" si="2"/>
        <v>=B20*C20</v>
      </c>
      <c r="F20" s="2">
        <f>D20*$J$2</f>
        <v>3844896</v>
      </c>
      <c r="G20" s="4" t="str">
        <f t="shared" ca="1" si="0"/>
        <v>=D20*$J$2</v>
      </c>
    </row>
    <row r="21" spans="1:7" x14ac:dyDescent="0.2">
      <c r="A21" s="11" t="s">
        <v>24</v>
      </c>
      <c r="B21" s="12">
        <v>4750</v>
      </c>
      <c r="C21" s="13">
        <v>73</v>
      </c>
      <c r="D21" s="2">
        <f t="shared" si="1"/>
        <v>346750</v>
      </c>
      <c r="E21" s="3" t="str">
        <f t="shared" ca="1" si="2"/>
        <v>=B21*C21</v>
      </c>
      <c r="F21" s="2">
        <f>D21*$J$2</f>
        <v>1907125</v>
      </c>
      <c r="G21" s="4" t="str">
        <f t="shared" ca="1" si="0"/>
        <v>=D21*$J$2</v>
      </c>
    </row>
    <row r="22" spans="1:7" x14ac:dyDescent="0.2">
      <c r="A22" s="11" t="s">
        <v>13</v>
      </c>
      <c r="B22" s="12">
        <v>21311</v>
      </c>
      <c r="C22" s="13">
        <v>95.9</v>
      </c>
      <c r="D22" s="2">
        <f t="shared" si="1"/>
        <v>2043724.9000000001</v>
      </c>
      <c r="E22" s="3" t="str">
        <f t="shared" ca="1" si="2"/>
        <v>=B22*C22</v>
      </c>
      <c r="F22" s="2">
        <f>D22*$J$2</f>
        <v>11240486.950000001</v>
      </c>
      <c r="G22" s="4" t="str">
        <f t="shared" ca="1" si="0"/>
        <v>=D22*$J$2</v>
      </c>
    </row>
    <row r="23" spans="1:7" x14ac:dyDescent="0.2">
      <c r="A23" s="11" t="s">
        <v>9</v>
      </c>
      <c r="B23" s="12">
        <v>55767</v>
      </c>
      <c r="C23" s="13">
        <v>48.3</v>
      </c>
      <c r="D23" s="2">
        <f t="shared" si="1"/>
        <v>2693546.0999999996</v>
      </c>
      <c r="E23" s="3" t="str">
        <f t="shared" ca="1" si="2"/>
        <v>=B23*C23</v>
      </c>
      <c r="F23" s="2">
        <f>D23*$J$2</f>
        <v>14814503.549999997</v>
      </c>
      <c r="G23" s="4" t="str">
        <f t="shared" ca="1" si="0"/>
        <v>=D23*$J$2</v>
      </c>
    </row>
    <row r="24" spans="1:7" x14ac:dyDescent="0.2">
      <c r="A24" s="11" t="s">
        <v>32</v>
      </c>
      <c r="B24" s="12">
        <v>825</v>
      </c>
      <c r="C24" s="13">
        <v>79.2</v>
      </c>
      <c r="D24" s="2">
        <f t="shared" si="1"/>
        <v>65340</v>
      </c>
      <c r="E24" s="3" t="str">
        <f t="shared" ca="1" si="2"/>
        <v>=B24*C24</v>
      </c>
      <c r="F24" s="2">
        <f>D24*$J$2</f>
        <v>359370</v>
      </c>
      <c r="G24" s="4" t="str">
        <f t="shared" ca="1" si="0"/>
        <v>=D24*$J$2</v>
      </c>
    </row>
    <row r="25" spans="1:7" x14ac:dyDescent="0.2">
      <c r="A25" s="11" t="s">
        <v>23</v>
      </c>
      <c r="B25" s="12">
        <v>5090</v>
      </c>
      <c r="C25" s="13">
        <v>56.9</v>
      </c>
      <c r="D25" s="2">
        <f t="shared" si="1"/>
        <v>289621</v>
      </c>
      <c r="E25" s="3" t="str">
        <f t="shared" ca="1" si="2"/>
        <v>=B25*C25</v>
      </c>
      <c r="F25" s="2">
        <f>D25*$J$2</f>
        <v>1592915.5</v>
      </c>
      <c r="G25" s="4" t="str">
        <f t="shared" ca="1" si="0"/>
        <v>=D25*$J$2</v>
      </c>
    </row>
    <row r="26" spans="1:7" x14ac:dyDescent="0.2">
      <c r="A26" s="11" t="s">
        <v>27</v>
      </c>
      <c r="B26" s="12">
        <v>2190</v>
      </c>
      <c r="C26" s="13">
        <v>89.1</v>
      </c>
      <c r="D26" s="2">
        <f t="shared" si="1"/>
        <v>195129</v>
      </c>
      <c r="E26" s="3" t="str">
        <f t="shared" ca="1" si="2"/>
        <v>=B26*C26</v>
      </c>
      <c r="F26" s="2">
        <f>D26*$J$2</f>
        <v>1073209.5</v>
      </c>
      <c r="G26" s="4" t="str">
        <f t="shared" ca="1" si="0"/>
        <v>=D26*$J$2</v>
      </c>
    </row>
    <row r="27" spans="1:7" x14ac:dyDescent="0.2">
      <c r="A27" s="11" t="s">
        <v>21</v>
      </c>
      <c r="B27" s="12">
        <v>5636</v>
      </c>
      <c r="C27" s="13">
        <v>102.6</v>
      </c>
      <c r="D27" s="2">
        <f t="shared" si="1"/>
        <v>578253.6</v>
      </c>
      <c r="E27" s="3" t="str">
        <f t="shared" ca="1" si="2"/>
        <v>=B27*C27</v>
      </c>
      <c r="F27" s="2">
        <f>D27*$J$2</f>
        <v>3180394.8</v>
      </c>
      <c r="G27" s="4" t="str">
        <f t="shared" ca="1" si="0"/>
        <v>=D27*$J$2</v>
      </c>
    </row>
    <row r="28" spans="1:7" x14ac:dyDescent="0.2">
      <c r="A28" s="11" t="s">
        <v>34</v>
      </c>
      <c r="B28" s="12">
        <v>460</v>
      </c>
      <c r="C28" s="13">
        <v>90.8</v>
      </c>
      <c r="D28" s="2">
        <f t="shared" si="1"/>
        <v>41768</v>
      </c>
      <c r="E28" s="3" t="str">
        <f t="shared" ca="1" si="2"/>
        <v>=B28*C28</v>
      </c>
      <c r="F28" s="2">
        <f>D28*$J$2</f>
        <v>229724</v>
      </c>
      <c r="G28" s="4" t="str">
        <f t="shared" ca="1" si="0"/>
        <v>=D28*$J$2</v>
      </c>
    </row>
    <row r="29" spans="1:7" x14ac:dyDescent="0.2">
      <c r="A29" s="11" t="s">
        <v>15</v>
      </c>
      <c r="B29" s="12">
        <v>17566</v>
      </c>
      <c r="C29" s="13">
        <v>66.900000000000006</v>
      </c>
      <c r="D29" s="2">
        <f t="shared" si="1"/>
        <v>1175165.4000000001</v>
      </c>
      <c r="E29" s="3" t="str">
        <f t="shared" ca="1" si="2"/>
        <v>=B29*C29</v>
      </c>
      <c r="F29" s="2">
        <f>D29*$J$2</f>
        <v>6463409.7000000011</v>
      </c>
      <c r="G29" s="4" t="str">
        <f t="shared" ca="1" si="0"/>
        <v>=D29*$J$2</v>
      </c>
    </row>
    <row r="30" spans="1:7" x14ac:dyDescent="0.2">
      <c r="A30" s="11" t="s">
        <v>29</v>
      </c>
      <c r="B30" s="12">
        <v>1430</v>
      </c>
      <c r="C30" s="13">
        <v>72</v>
      </c>
      <c r="D30" s="2">
        <f t="shared" si="1"/>
        <v>102960</v>
      </c>
      <c r="E30" s="3" t="str">
        <f t="shared" ca="1" si="2"/>
        <v>=B30*C30</v>
      </c>
      <c r="F30" s="2">
        <f>D30*$J$2</f>
        <v>566280</v>
      </c>
      <c r="G30" s="4" t="str">
        <f t="shared" ca="1" si="0"/>
        <v>=D30*$J$2</v>
      </c>
    </row>
    <row r="31" spans="1:7" x14ac:dyDescent="0.2">
      <c r="A31" s="11" t="s">
        <v>3</v>
      </c>
      <c r="B31" s="12">
        <v>392684</v>
      </c>
      <c r="C31" s="13">
        <v>86.6</v>
      </c>
      <c r="D31" s="2">
        <f t="shared" si="1"/>
        <v>34006434.399999999</v>
      </c>
      <c r="E31" s="3" t="str">
        <f t="shared" ca="1" si="2"/>
        <v>=B31*C31</v>
      </c>
      <c r="F31" s="2">
        <f>D31*$J$2</f>
        <v>187035389.19999999</v>
      </c>
      <c r="G31" s="4" t="str">
        <f t="shared" ca="1" si="0"/>
        <v>=D31*$J$2</v>
      </c>
    </row>
    <row r="32" spans="1:7" x14ac:dyDescent="0.2">
      <c r="A32" s="11" t="s">
        <v>25</v>
      </c>
      <c r="B32" s="12">
        <v>3015</v>
      </c>
      <c r="C32" s="13">
        <v>39.200000000000003</v>
      </c>
      <c r="D32" s="2">
        <f t="shared" si="1"/>
        <v>118188.00000000001</v>
      </c>
      <c r="E32" s="3" t="str">
        <f t="shared" ca="1" si="2"/>
        <v>=B32*C32</v>
      </c>
      <c r="F32" s="2">
        <f>D32*$J$2</f>
        <v>650034.00000000012</v>
      </c>
      <c r="G32" s="4" t="str">
        <f t="shared" ca="1" si="0"/>
        <v>=D32*$J$2</v>
      </c>
    </row>
    <row r="33" spans="1:7" x14ac:dyDescent="0.2">
      <c r="A33" s="14" t="s">
        <v>30</v>
      </c>
      <c r="B33" s="15">
        <v>1287</v>
      </c>
      <c r="C33" s="16">
        <v>56.5</v>
      </c>
      <c r="D33" s="5">
        <f t="shared" si="1"/>
        <v>72715.5</v>
      </c>
      <c r="E33" s="6" t="str">
        <f t="shared" ca="1" si="2"/>
        <v>=B33*C33</v>
      </c>
      <c r="F33" s="5">
        <f>D33*$J$2</f>
        <v>399935.25</v>
      </c>
      <c r="G33" s="7" t="str">
        <f t="shared" ca="1" si="0"/>
        <v>=D33*$J$2</v>
      </c>
    </row>
    <row r="35" spans="1:7" x14ac:dyDescent="0.2">
      <c r="A35" s="20" t="s">
        <v>40</v>
      </c>
      <c r="B35" s="21">
        <f>SUM(B1:B33)</f>
        <v>1271960</v>
      </c>
      <c r="C35" s="21"/>
      <c r="D35" s="21">
        <f>SUM(D1:D33)</f>
        <v>105491924.29999998</v>
      </c>
      <c r="E35" s="22"/>
      <c r="F35" s="21">
        <f>SUM(F1:F33)</f>
        <v>580205583.64999998</v>
      </c>
      <c r="G35" s="23"/>
    </row>
    <row r="36" spans="1:7" x14ac:dyDescent="0.2">
      <c r="A36" s="24" t="s">
        <v>41</v>
      </c>
      <c r="B36" s="25" t="str">
        <f ca="1">_xlfn.FORMULATEXT(B35)</f>
        <v>=SUM(B1:B33)</v>
      </c>
      <c r="C36" s="25"/>
      <c r="D36" s="25" t="str">
        <f ca="1">_xlfn.FORMULATEXT(D35)</f>
        <v>=SUM(D1:D33)</v>
      </c>
      <c r="E36" s="26"/>
      <c r="F36" s="25" t="str">
        <f ca="1">_xlfn.FORMULATEXT(F35)</f>
        <v>=SUM(F1:F33)</v>
      </c>
      <c r="G36" s="27"/>
    </row>
    <row r="37" spans="1:7" x14ac:dyDescent="0.2">
      <c r="A37" s="8"/>
    </row>
    <row r="38" spans="1:7" x14ac:dyDescent="0.2">
      <c r="A38" s="20" t="s">
        <v>42</v>
      </c>
      <c r="B38" s="28"/>
      <c r="C38" s="29">
        <f>AVERAGE(C2:C33)</f>
        <v>79.818750000000009</v>
      </c>
      <c r="D38" s="28"/>
      <c r="E38" s="28"/>
      <c r="F38" s="28"/>
      <c r="G38" s="30"/>
    </row>
    <row r="39" spans="1:7" x14ac:dyDescent="0.2">
      <c r="A39" s="24" t="s">
        <v>43</v>
      </c>
      <c r="B39" s="31"/>
      <c r="C39" s="31" t="str">
        <f ca="1">_xlfn.FORMULATEXT(C38)</f>
        <v>=AVERAGE(C2:C33)</v>
      </c>
      <c r="D39" s="31"/>
      <c r="E39" s="31"/>
      <c r="F39" s="31"/>
      <c r="G39" s="32"/>
    </row>
    <row r="40" spans="1:7" x14ac:dyDescent="0.2">
      <c r="A40" s="8"/>
    </row>
    <row r="41" spans="1:7" x14ac:dyDescent="0.2">
      <c r="A41" s="20" t="s">
        <v>44</v>
      </c>
      <c r="B41" s="21"/>
      <c r="C41" s="33">
        <f>SUMPRODUCT(C2:C33,B2:B33)/SUM(B2:B33)</f>
        <v>82.936510817950236</v>
      </c>
      <c r="D41" s="21"/>
      <c r="E41" s="22"/>
      <c r="F41" s="21"/>
      <c r="G41" s="23"/>
    </row>
    <row r="42" spans="1:7" x14ac:dyDescent="0.2">
      <c r="A42" s="24" t="s">
        <v>45</v>
      </c>
      <c r="B42" s="25"/>
      <c r="C42" s="25" t="str">
        <f ca="1">_xlfn.FORMULATEXT(C41)</f>
        <v>=SUMPRODUCT(C2:C33,B2:B33)/SUM(B2:B33)</v>
      </c>
      <c r="D42" s="25"/>
      <c r="E42" s="26"/>
      <c r="F42" s="25"/>
      <c r="G42" s="27"/>
    </row>
    <row r="44" spans="1:7" x14ac:dyDescent="0.2">
      <c r="A44" s="20" t="s">
        <v>46</v>
      </c>
      <c r="B44" s="28"/>
      <c r="C44" s="29">
        <f ca="1">MEDIAN(C8:C39)</f>
        <v>84.1</v>
      </c>
      <c r="D44" s="28"/>
      <c r="E44" s="28"/>
      <c r="F44" s="28"/>
      <c r="G44" s="30"/>
    </row>
    <row r="45" spans="1:7" x14ac:dyDescent="0.2">
      <c r="A45" s="24" t="s">
        <v>47</v>
      </c>
      <c r="B45" s="31"/>
      <c r="C45" s="31" t="str">
        <f ca="1">_xlfn.FORMULATEXT(C44)</f>
        <v>=MEDIAN(C8:C39)</v>
      </c>
      <c r="D45" s="31"/>
      <c r="E45" s="31"/>
      <c r="F45" s="31"/>
      <c r="G45" s="32"/>
    </row>
    <row r="47" spans="1:7" x14ac:dyDescent="0.2">
      <c r="A47" s="34" t="s">
        <v>51</v>
      </c>
      <c r="B47" s="35"/>
      <c r="C47" s="35"/>
      <c r="D47" s="35" t="s">
        <v>50</v>
      </c>
      <c r="E47" s="36"/>
      <c r="F47" s="35"/>
      <c r="G47" s="37"/>
    </row>
    <row r="48" spans="1:7" x14ac:dyDescent="0.2">
      <c r="A48" s="38" t="s">
        <v>52</v>
      </c>
      <c r="B48" s="39"/>
      <c r="C48" s="40">
        <f>MAX(C2:C33)-MIN(C2:C33)</f>
        <v>85.5</v>
      </c>
      <c r="D48" s="39" t="str">
        <f ca="1">_xlfn.FORMULATEXT(C48)</f>
        <v>=MAX(C2:C33)-MIN(C2:C33)</v>
      </c>
      <c r="E48" s="41"/>
      <c r="F48" s="39"/>
      <c r="G48" s="42"/>
    </row>
    <row r="49" spans="1:7" x14ac:dyDescent="0.2">
      <c r="A49" s="38" t="s">
        <v>53</v>
      </c>
      <c r="B49" s="39"/>
      <c r="C49" s="39">
        <f>_xlfn.VAR.S(C2:C33)</f>
        <v>350.52221774193362</v>
      </c>
      <c r="D49" s="39" t="str">
        <f ca="1">_xlfn.FORMULATEXT(C49)</f>
        <v>=VAR.S(C2:C33)</v>
      </c>
      <c r="E49" s="41"/>
      <c r="F49" s="39"/>
      <c r="G49" s="42"/>
    </row>
    <row r="50" spans="1:7" x14ac:dyDescent="0.2">
      <c r="A50" s="38" t="s">
        <v>54</v>
      </c>
      <c r="B50" s="39"/>
      <c r="C50" s="39">
        <f>_xlfn.STDEV.S(C2:C33)</f>
        <v>18.722238587891503</v>
      </c>
      <c r="D50" s="39" t="str">
        <f ca="1">_xlfn.FORMULATEXT(C50)</f>
        <v>=STDEV.S(C2:C33)</v>
      </c>
      <c r="E50" s="41"/>
      <c r="F50" s="39"/>
      <c r="G50" s="42"/>
    </row>
    <row r="51" spans="1:7" x14ac:dyDescent="0.2">
      <c r="A51" s="43" t="s">
        <v>48</v>
      </c>
      <c r="B51" s="44"/>
      <c r="C51" s="44">
        <f>C50/C38</f>
        <v>0.23455940600286901</v>
      </c>
      <c r="D51" s="44" t="str">
        <f ca="1">_xlfn.FORMULATEXT(C51)</f>
        <v>=C50/C38</v>
      </c>
      <c r="E51" s="45"/>
      <c r="F51" s="44"/>
      <c r="G51" s="46"/>
    </row>
    <row r="53" spans="1:7" ht="16" customHeight="1" x14ac:dyDescent="0.2">
      <c r="A53" s="47" t="s">
        <v>49</v>
      </c>
      <c r="B53" s="48"/>
      <c r="C53" s="48"/>
      <c r="D53" s="48"/>
      <c r="E53" s="48"/>
      <c r="F53" s="48"/>
      <c r="G53" s="49"/>
    </row>
    <row r="54" spans="1:7" x14ac:dyDescent="0.2">
      <c r="A54" s="50"/>
      <c r="B54" s="51"/>
      <c r="C54" s="51"/>
      <c r="D54" s="51"/>
      <c r="E54" s="51"/>
      <c r="F54" s="51"/>
      <c r="G54" s="52"/>
    </row>
    <row r="55" spans="1:7" x14ac:dyDescent="0.2">
      <c r="A55" s="50"/>
      <c r="B55" s="51"/>
      <c r="C55" s="51"/>
      <c r="D55" s="51"/>
      <c r="E55" s="51"/>
      <c r="F55" s="51"/>
      <c r="G55" s="52"/>
    </row>
    <row r="56" spans="1:7" x14ac:dyDescent="0.2">
      <c r="A56" s="53"/>
      <c r="B56" s="54"/>
      <c r="C56" s="54"/>
      <c r="D56" s="54"/>
      <c r="E56" s="54"/>
      <c r="F56" s="54"/>
      <c r="G56" s="55"/>
    </row>
  </sheetData>
  <sortState xmlns:xlrd2="http://schemas.microsoft.com/office/spreadsheetml/2017/richdata2" ref="A2:C33">
    <sortCondition ref="A2:A33"/>
  </sortState>
  <mergeCells count="1">
    <mergeCell ref="A53:G56"/>
  </mergeCells>
  <pageMargins left="0.75" right="0.75" top="1" bottom="1" header="0.5" footer="0.5"/>
  <ignoredErrors>
    <ignoredError sqref="F2:F33" formula="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99588-C4C7-8A47-A191-4CCEDE844128}">
  <dimension ref="A2:A34"/>
  <sheetViews>
    <sheetView workbookViewId="0">
      <selection activeCell="A2" sqref="A2:A34"/>
    </sheetView>
  </sheetViews>
  <sheetFormatPr baseColWidth="10" defaultRowHeight="16" x14ac:dyDescent="0.2"/>
  <sheetData>
    <row r="2" spans="1:1" ht="17" x14ac:dyDescent="0.2">
      <c r="A2" s="18" t="s">
        <v>2</v>
      </c>
    </row>
    <row r="3" spans="1:1" x14ac:dyDescent="0.2">
      <c r="A3" s="12">
        <v>75.7</v>
      </c>
    </row>
    <row r="4" spans="1:1" x14ac:dyDescent="0.2">
      <c r="A4" s="12">
        <v>80.099999999999994</v>
      </c>
    </row>
    <row r="5" spans="1:1" x14ac:dyDescent="0.2">
      <c r="A5" s="12">
        <v>96.7</v>
      </c>
    </row>
    <row r="6" spans="1:1" x14ac:dyDescent="0.2">
      <c r="A6" s="12">
        <v>76.099999999999994</v>
      </c>
    </row>
    <row r="7" spans="1:1" x14ac:dyDescent="0.2">
      <c r="A7" s="12">
        <v>124.7</v>
      </c>
    </row>
    <row r="8" spans="1:1" x14ac:dyDescent="0.2">
      <c r="A8" s="12">
        <v>72.5</v>
      </c>
    </row>
    <row r="9" spans="1:1" x14ac:dyDescent="0.2">
      <c r="A9" s="12">
        <v>97.5</v>
      </c>
    </row>
    <row r="10" spans="1:1" x14ac:dyDescent="0.2">
      <c r="A10" s="12">
        <v>55.9</v>
      </c>
    </row>
    <row r="11" spans="1:1" x14ac:dyDescent="0.2">
      <c r="A11" s="12">
        <v>93.7</v>
      </c>
    </row>
    <row r="12" spans="1:1" x14ac:dyDescent="0.2">
      <c r="A12" s="12">
        <v>77.099999999999994</v>
      </c>
    </row>
    <row r="13" spans="1:1" x14ac:dyDescent="0.2">
      <c r="A13" s="12">
        <v>84.1</v>
      </c>
    </row>
    <row r="14" spans="1:1" x14ac:dyDescent="0.2">
      <c r="A14" s="12">
        <v>90.1</v>
      </c>
    </row>
    <row r="15" spans="1:1" x14ac:dyDescent="0.2">
      <c r="A15" s="12">
        <v>84.8</v>
      </c>
    </row>
    <row r="16" spans="1:1" x14ac:dyDescent="0.2">
      <c r="A16" s="12">
        <v>79.2</v>
      </c>
    </row>
    <row r="17" spans="1:1" x14ac:dyDescent="0.2">
      <c r="A17" s="12">
        <v>40.5</v>
      </c>
    </row>
    <row r="18" spans="1:1" x14ac:dyDescent="0.2">
      <c r="A18" s="12">
        <v>87.4</v>
      </c>
    </row>
    <row r="19" spans="1:1" x14ac:dyDescent="0.2">
      <c r="A19" s="12">
        <v>97.1</v>
      </c>
    </row>
    <row r="20" spans="1:1" x14ac:dyDescent="0.2">
      <c r="A20" s="12">
        <v>88</v>
      </c>
    </row>
    <row r="21" spans="1:1" x14ac:dyDescent="0.2">
      <c r="A21" s="12">
        <v>96</v>
      </c>
    </row>
    <row r="22" spans="1:1" x14ac:dyDescent="0.2">
      <c r="A22" s="12">
        <v>73</v>
      </c>
    </row>
    <row r="23" spans="1:1" x14ac:dyDescent="0.2">
      <c r="A23" s="12">
        <v>95.9</v>
      </c>
    </row>
    <row r="24" spans="1:1" x14ac:dyDescent="0.2">
      <c r="A24" s="12">
        <v>48.3</v>
      </c>
    </row>
    <row r="25" spans="1:1" x14ac:dyDescent="0.2">
      <c r="A25" s="12">
        <v>79.2</v>
      </c>
    </row>
    <row r="26" spans="1:1" x14ac:dyDescent="0.2">
      <c r="A26" s="12">
        <v>56.9</v>
      </c>
    </row>
    <row r="27" spans="1:1" x14ac:dyDescent="0.2">
      <c r="A27" s="12">
        <v>89.1</v>
      </c>
    </row>
    <row r="28" spans="1:1" x14ac:dyDescent="0.2">
      <c r="A28" s="12">
        <v>102.6</v>
      </c>
    </row>
    <row r="29" spans="1:1" x14ac:dyDescent="0.2">
      <c r="A29" s="12">
        <v>90.8</v>
      </c>
    </row>
    <row r="30" spans="1:1" x14ac:dyDescent="0.2">
      <c r="A30" s="12">
        <v>66.900000000000006</v>
      </c>
    </row>
    <row r="31" spans="1:1" x14ac:dyDescent="0.2">
      <c r="A31" s="12">
        <v>72</v>
      </c>
    </row>
    <row r="32" spans="1:1" x14ac:dyDescent="0.2">
      <c r="A32" s="12">
        <v>86.6</v>
      </c>
    </row>
    <row r="33" spans="1:1" x14ac:dyDescent="0.2">
      <c r="A33" s="12">
        <v>39.200000000000003</v>
      </c>
    </row>
    <row r="34" spans="1:1" x14ac:dyDescent="0.2">
      <c r="A34" s="15">
        <v>56.5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D9963-5988-1C43-9E23-4BD45B1135D5}">
  <dimension ref="A2:A34"/>
  <sheetViews>
    <sheetView tabSelected="1" workbookViewId="0">
      <selection activeCell="C31" sqref="C31"/>
    </sheetView>
  </sheetViews>
  <sheetFormatPr baseColWidth="10" defaultRowHeight="16" x14ac:dyDescent="0.2"/>
  <sheetData>
    <row r="2" spans="1:1" ht="17" x14ac:dyDescent="0.2">
      <c r="A2" s="18" t="s">
        <v>2</v>
      </c>
    </row>
    <row r="3" spans="1:1" x14ac:dyDescent="0.2">
      <c r="A3" s="56">
        <v>75.7</v>
      </c>
    </row>
    <row r="4" spans="1:1" x14ac:dyDescent="0.2">
      <c r="A4" s="56">
        <v>80.099999999999994</v>
      </c>
    </row>
    <row r="5" spans="1:1" x14ac:dyDescent="0.2">
      <c r="A5" s="56">
        <v>96.7</v>
      </c>
    </row>
    <row r="6" spans="1:1" x14ac:dyDescent="0.2">
      <c r="A6" s="56">
        <v>76.099999999999994</v>
      </c>
    </row>
    <row r="7" spans="1:1" x14ac:dyDescent="0.2">
      <c r="A7" s="56">
        <v>124.7</v>
      </c>
    </row>
    <row r="8" spans="1:1" x14ac:dyDescent="0.2">
      <c r="A8" s="56">
        <v>72.5</v>
      </c>
    </row>
    <row r="9" spans="1:1" x14ac:dyDescent="0.2">
      <c r="A9" s="56">
        <v>97.5</v>
      </c>
    </row>
    <row r="10" spans="1:1" x14ac:dyDescent="0.2">
      <c r="A10" s="56">
        <v>55.9</v>
      </c>
    </row>
    <row r="11" spans="1:1" x14ac:dyDescent="0.2">
      <c r="A11" s="56">
        <v>93.7</v>
      </c>
    </row>
    <row r="12" spans="1:1" x14ac:dyDescent="0.2">
      <c r="A12" s="56">
        <v>77.099999999999994</v>
      </c>
    </row>
    <row r="13" spans="1:1" x14ac:dyDescent="0.2">
      <c r="A13" s="56">
        <v>84.1</v>
      </c>
    </row>
    <row r="14" spans="1:1" x14ac:dyDescent="0.2">
      <c r="A14" s="56">
        <v>90.1</v>
      </c>
    </row>
    <row r="15" spans="1:1" x14ac:dyDescent="0.2">
      <c r="A15" s="56">
        <v>84.8</v>
      </c>
    </row>
    <row r="16" spans="1:1" x14ac:dyDescent="0.2">
      <c r="A16" s="56">
        <v>79.2</v>
      </c>
    </row>
    <row r="17" spans="1:1" x14ac:dyDescent="0.2">
      <c r="A17" s="56">
        <v>40.5</v>
      </c>
    </row>
    <row r="18" spans="1:1" x14ac:dyDescent="0.2">
      <c r="A18" s="56">
        <v>87.4</v>
      </c>
    </row>
    <row r="19" spans="1:1" x14ac:dyDescent="0.2">
      <c r="A19" s="56">
        <v>97.1</v>
      </c>
    </row>
    <row r="20" spans="1:1" x14ac:dyDescent="0.2">
      <c r="A20" s="56">
        <v>88</v>
      </c>
    </row>
    <row r="21" spans="1:1" x14ac:dyDescent="0.2">
      <c r="A21" s="56">
        <v>96</v>
      </c>
    </row>
    <row r="22" spans="1:1" x14ac:dyDescent="0.2">
      <c r="A22" s="56">
        <v>73</v>
      </c>
    </row>
    <row r="23" spans="1:1" x14ac:dyDescent="0.2">
      <c r="A23" s="56">
        <v>95.9</v>
      </c>
    </row>
    <row r="24" spans="1:1" x14ac:dyDescent="0.2">
      <c r="A24" s="56">
        <v>48.3</v>
      </c>
    </row>
    <row r="25" spans="1:1" x14ac:dyDescent="0.2">
      <c r="A25" s="56">
        <v>79.2</v>
      </c>
    </row>
    <row r="26" spans="1:1" x14ac:dyDescent="0.2">
      <c r="A26" s="56">
        <v>56.9</v>
      </c>
    </row>
    <row r="27" spans="1:1" x14ac:dyDescent="0.2">
      <c r="A27" s="56">
        <v>89.1</v>
      </c>
    </row>
    <row r="28" spans="1:1" x14ac:dyDescent="0.2">
      <c r="A28" s="56">
        <v>102.6</v>
      </c>
    </row>
    <row r="29" spans="1:1" x14ac:dyDescent="0.2">
      <c r="A29" s="56">
        <v>90.8</v>
      </c>
    </row>
    <row r="30" spans="1:1" x14ac:dyDescent="0.2">
      <c r="A30" s="56">
        <v>66.900000000000006</v>
      </c>
    </row>
    <row r="31" spans="1:1" x14ac:dyDescent="0.2">
      <c r="A31" s="56">
        <v>72</v>
      </c>
    </row>
    <row r="32" spans="1:1" x14ac:dyDescent="0.2">
      <c r="A32" s="56">
        <v>86.6</v>
      </c>
    </row>
    <row r="33" spans="1:1" x14ac:dyDescent="0.2">
      <c r="A33" s="56">
        <v>39.200000000000003</v>
      </c>
    </row>
    <row r="34" spans="1:1" x14ac:dyDescent="0.2">
      <c r="A34" s="57">
        <v>56.5</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README</vt:lpstr>
      <vt:lpstr>Raw_data</vt:lpstr>
      <vt:lpstr>Calculated_data</vt:lpstr>
      <vt:lpstr>Histogram</vt:lpstr>
      <vt:lpstr>Box_whisker_plot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Slade, Peter</dc:creator>
  <cp:lastModifiedBy>Slade, Peter</cp:lastModifiedBy>
  <dcterms:created xsi:type="dcterms:W3CDTF">2026-08-17T04:58:41Z</dcterms:created>
  <dcterms:modified xsi:type="dcterms:W3CDTF">2026-08-17T22:16:45Z</dcterms:modified>
</cp:coreProperties>
</file>