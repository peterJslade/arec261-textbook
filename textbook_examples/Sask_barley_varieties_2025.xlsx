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https://usaskca1-my.sharepoint.com/personal/pjs998_usask_ca/Documents/Teaching/261/2026/textbook_261/textbook_examples/"/>
    </mc:Choice>
  </mc:AlternateContent>
  <xr:revisionPtr revIDLastSave="351" documentId="8_{E03AF2A9-D327-A541-ADB2-E7D79CDD9711}" xr6:coauthVersionLast="47" xr6:coauthVersionMax="47" xr10:uidLastSave="{0F4D7398-F796-CE4E-A558-C1021502C8CD}"/>
  <bookViews>
    <workbookView xWindow="1620" yWindow="900" windowWidth="27640" windowHeight="18120" activeTab="5" xr2:uid="{E0A39ED0-7C98-1C4C-834F-3D01DA12686E}"/>
  </bookViews>
  <sheets>
    <sheet name="README" sheetId="3" r:id="rId1"/>
    <sheet name="Raw_data" sheetId="2" r:id="rId2"/>
    <sheet name="Centre" sheetId="7" r:id="rId3"/>
    <sheet name="Location" sheetId="8" r:id="rId4"/>
    <sheet name="Spread" sheetId="9" r:id="rId5"/>
    <sheet name="Histogram" sheetId="4" r:id="rId6"/>
  </sheets>
  <definedNames>
    <definedName name="_xlchart.v1.0" hidden="1">Histogram!$A$3:$A$34</definedName>
    <definedName name="_xlchart.v1.1" hidden="1">Histogram!$A$3:$A$34</definedName>
    <definedName name="_xlchart.v1.2" hidden="1">Histogram!$A$3:$A$34</definedName>
    <definedName name="_xlchart.v1.3" hidden="1">Histogram!$A$3:$A$34</definedName>
    <definedName name="_xlchart.v1.4" hidden="1">Histogram!$A$3:$A$34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9" l="1"/>
  <c r="G7" i="9"/>
  <c r="G6" i="9"/>
  <c r="G5" i="9"/>
  <c r="G3" i="9"/>
  <c r="B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34" i="9" s="1"/>
  <c r="G5" i="8"/>
  <c r="G6" i="8"/>
  <c r="G4" i="8"/>
  <c r="G3" i="8"/>
  <c r="B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34" i="8" s="1"/>
  <c r="G7" i="7"/>
  <c r="G6" i="7"/>
  <c r="G5" i="7"/>
  <c r="G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34" i="7" s="1"/>
  <c r="B34" i="7"/>
  <c r="G3" i="7"/>
  <c r="H5" i="9"/>
  <c r="H4" i="9"/>
  <c r="H7" i="9"/>
  <c r="H3" i="9"/>
  <c r="H6" i="9"/>
  <c r="H6" i="8"/>
  <c r="H5" i="8"/>
  <c r="H3" i="8"/>
  <c r="H4" i="8"/>
  <c r="H7" i="7"/>
  <c r="H6" i="7"/>
  <c r="H5" i="7"/>
  <c r="H4" i="7"/>
  <c r="H3" i="7"/>
</calcChain>
</file>

<file path=xl/sharedStrings.xml><?xml version="1.0" encoding="utf-8"?>
<sst xmlns="http://schemas.openxmlformats.org/spreadsheetml/2006/main" count="174" uniqueCount="63">
  <si>
    <t>Variety</t>
  </si>
  <si>
    <t>Acres</t>
  </si>
  <si>
    <t>Yield_bu_ac</t>
  </si>
  <si>
    <t>SYNERGY AAC</t>
  </si>
  <si>
    <t>AUSTENSON CDC</t>
  </si>
  <si>
    <t>CONNECT AAC</t>
  </si>
  <si>
    <t>COPELAND CDC</t>
  </si>
  <si>
    <t>FRASER CDC</t>
  </si>
  <si>
    <t>CHURCHILL CDC</t>
  </si>
  <si>
    <t>MAVERICK CDC</t>
  </si>
  <si>
    <t>DURANGO CDC</t>
  </si>
  <si>
    <t>ADVANTAGE AB</t>
  </si>
  <si>
    <t>CLAYMORE</t>
  </si>
  <si>
    <t>LEGACY</t>
  </si>
  <si>
    <t>ALTORADO</t>
  </si>
  <si>
    <t>RENEGADE CDC</t>
  </si>
  <si>
    <t>COWBOY CDC</t>
  </si>
  <si>
    <t>CHAMPION</t>
  </si>
  <si>
    <t>GOLDSTAR CDC</t>
  </si>
  <si>
    <t>ESMA</t>
  </si>
  <si>
    <t>CATTLELAC AB</t>
  </si>
  <si>
    <t>OREANA</t>
  </si>
  <si>
    <t>CONLON</t>
  </si>
  <si>
    <t>METCALFE AC</t>
  </si>
  <si>
    <t>HAGUE AB</t>
  </si>
  <si>
    <t>WRANGLER AB</t>
  </si>
  <si>
    <t>BRAHMA</t>
  </si>
  <si>
    <t>NEWDALE</t>
  </si>
  <si>
    <t>CERVEZA</t>
  </si>
  <si>
    <t>ROSSER AC</t>
  </si>
  <si>
    <t>XENA</t>
  </si>
  <si>
    <t>COPPER CDC</t>
  </si>
  <si>
    <t>MCGWIRE CDC</t>
  </si>
  <si>
    <t>ALBRIGHT AC</t>
  </si>
  <si>
    <t>RATTAN CDC</t>
  </si>
  <si>
    <t>Production</t>
  </si>
  <si>
    <t>Total</t>
  </si>
  <si>
    <t>Average</t>
  </si>
  <si>
    <t>Median</t>
  </si>
  <si>
    <t>Range</t>
  </si>
  <si>
    <t>Variance</t>
  </si>
  <si>
    <t>This workbook contains raw data on acreage and average yields of Barley varieties in Saskatchewan in 2025 and summary statistics of the data</t>
  </si>
  <si>
    <t>Mode</t>
  </si>
  <si>
    <t>Wtd Average</t>
  </si>
  <si>
    <t>Central tendecy of yields</t>
  </si>
  <si>
    <t>1st quartile</t>
  </si>
  <si>
    <t>3rd quartile</t>
  </si>
  <si>
    <t>90th percentile</t>
  </si>
  <si>
    <t>10th percentile</t>
  </si>
  <si>
    <t>These numbers represent is the location of quartiles and percentiles in the distribution of average variety yields.  One quarter of varieties have average yields below 73.375 and one quarter have average yields above 91.525.</t>
  </si>
  <si>
    <t>Spread of yields</t>
  </si>
  <si>
    <t>Standard dev.</t>
  </si>
  <si>
    <t>Coeff of var</t>
  </si>
  <si>
    <t>IQR</t>
  </si>
  <si>
    <t xml:space="preserve">A note on interpreting variability: correlation is not casuation!  The fact that some barley varieties perform worse than others might be due to the varieties themselves.  But is could also be due to the type of farmers that grown them.  Maybe some varieties are a bit more drought tolerant than others.  So farmers who face drought are more likely to use these varieties.  This means that there isn't a fair comparison between varieties. </t>
  </si>
  <si>
    <t xml:space="preserve">A note on interpretation: correlation is not casuation!  The fact that some barley varieties perform worse than others might be due to the varieties themselves.  But it could also be due to the type of farmers that grown them.  Maybe some varieties are a bit more drought tolerant than others.  So farmers who face drought are more likely to use these varieties.  This means that there isn't a fair comparison between varieties. </t>
  </si>
  <si>
    <t>Raw data</t>
  </si>
  <si>
    <t>Summary of data</t>
  </si>
  <si>
    <t>Centre</t>
  </si>
  <si>
    <t>Location</t>
  </si>
  <si>
    <t>Spread</t>
  </si>
  <si>
    <t>Histogram</t>
  </si>
  <si>
    <t>Links to worksheets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</si>
</sst>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6"/>
      <color theme="1"/>
      <name val="Aptos Narrow"/>
      <family val="2"/>
      <scheme val="minor"/>
    </font>
    <font>
      <b/>
      <sz val="16"/>
      <color theme="1"/>
      <name val="Aptos Narrow"/>
      <scheme val="minor"/>
    </font>
    <font>
      <sz val="14"/>
      <color theme="1"/>
      <name val="Aptos Narrow"/>
      <scheme val="minor"/>
    </font>
    <font>
      <sz val="14"/>
      <color theme="1"/>
      <name val="Aptos Narrow"/>
      <family val="2"/>
      <scheme val="minor"/>
    </font>
    <font>
      <u/>
      <sz val="12"/>
      <color theme="10"/>
      <name val="Aptos Narrow"/>
      <family val="2"/>
      <scheme val="minor"/>
    </font>
    <font>
      <u/>
      <sz val="14"/>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29">
    <xf numFmtId="0" fontId="0" fillId="0" borderId="0" xfId="0"/>
    <xf numFmtId="3" fontId="0" fillId="34" borderId="0" xfId="0" applyNumberFormat="1" applyFill="1"/>
    <xf numFmtId="3" fontId="0" fillId="34" borderId="15" xfId="0" applyNumberFormat="1" applyFill="1" applyBorder="1"/>
    <xf numFmtId="0" fontId="18" fillId="33" borderId="17" xfId="0" applyFont="1" applyFill="1" applyBorder="1" applyAlignment="1">
      <alignment horizontal="center" wrapText="1"/>
    </xf>
    <xf numFmtId="0" fontId="0" fillId="33" borderId="0" xfId="0" applyFill="1"/>
    <xf numFmtId="0" fontId="19" fillId="0" borderId="0" xfId="0" applyFont="1" applyAlignment="1">
      <alignment wrapText="1"/>
    </xf>
    <xf numFmtId="0" fontId="0" fillId="34" borderId="0" xfId="0" applyFill="1"/>
    <xf numFmtId="0" fontId="20" fillId="0" borderId="0" xfId="0" applyFont="1" applyAlignment="1">
      <alignment horizontal="center" wrapText="1"/>
    </xf>
    <xf numFmtId="0" fontId="0" fillId="35" borderId="0" xfId="0" applyFill="1"/>
    <xf numFmtId="0" fontId="0" fillId="36" borderId="19" xfId="0" applyFill="1" applyBorder="1" applyAlignment="1">
      <alignment horizontal="center"/>
    </xf>
    <xf numFmtId="0" fontId="18" fillId="0" borderId="0" xfId="0" applyFont="1" applyBorder="1"/>
    <xf numFmtId="0" fontId="0" fillId="0" borderId="0" xfId="0" applyBorder="1"/>
    <xf numFmtId="0" fontId="18" fillId="0" borderId="10" xfId="0" applyFont="1" applyBorder="1"/>
    <xf numFmtId="0" fontId="0" fillId="0" borderId="11" xfId="0" applyBorder="1"/>
    <xf numFmtId="0" fontId="18" fillId="0" borderId="12" xfId="0" applyFont="1" applyBorder="1"/>
    <xf numFmtId="0" fontId="0" fillId="0" borderId="13" xfId="0" applyBorder="1"/>
    <xf numFmtId="0" fontId="18" fillId="0" borderId="14" xfId="0" applyFont="1" applyBorder="1"/>
    <xf numFmtId="0" fontId="0" fillId="0" borderId="16" xfId="0" applyBorder="1"/>
    <xf numFmtId="0" fontId="0" fillId="0" borderId="0" xfId="0" applyFill="1"/>
    <xf numFmtId="3" fontId="0" fillId="35" borderId="0" xfId="0" applyNumberFormat="1" applyFill="1"/>
    <xf numFmtId="3" fontId="0" fillId="0" borderId="0" xfId="0" applyNumberFormat="1" applyFill="1"/>
    <xf numFmtId="2" fontId="0" fillId="0" borderId="11" xfId="0" applyNumberFormat="1" applyBorder="1"/>
    <xf numFmtId="2" fontId="0" fillId="0" borderId="13" xfId="0" applyNumberFormat="1" applyBorder="1"/>
    <xf numFmtId="2" fontId="0" fillId="0" borderId="16" xfId="0" applyNumberFormat="1" applyBorder="1"/>
    <xf numFmtId="0" fontId="21" fillId="0" borderId="18" xfId="0" applyFont="1" applyFill="1" applyBorder="1" applyAlignment="1">
      <alignment horizontal="justify" vertical="top" wrapText="1"/>
    </xf>
    <xf numFmtId="0" fontId="22" fillId="0" borderId="18" xfId="0" applyFont="1" applyBorder="1" applyAlignment="1">
      <alignment horizontal="justify" vertical="top" wrapText="1"/>
    </xf>
    <xf numFmtId="0" fontId="24" fillId="33" borderId="0" xfId="42" applyFont="1" applyFill="1"/>
    <xf numFmtId="0" fontId="22" fillId="33" borderId="0" xfId="0" applyFont="1" applyFill="1"/>
    <xf numFmtId="0" fontId="22" fillId="35" borderId="0" xfId="0"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Histogram of Average Saskatchewan Barley Variety Yields  in 2025</cx:v>
        </cx:txData>
      </cx:tx>
      <cx:txPr>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Histogram of Average Saskatchewan Barley Variety Yields  in 2025</a:t>
          </a:r>
        </a:p>
      </cx:txPr>
    </cx:title>
    <cx:plotArea>
      <cx:plotAreaRegion>
        <cx:series layoutId="clusteredColumn" uniqueId="{00000000-0544-1644-87B6-0D2A04D2962F}">
          <cx:dataId val="0"/>
          <cx:layoutPr>
            <cx:binning intervalClosed="r" underflow="40" overflow="100">
              <cx:binSize val="15"/>
            </cx:binning>
          </cx:layoutPr>
        </cx:series>
      </cx:plotAreaRegion>
      <cx:axis id="0">
        <cx:catScaling gapWidth="0"/>
        <cx:title>
          <cx:tx>
            <cx:txData>
              <cx:v>Average yield of variety (bu/acre)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Average yield of variety (bu/acre)</a:t>
              </a:r>
            </a:p>
          </cx:txPr>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Count of barley varieties</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Count of barley varieties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Histogram of Average Saskatchewan Barley Variety Yields  in 2025 </a:t>
            </a:r>
            <a:r>
              <a:rPr lang="en-US" sz="1600" b="1" i="0" u="none" strike="noStrike" baseline="0">
                <a:solidFill>
                  <a:sysClr val="windowText" lastClr="000000">
                    <a:lumMod val="65000"/>
                    <a:lumOff val="35000"/>
                  </a:sysClr>
                </a:solidFill>
                <a:latin typeface="Aptos Narrow" panose="02110004020202020204"/>
              </a:rPr>
              <a:t>(too many bins)</a:t>
            </a:r>
          </a:p>
        </cx:rich>
      </cx:tx>
      <cx:extLst>
        <cx:ext uri="ext:featex">
          <cx:featureExtension feature="mp" drop="onModelChange">
            <cx:offset top="-0.013888888992369175" left="0.4861111044883728"/>
          </cx:featureExtension>
        </cx:ext>
      </cx:extLst>
    </cx:title>
    <cx:plotArea>
      <cx:plotAreaRegion>
        <cx:series layoutId="clusteredColumn" uniqueId="{00000000-0544-1644-87B6-0D2A04D2962F}">
          <cx:dataId val="0"/>
          <cx:layoutPr>
            <cx:binning intervalClosed="r" underflow="40" overflow="100">
              <cx:binSize val="5"/>
            </cx:binning>
          </cx:layoutPr>
        </cx:series>
      </cx:plotAreaRegion>
      <cx:axis id="0">
        <cx:catScaling gapWidth="0"/>
        <cx:title>
          <cx:tx>
            <cx:txData>
              <cx:v>Average yield of variety (bu/acre)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Average yield of variety (bu/acre)</a:t>
              </a:r>
            </a:p>
          </cx:txPr>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Count of barley varieties</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Count of barley varieties</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Histogram of Average Saskatchewan Barley Variety Yields  in 2025 </a:t>
            </a:r>
            <a:r>
              <a:rPr lang="en-US" sz="1600" b="1" i="0" u="none" strike="noStrike" baseline="0">
                <a:solidFill>
                  <a:sysClr val="windowText" lastClr="000000">
                    <a:lumMod val="65000"/>
                    <a:lumOff val="35000"/>
                  </a:sysClr>
                </a:solidFill>
                <a:latin typeface="Aptos Narrow" panose="02110004020202020204"/>
              </a:rPr>
              <a:t>(too few bins)</a:t>
            </a:r>
          </a:p>
        </cx:rich>
      </cx:tx>
      <cx:extLst>
        <cx:ext uri="ext:featex">
          <cx:featureExtension feature="mp" drop="onModelChange">
            <cx:offset top="-0.013888888992369175" left="0.4861111044883728"/>
          </cx:featureExtension>
        </cx:ext>
      </cx:extLst>
    </cx:title>
    <cx:plotArea>
      <cx:plotAreaRegion>
        <cx:series layoutId="clusteredColumn" uniqueId="{00000000-0544-1644-87B6-0D2A04D2962F}">
          <cx:dataId val="0"/>
          <cx:layoutPr>
            <cx:binning intervalClosed="r" underflow="40" overflow="100">
              <cx:binSize val="30"/>
            </cx:binning>
          </cx:layoutPr>
        </cx:series>
      </cx:plotAreaRegion>
      <cx:axis id="0">
        <cx:catScaling gapWidth="0"/>
        <cx:title>
          <cx:tx>
            <cx:txData>
              <cx:v>Average yield of variety (bu/acre)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Average yield of variety (bu/acre)</a:t>
              </a:r>
            </a:p>
          </cx:txPr>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Count of barley varieties</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Count of barley varieties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88900</xdr:rowOff>
    </xdr:from>
    <xdr:to>
      <xdr:col>7</xdr:col>
      <xdr:colOff>279400</xdr:colOff>
      <xdr:row>14</xdr:row>
      <xdr:rowOff>25400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4BC997D-FE97-B0EC-404D-89C14BFF3E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1700" y="88900"/>
              <a:ext cx="5156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88900</xdr:colOff>
      <xdr:row>14</xdr:row>
      <xdr:rowOff>101600</xdr:rowOff>
    </xdr:from>
    <xdr:to>
      <xdr:col>7</xdr:col>
      <xdr:colOff>292100</xdr:colOff>
      <xdr:row>28</xdr:row>
      <xdr:rowOff>50800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FB31C8C-0379-084B-A55F-BDB20F5AA5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4400" y="2959100"/>
              <a:ext cx="5156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101600</xdr:colOff>
      <xdr:row>28</xdr:row>
      <xdr:rowOff>101600</xdr:rowOff>
    </xdr:from>
    <xdr:to>
      <xdr:col>7</xdr:col>
      <xdr:colOff>304800</xdr:colOff>
      <xdr:row>42</xdr:row>
      <xdr:rowOff>50800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EDDA579-0314-8448-AF02-DE074F6A20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27100" y="5803900"/>
              <a:ext cx="5156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3771-09AC-AA47-B5A6-E67DCD85978C}">
  <dimension ref="A5:J15"/>
  <sheetViews>
    <sheetView topLeftCell="A2" workbookViewId="0">
      <selection activeCell="A15" sqref="A15"/>
    </sheetView>
  </sheetViews>
  <sheetFormatPr baseColWidth="10" defaultRowHeight="16" x14ac:dyDescent="0.2"/>
  <cols>
    <col min="1" max="1" width="17.5" customWidth="1"/>
  </cols>
  <sheetData>
    <row r="5" spans="1:10" ht="47" customHeight="1" x14ac:dyDescent="0.3">
      <c r="A5" s="7" t="s">
        <v>41</v>
      </c>
      <c r="B5" s="7"/>
      <c r="C5" s="7"/>
      <c r="D5" s="7"/>
      <c r="E5" s="7"/>
      <c r="F5" s="7"/>
      <c r="G5" s="7"/>
      <c r="H5" s="7"/>
      <c r="I5" s="7"/>
      <c r="J5" s="7"/>
    </row>
    <row r="7" spans="1:10" ht="16" customHeight="1" x14ac:dyDescent="0.3">
      <c r="A7" s="5"/>
      <c r="B7" s="5"/>
      <c r="C7" s="5"/>
      <c r="D7" s="5"/>
      <c r="E7" s="5"/>
      <c r="F7" s="5"/>
      <c r="G7" s="5"/>
      <c r="H7" s="5"/>
      <c r="I7" s="5"/>
      <c r="J7" s="5"/>
    </row>
    <row r="8" spans="1:10" ht="16" customHeight="1" x14ac:dyDescent="0.25">
      <c r="A8" s="28" t="s">
        <v>62</v>
      </c>
      <c r="B8" s="28"/>
    </row>
    <row r="9" spans="1:10" ht="19" x14ac:dyDescent="0.25">
      <c r="A9" s="26" t="s">
        <v>56</v>
      </c>
      <c r="B9" s="4"/>
    </row>
    <row r="10" spans="1:10" ht="19" x14ac:dyDescent="0.25">
      <c r="A10" s="27"/>
      <c r="B10" s="4"/>
    </row>
    <row r="11" spans="1:10" ht="19" x14ac:dyDescent="0.25">
      <c r="A11" s="27" t="s">
        <v>57</v>
      </c>
      <c r="B11" s="4"/>
    </row>
    <row r="12" spans="1:10" ht="19" x14ac:dyDescent="0.25">
      <c r="A12" s="26" t="s">
        <v>58</v>
      </c>
      <c r="B12" s="4"/>
    </row>
    <row r="13" spans="1:10" ht="19" x14ac:dyDescent="0.25">
      <c r="A13" s="26" t="s">
        <v>59</v>
      </c>
      <c r="B13" s="4"/>
    </row>
    <row r="14" spans="1:10" ht="19" x14ac:dyDescent="0.25">
      <c r="A14" s="26" t="s">
        <v>60</v>
      </c>
      <c r="B14" s="4"/>
    </row>
    <row r="15" spans="1:10" ht="19" x14ac:dyDescent="0.25">
      <c r="A15" s="26" t="s">
        <v>61</v>
      </c>
      <c r="B15" s="4"/>
    </row>
  </sheetData>
  <mergeCells count="2">
    <mergeCell ref="A5:J5"/>
    <mergeCell ref="A8:B8"/>
  </mergeCells>
  <hyperlinks>
    <hyperlink ref="A9" location="Raw_data!A1" display="Raw data" xr:uid="{5B2A4C0F-CCB9-7E49-B2E6-F72793B8DD50}"/>
    <hyperlink ref="A12" location="Centre!A1" display="Centre" xr:uid="{FD56BE4B-5542-D144-B821-646F20505437}"/>
    <hyperlink ref="A13" location="Location!A1" display="Location" xr:uid="{E5FD6894-0C8B-8046-B2A7-6C43469B9E9B}"/>
    <hyperlink ref="A14" location="Spread!A1" display="Spread" xr:uid="{0F1D91FE-DC6E-4047-90AA-2AF472681A17}"/>
    <hyperlink ref="A15" location="Histogram!A1" display="Histogram" xr:uid="{9A41DEE5-BB32-5A4D-B5A7-5F93DC8290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DED5-7313-7349-81D7-985BD508B2C5}">
  <dimension ref="A1:C33"/>
  <sheetViews>
    <sheetView workbookViewId="0">
      <selection activeCell="E10" sqref="E10"/>
    </sheetView>
  </sheetViews>
  <sheetFormatPr baseColWidth="10" defaultRowHeight="16" x14ac:dyDescent="0.2"/>
  <sheetData>
    <row r="1" spans="1:3" x14ac:dyDescent="0.2">
      <c r="A1" s="6" t="s">
        <v>0</v>
      </c>
      <c r="B1" s="6" t="s">
        <v>1</v>
      </c>
      <c r="C1" s="6" t="s">
        <v>2</v>
      </c>
    </row>
    <row r="2" spans="1:3" x14ac:dyDescent="0.2">
      <c r="A2" s="6" t="s">
        <v>3</v>
      </c>
      <c r="B2" s="6">
        <v>392684</v>
      </c>
      <c r="C2" s="6">
        <v>86.6</v>
      </c>
    </row>
    <row r="3" spans="1:3" x14ac:dyDescent="0.2">
      <c r="A3" s="6" t="s">
        <v>4</v>
      </c>
      <c r="B3" s="6">
        <v>197626</v>
      </c>
      <c r="C3" s="6">
        <v>76.099999999999994</v>
      </c>
    </row>
    <row r="4" spans="1:3" x14ac:dyDescent="0.2">
      <c r="A4" s="6" t="s">
        <v>5</v>
      </c>
      <c r="B4" s="6">
        <v>143023</v>
      </c>
      <c r="C4" s="6">
        <v>90.1</v>
      </c>
    </row>
    <row r="5" spans="1:3" x14ac:dyDescent="0.2">
      <c r="A5" s="6" t="s">
        <v>6</v>
      </c>
      <c r="B5" s="6">
        <v>125867</v>
      </c>
      <c r="C5" s="6">
        <v>84.8</v>
      </c>
    </row>
    <row r="6" spans="1:3" x14ac:dyDescent="0.2">
      <c r="A6" s="6" t="s">
        <v>7</v>
      </c>
      <c r="B6" s="6">
        <v>74958</v>
      </c>
      <c r="C6" s="6">
        <v>88</v>
      </c>
    </row>
    <row r="7" spans="1:3" x14ac:dyDescent="0.2">
      <c r="A7" s="6" t="s">
        <v>8</v>
      </c>
      <c r="B7" s="6">
        <v>66119</v>
      </c>
      <c r="C7" s="6">
        <v>93.7</v>
      </c>
    </row>
    <row r="8" spans="1:3" x14ac:dyDescent="0.2">
      <c r="A8" s="6" t="s">
        <v>9</v>
      </c>
      <c r="B8" s="6">
        <v>55767</v>
      </c>
      <c r="C8" s="6">
        <v>48.3</v>
      </c>
    </row>
    <row r="9" spans="1:3" x14ac:dyDescent="0.2">
      <c r="A9" s="6" t="s">
        <v>10</v>
      </c>
      <c r="B9" s="6">
        <v>38961</v>
      </c>
      <c r="C9" s="6">
        <v>87.4</v>
      </c>
    </row>
    <row r="10" spans="1:3" x14ac:dyDescent="0.2">
      <c r="A10" s="6" t="s">
        <v>11</v>
      </c>
      <c r="B10" s="6">
        <v>22568</v>
      </c>
      <c r="C10" s="6">
        <v>75.7</v>
      </c>
    </row>
    <row r="11" spans="1:3" x14ac:dyDescent="0.2">
      <c r="A11" s="6" t="s">
        <v>12</v>
      </c>
      <c r="B11" s="6">
        <v>21676</v>
      </c>
      <c r="C11" s="6">
        <v>77.099999999999994</v>
      </c>
    </row>
    <row r="12" spans="1:3" x14ac:dyDescent="0.2">
      <c r="A12" s="6" t="s">
        <v>13</v>
      </c>
      <c r="B12" s="6">
        <v>21311</v>
      </c>
      <c r="C12" s="6">
        <v>95.9</v>
      </c>
    </row>
    <row r="13" spans="1:3" x14ac:dyDescent="0.2">
      <c r="A13" s="6" t="s">
        <v>14</v>
      </c>
      <c r="B13" s="6">
        <v>18710</v>
      </c>
      <c r="C13" s="6">
        <v>96.7</v>
      </c>
    </row>
    <row r="14" spans="1:3" x14ac:dyDescent="0.2">
      <c r="A14" s="6" t="s">
        <v>15</v>
      </c>
      <c r="B14" s="6">
        <v>17566</v>
      </c>
      <c r="C14" s="6">
        <v>66.900000000000006</v>
      </c>
    </row>
    <row r="15" spans="1:3" x14ac:dyDescent="0.2">
      <c r="A15" s="6" t="s">
        <v>16</v>
      </c>
      <c r="B15" s="6">
        <v>10249</v>
      </c>
      <c r="C15" s="6">
        <v>40.5</v>
      </c>
    </row>
    <row r="16" spans="1:3" x14ac:dyDescent="0.2">
      <c r="A16" s="6" t="s">
        <v>17</v>
      </c>
      <c r="B16" s="6">
        <v>8884</v>
      </c>
      <c r="C16" s="6">
        <v>55.9</v>
      </c>
    </row>
    <row r="17" spans="1:3" x14ac:dyDescent="0.2">
      <c r="A17" s="6" t="s">
        <v>18</v>
      </c>
      <c r="B17" s="6">
        <v>7282</v>
      </c>
      <c r="C17" s="6">
        <v>96</v>
      </c>
    </row>
    <row r="18" spans="1:3" x14ac:dyDescent="0.2">
      <c r="A18" s="6" t="s">
        <v>19</v>
      </c>
      <c r="B18" s="6">
        <v>6754</v>
      </c>
      <c r="C18" s="6">
        <v>97.1</v>
      </c>
    </row>
    <row r="19" spans="1:3" x14ac:dyDescent="0.2">
      <c r="A19" s="6" t="s">
        <v>20</v>
      </c>
      <c r="B19" s="6">
        <v>5792</v>
      </c>
      <c r="C19" s="6">
        <v>72.5</v>
      </c>
    </row>
    <row r="20" spans="1:3" x14ac:dyDescent="0.2">
      <c r="A20" s="6" t="s">
        <v>21</v>
      </c>
      <c r="B20" s="6">
        <v>5636</v>
      </c>
      <c r="C20" s="6">
        <v>102.6</v>
      </c>
    </row>
    <row r="21" spans="1:3" x14ac:dyDescent="0.2">
      <c r="A21" s="6" t="s">
        <v>22</v>
      </c>
      <c r="B21" s="6">
        <v>5274</v>
      </c>
      <c r="C21" s="6">
        <v>84.1</v>
      </c>
    </row>
    <row r="22" spans="1:3" x14ac:dyDescent="0.2">
      <c r="A22" s="6" t="s">
        <v>23</v>
      </c>
      <c r="B22" s="6">
        <v>5090</v>
      </c>
      <c r="C22" s="6">
        <v>56.9</v>
      </c>
    </row>
    <row r="23" spans="1:3" x14ac:dyDescent="0.2">
      <c r="A23" s="6" t="s">
        <v>24</v>
      </c>
      <c r="B23" s="6">
        <v>4750</v>
      </c>
      <c r="C23" s="6">
        <v>73</v>
      </c>
    </row>
    <row r="24" spans="1:3" x14ac:dyDescent="0.2">
      <c r="A24" s="6" t="s">
        <v>25</v>
      </c>
      <c r="B24" s="6">
        <v>3015</v>
      </c>
      <c r="C24" s="6">
        <v>39.200000000000003</v>
      </c>
    </row>
    <row r="25" spans="1:3" x14ac:dyDescent="0.2">
      <c r="A25" s="6" t="s">
        <v>26</v>
      </c>
      <c r="B25" s="6">
        <v>2607</v>
      </c>
      <c r="C25" s="6">
        <v>124.7</v>
      </c>
    </row>
    <row r="26" spans="1:3" x14ac:dyDescent="0.2">
      <c r="A26" s="6" t="s">
        <v>27</v>
      </c>
      <c r="B26" s="6">
        <v>2190</v>
      </c>
      <c r="C26" s="6">
        <v>89.1</v>
      </c>
    </row>
    <row r="27" spans="1:3" x14ac:dyDescent="0.2">
      <c r="A27" s="6" t="s">
        <v>28</v>
      </c>
      <c r="B27" s="6">
        <v>1998</v>
      </c>
      <c r="C27" s="6">
        <v>97.5</v>
      </c>
    </row>
    <row r="28" spans="1:3" x14ac:dyDescent="0.2">
      <c r="A28" s="6" t="s">
        <v>29</v>
      </c>
      <c r="B28" s="6">
        <v>1430</v>
      </c>
      <c r="C28" s="6">
        <v>72</v>
      </c>
    </row>
    <row r="29" spans="1:3" x14ac:dyDescent="0.2">
      <c r="A29" s="6" t="s">
        <v>30</v>
      </c>
      <c r="B29" s="6">
        <v>1287</v>
      </c>
      <c r="C29" s="6">
        <v>56.5</v>
      </c>
    </row>
    <row r="30" spans="1:3" x14ac:dyDescent="0.2">
      <c r="A30" s="6" t="s">
        <v>31</v>
      </c>
      <c r="B30" s="6">
        <v>901</v>
      </c>
      <c r="C30" s="6">
        <v>79.2</v>
      </c>
    </row>
    <row r="31" spans="1:3" x14ac:dyDescent="0.2">
      <c r="A31" s="6" t="s">
        <v>32</v>
      </c>
      <c r="B31" s="6">
        <v>825</v>
      </c>
      <c r="C31" s="6">
        <v>79.2</v>
      </c>
    </row>
    <row r="32" spans="1:3" x14ac:dyDescent="0.2">
      <c r="A32" s="6" t="s">
        <v>33</v>
      </c>
      <c r="B32" s="6">
        <v>700</v>
      </c>
      <c r="C32" s="6">
        <v>80.099999999999994</v>
      </c>
    </row>
    <row r="33" spans="1:3" x14ac:dyDescent="0.2">
      <c r="A33" s="6" t="s">
        <v>34</v>
      </c>
      <c r="B33" s="6">
        <v>460</v>
      </c>
      <c r="C33" s="6">
        <v>90.8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3A95-5D9B-FE45-BA53-283B8DC6ACB7}">
  <dimension ref="A1:H34"/>
  <sheetViews>
    <sheetView workbookViewId="0">
      <selection activeCell="F13" sqref="F13"/>
    </sheetView>
  </sheetViews>
  <sheetFormatPr baseColWidth="10" defaultRowHeight="16" x14ac:dyDescent="0.2"/>
  <cols>
    <col min="4" max="4" width="11.1640625" bestFit="1" customWidth="1"/>
    <col min="5" max="5" width="10.83203125" style="18"/>
    <col min="6" max="6" width="14.1640625" customWidth="1"/>
    <col min="7" max="7" width="10.6640625" customWidth="1"/>
    <col min="8" max="8" width="44.5" customWidth="1"/>
  </cols>
  <sheetData>
    <row r="1" spans="1:8" x14ac:dyDescent="0.2">
      <c r="A1" s="6" t="s">
        <v>0</v>
      </c>
      <c r="B1" s="6" t="s">
        <v>1</v>
      </c>
      <c r="C1" s="6" t="s">
        <v>2</v>
      </c>
      <c r="D1" s="18" t="s">
        <v>35</v>
      </c>
    </row>
    <row r="2" spans="1:8" x14ac:dyDescent="0.2">
      <c r="A2" s="6" t="s">
        <v>3</v>
      </c>
      <c r="B2" s="1">
        <v>392684</v>
      </c>
      <c r="C2" s="6">
        <v>86.6</v>
      </c>
      <c r="D2" s="20">
        <f>B2*C2</f>
        <v>34006434.399999999</v>
      </c>
      <c r="F2" s="9" t="s">
        <v>44</v>
      </c>
      <c r="G2" s="9"/>
    </row>
    <row r="3" spans="1:8" x14ac:dyDescent="0.2">
      <c r="A3" s="6" t="s">
        <v>4</v>
      </c>
      <c r="B3" s="1">
        <v>197626</v>
      </c>
      <c r="C3" s="6">
        <v>76.099999999999994</v>
      </c>
      <c r="D3" s="20">
        <f t="shared" ref="D3:D33" si="0">B3*C3</f>
        <v>15039338.6</v>
      </c>
      <c r="F3" s="12" t="s">
        <v>37</v>
      </c>
      <c r="G3" s="13">
        <f>AVERAGE(C2:C33)</f>
        <v>79.81874999999998</v>
      </c>
      <c r="H3" t="str">
        <f ca="1">_xlfn.FORMULATEXT(G3)</f>
        <v>=AVERAGE(C2:C33)</v>
      </c>
    </row>
    <row r="4" spans="1:8" x14ac:dyDescent="0.2">
      <c r="A4" s="6" t="s">
        <v>5</v>
      </c>
      <c r="B4" s="1">
        <v>143023</v>
      </c>
      <c r="C4" s="6">
        <v>90.1</v>
      </c>
      <c r="D4" s="20">
        <f t="shared" si="0"/>
        <v>12886372.299999999</v>
      </c>
      <c r="F4" s="14" t="s">
        <v>43</v>
      </c>
      <c r="G4" s="15">
        <f>D34/B34</f>
        <v>82.93651081795025</v>
      </c>
      <c r="H4" t="str">
        <f ca="1">_xlfn.FORMULATEXT(G4)</f>
        <v>=D34/B34</v>
      </c>
    </row>
    <row r="5" spans="1:8" x14ac:dyDescent="0.2">
      <c r="A5" s="6" t="s">
        <v>6</v>
      </c>
      <c r="B5" s="1">
        <v>125867</v>
      </c>
      <c r="C5" s="6">
        <v>84.8</v>
      </c>
      <c r="D5" s="20">
        <f t="shared" si="0"/>
        <v>10673521.6</v>
      </c>
      <c r="F5" s="14"/>
      <c r="G5" s="15">
        <f>SUMPRODUCT(B2:B33,C2:C33)/SUM(B2:B33)</f>
        <v>82.93651081795025</v>
      </c>
      <c r="H5" t="str">
        <f ca="1">_xlfn.FORMULATEXT(G5)</f>
        <v>=SUMPRODUCT(B2:B33,C2:C33)/SUM(B2:B33)</v>
      </c>
    </row>
    <row r="6" spans="1:8" x14ac:dyDescent="0.2">
      <c r="A6" s="6" t="s">
        <v>7</v>
      </c>
      <c r="B6" s="1">
        <v>74958</v>
      </c>
      <c r="C6" s="6">
        <v>88</v>
      </c>
      <c r="D6" s="20">
        <f t="shared" si="0"/>
        <v>6596304</v>
      </c>
      <c r="F6" s="14" t="s">
        <v>38</v>
      </c>
      <c r="G6" s="15">
        <f>MEDIAN(C2:C33)</f>
        <v>82.1</v>
      </c>
      <c r="H6" t="str">
        <f ca="1">_xlfn.FORMULATEXT(G6)</f>
        <v>=MEDIAN(C2:C33)</v>
      </c>
    </row>
    <row r="7" spans="1:8" x14ac:dyDescent="0.2">
      <c r="A7" s="6" t="s">
        <v>8</v>
      </c>
      <c r="B7" s="1">
        <v>66119</v>
      </c>
      <c r="C7" s="6">
        <v>93.7</v>
      </c>
      <c r="D7" s="20">
        <f t="shared" si="0"/>
        <v>6195350.2999999998</v>
      </c>
      <c r="F7" s="16" t="s">
        <v>42</v>
      </c>
      <c r="G7" s="17">
        <f>MODE(C2:C33)</f>
        <v>79.2</v>
      </c>
      <c r="H7" t="str">
        <f ca="1">_xlfn.FORMULATEXT(G7)</f>
        <v>=MODE(C2:C33)</v>
      </c>
    </row>
    <row r="8" spans="1:8" x14ac:dyDescent="0.2">
      <c r="A8" s="6" t="s">
        <v>9</v>
      </c>
      <c r="B8" s="1">
        <v>55767</v>
      </c>
      <c r="C8" s="6">
        <v>48.3</v>
      </c>
      <c r="D8" s="20">
        <f t="shared" si="0"/>
        <v>2693546.0999999996</v>
      </c>
    </row>
    <row r="9" spans="1:8" x14ac:dyDescent="0.2">
      <c r="A9" s="6" t="s">
        <v>10</v>
      </c>
      <c r="B9" s="1">
        <v>38961</v>
      </c>
      <c r="C9" s="6">
        <v>87.4</v>
      </c>
      <c r="D9" s="20">
        <f t="shared" si="0"/>
        <v>3405191.4000000004</v>
      </c>
    </row>
    <row r="10" spans="1:8" x14ac:dyDescent="0.2">
      <c r="A10" s="6" t="s">
        <v>11</v>
      </c>
      <c r="B10" s="1">
        <v>22568</v>
      </c>
      <c r="C10" s="6">
        <v>75.7</v>
      </c>
      <c r="D10" s="20">
        <f t="shared" si="0"/>
        <v>1708397.6</v>
      </c>
    </row>
    <row r="11" spans="1:8" x14ac:dyDescent="0.2">
      <c r="A11" s="6" t="s">
        <v>12</v>
      </c>
      <c r="B11" s="1">
        <v>21676</v>
      </c>
      <c r="C11" s="6">
        <v>77.099999999999994</v>
      </c>
      <c r="D11" s="20">
        <f t="shared" si="0"/>
        <v>1671219.5999999999</v>
      </c>
    </row>
    <row r="12" spans="1:8" x14ac:dyDescent="0.2">
      <c r="A12" s="6" t="s">
        <v>13</v>
      </c>
      <c r="B12" s="1">
        <v>21311</v>
      </c>
      <c r="C12" s="6">
        <v>95.9</v>
      </c>
      <c r="D12" s="20">
        <f t="shared" si="0"/>
        <v>2043724.9000000001</v>
      </c>
    </row>
    <row r="13" spans="1:8" x14ac:dyDescent="0.2">
      <c r="A13" s="6" t="s">
        <v>14</v>
      </c>
      <c r="B13" s="1">
        <v>18710</v>
      </c>
      <c r="C13" s="6">
        <v>96.7</v>
      </c>
      <c r="D13" s="20">
        <f t="shared" si="0"/>
        <v>1809257</v>
      </c>
    </row>
    <row r="14" spans="1:8" x14ac:dyDescent="0.2">
      <c r="A14" s="6" t="s">
        <v>15</v>
      </c>
      <c r="B14" s="1">
        <v>17566</v>
      </c>
      <c r="C14" s="6">
        <v>66.900000000000006</v>
      </c>
      <c r="D14" s="20">
        <f t="shared" si="0"/>
        <v>1175165.4000000001</v>
      </c>
    </row>
    <row r="15" spans="1:8" x14ac:dyDescent="0.2">
      <c r="A15" s="6" t="s">
        <v>16</v>
      </c>
      <c r="B15" s="1">
        <v>10249</v>
      </c>
      <c r="C15" s="6">
        <v>40.5</v>
      </c>
      <c r="D15" s="20">
        <f t="shared" si="0"/>
        <v>415084.5</v>
      </c>
    </row>
    <row r="16" spans="1:8" x14ac:dyDescent="0.2">
      <c r="A16" s="6" t="s">
        <v>17</v>
      </c>
      <c r="B16" s="1">
        <v>8884</v>
      </c>
      <c r="C16" s="6">
        <v>55.9</v>
      </c>
      <c r="D16" s="20">
        <f t="shared" si="0"/>
        <v>496615.6</v>
      </c>
    </row>
    <row r="17" spans="1:4" x14ac:dyDescent="0.2">
      <c r="A17" s="6" t="s">
        <v>18</v>
      </c>
      <c r="B17" s="1">
        <v>7282</v>
      </c>
      <c r="C17" s="6">
        <v>96</v>
      </c>
      <c r="D17" s="20">
        <f t="shared" si="0"/>
        <v>699072</v>
      </c>
    </row>
    <row r="18" spans="1:4" x14ac:dyDescent="0.2">
      <c r="A18" s="6" t="s">
        <v>19</v>
      </c>
      <c r="B18" s="1">
        <v>6754</v>
      </c>
      <c r="C18" s="6">
        <v>97.1</v>
      </c>
      <c r="D18" s="20">
        <f t="shared" si="0"/>
        <v>655813.39999999991</v>
      </c>
    </row>
    <row r="19" spans="1:4" x14ac:dyDescent="0.2">
      <c r="A19" s="6" t="s">
        <v>20</v>
      </c>
      <c r="B19" s="1">
        <v>5792</v>
      </c>
      <c r="C19" s="6">
        <v>72.5</v>
      </c>
      <c r="D19" s="20">
        <f t="shared" si="0"/>
        <v>419920</v>
      </c>
    </row>
    <row r="20" spans="1:4" x14ac:dyDescent="0.2">
      <c r="A20" s="6" t="s">
        <v>21</v>
      </c>
      <c r="B20" s="1">
        <v>5636</v>
      </c>
      <c r="C20" s="6">
        <v>102.6</v>
      </c>
      <c r="D20" s="20">
        <f t="shared" si="0"/>
        <v>578253.6</v>
      </c>
    </row>
    <row r="21" spans="1:4" x14ac:dyDescent="0.2">
      <c r="A21" s="6" t="s">
        <v>22</v>
      </c>
      <c r="B21" s="1">
        <v>5274</v>
      </c>
      <c r="C21" s="6">
        <v>84.1</v>
      </c>
      <c r="D21" s="20">
        <f t="shared" si="0"/>
        <v>443543.39999999997</v>
      </c>
    </row>
    <row r="22" spans="1:4" x14ac:dyDescent="0.2">
      <c r="A22" s="6" t="s">
        <v>23</v>
      </c>
      <c r="B22" s="1">
        <v>5090</v>
      </c>
      <c r="C22" s="6">
        <v>56.9</v>
      </c>
      <c r="D22" s="20">
        <f t="shared" si="0"/>
        <v>289621</v>
      </c>
    </row>
    <row r="23" spans="1:4" x14ac:dyDescent="0.2">
      <c r="A23" s="6" t="s">
        <v>24</v>
      </c>
      <c r="B23" s="1">
        <v>4750</v>
      </c>
      <c r="C23" s="6">
        <v>73</v>
      </c>
      <c r="D23" s="20">
        <f t="shared" si="0"/>
        <v>346750</v>
      </c>
    </row>
    <row r="24" spans="1:4" x14ac:dyDescent="0.2">
      <c r="A24" s="6" t="s">
        <v>25</v>
      </c>
      <c r="B24" s="1">
        <v>3015</v>
      </c>
      <c r="C24" s="6">
        <v>39.200000000000003</v>
      </c>
      <c r="D24" s="20">
        <f t="shared" si="0"/>
        <v>118188.00000000001</v>
      </c>
    </row>
    <row r="25" spans="1:4" x14ac:dyDescent="0.2">
      <c r="A25" s="6" t="s">
        <v>26</v>
      </c>
      <c r="B25" s="1">
        <v>2607</v>
      </c>
      <c r="C25" s="6">
        <v>124.7</v>
      </c>
      <c r="D25" s="20">
        <f t="shared" si="0"/>
        <v>325092.90000000002</v>
      </c>
    </row>
    <row r="26" spans="1:4" x14ac:dyDescent="0.2">
      <c r="A26" s="6" t="s">
        <v>27</v>
      </c>
      <c r="B26" s="1">
        <v>2190</v>
      </c>
      <c r="C26" s="6">
        <v>89.1</v>
      </c>
      <c r="D26" s="20">
        <f t="shared" si="0"/>
        <v>195129</v>
      </c>
    </row>
    <row r="27" spans="1:4" x14ac:dyDescent="0.2">
      <c r="A27" s="6" t="s">
        <v>28</v>
      </c>
      <c r="B27" s="1">
        <v>1998</v>
      </c>
      <c r="C27" s="6">
        <v>97.5</v>
      </c>
      <c r="D27" s="20">
        <f t="shared" si="0"/>
        <v>194805</v>
      </c>
    </row>
    <row r="28" spans="1:4" x14ac:dyDescent="0.2">
      <c r="A28" s="6" t="s">
        <v>29</v>
      </c>
      <c r="B28" s="1">
        <v>1430</v>
      </c>
      <c r="C28" s="6">
        <v>72</v>
      </c>
      <c r="D28" s="20">
        <f t="shared" si="0"/>
        <v>102960</v>
      </c>
    </row>
    <row r="29" spans="1:4" x14ac:dyDescent="0.2">
      <c r="A29" s="6" t="s">
        <v>30</v>
      </c>
      <c r="B29" s="1">
        <v>1287</v>
      </c>
      <c r="C29" s="6">
        <v>56.5</v>
      </c>
      <c r="D29" s="20">
        <f t="shared" si="0"/>
        <v>72715.5</v>
      </c>
    </row>
    <row r="30" spans="1:4" x14ac:dyDescent="0.2">
      <c r="A30" s="6" t="s">
        <v>31</v>
      </c>
      <c r="B30" s="1">
        <v>901</v>
      </c>
      <c r="C30" s="6">
        <v>79.2</v>
      </c>
      <c r="D30" s="20">
        <f t="shared" si="0"/>
        <v>71359.199999999997</v>
      </c>
    </row>
    <row r="31" spans="1:4" x14ac:dyDescent="0.2">
      <c r="A31" s="6" t="s">
        <v>32</v>
      </c>
      <c r="B31" s="1">
        <v>825</v>
      </c>
      <c r="C31" s="6">
        <v>79.2</v>
      </c>
      <c r="D31" s="20">
        <f t="shared" si="0"/>
        <v>65340</v>
      </c>
    </row>
    <row r="32" spans="1:4" x14ac:dyDescent="0.2">
      <c r="A32" s="6" t="s">
        <v>33</v>
      </c>
      <c r="B32" s="1">
        <v>700</v>
      </c>
      <c r="C32" s="6">
        <v>80.099999999999994</v>
      </c>
      <c r="D32" s="20">
        <f t="shared" si="0"/>
        <v>56069.999999999993</v>
      </c>
    </row>
    <row r="33" spans="1:4" x14ac:dyDescent="0.2">
      <c r="A33" s="6" t="s">
        <v>34</v>
      </c>
      <c r="B33" s="1">
        <v>460</v>
      </c>
      <c r="C33" s="6">
        <v>90.8</v>
      </c>
      <c r="D33" s="20">
        <f t="shared" si="0"/>
        <v>41768</v>
      </c>
    </row>
    <row r="34" spans="1:4" x14ac:dyDescent="0.2">
      <c r="A34" s="8" t="s">
        <v>36</v>
      </c>
      <c r="B34" s="19">
        <f>SUM(B2:B33)</f>
        <v>1271960</v>
      </c>
      <c r="C34" s="8"/>
      <c r="D34" s="19">
        <f>SUM(D2:D33)</f>
        <v>105491924.3</v>
      </c>
    </row>
  </sheetData>
  <mergeCells count="1">
    <mergeCell ref="F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D031-A97C-064F-A8A8-7E203E4857CE}">
  <dimension ref="A1:H34"/>
  <sheetViews>
    <sheetView workbookViewId="0">
      <selection activeCell="J23" sqref="J23"/>
    </sheetView>
  </sheetViews>
  <sheetFormatPr baseColWidth="10" defaultRowHeight="16" x14ac:dyDescent="0.2"/>
  <cols>
    <col min="4" max="4" width="11.1640625" bestFit="1" customWidth="1"/>
    <col min="5" max="5" width="10.83203125" style="18"/>
    <col min="6" max="6" width="14.1640625" customWidth="1"/>
    <col min="7" max="7" width="10.6640625" customWidth="1"/>
    <col min="8" max="8" width="29.33203125" customWidth="1"/>
  </cols>
  <sheetData>
    <row r="1" spans="1:8" x14ac:dyDescent="0.2">
      <c r="A1" s="6" t="s">
        <v>0</v>
      </c>
      <c r="B1" s="6" t="s">
        <v>1</v>
      </c>
      <c r="C1" s="6" t="s">
        <v>2</v>
      </c>
      <c r="D1" s="18" t="s">
        <v>35</v>
      </c>
    </row>
    <row r="2" spans="1:8" x14ac:dyDescent="0.2">
      <c r="A2" s="6" t="s">
        <v>3</v>
      </c>
      <c r="B2" s="1">
        <v>392684</v>
      </c>
      <c r="C2" s="6">
        <v>86.6</v>
      </c>
      <c r="D2" s="20">
        <f>B2*C2</f>
        <v>34006434.399999999</v>
      </c>
      <c r="F2" s="9" t="s">
        <v>44</v>
      </c>
      <c r="G2" s="9"/>
    </row>
    <row r="3" spans="1:8" x14ac:dyDescent="0.2">
      <c r="A3" s="6" t="s">
        <v>4</v>
      </c>
      <c r="B3" s="1">
        <v>197626</v>
      </c>
      <c r="C3" s="6">
        <v>76.099999999999994</v>
      </c>
      <c r="D3" s="20">
        <f t="shared" ref="D3:D33" si="0">B3*C3</f>
        <v>15039338.6</v>
      </c>
      <c r="F3" s="12" t="s">
        <v>45</v>
      </c>
      <c r="G3" s="13">
        <f>_xlfn.QUARTILE.INC(C2:C33,1)</f>
        <v>72.375</v>
      </c>
      <c r="H3" t="str">
        <f ca="1">_xlfn.FORMULATEXT(G3)</f>
        <v>=QUARTILE.INC(C2:C33,1)</v>
      </c>
    </row>
    <row r="4" spans="1:8" x14ac:dyDescent="0.2">
      <c r="A4" s="6" t="s">
        <v>5</v>
      </c>
      <c r="B4" s="1">
        <v>143023</v>
      </c>
      <c r="C4" s="6">
        <v>90.1</v>
      </c>
      <c r="D4" s="20">
        <f t="shared" si="0"/>
        <v>12886372.299999999</v>
      </c>
      <c r="F4" s="14" t="s">
        <v>46</v>
      </c>
      <c r="G4" s="15">
        <f>_xlfn.QUARTILE.INC(C2:C33,3)</f>
        <v>91.525000000000006</v>
      </c>
      <c r="H4" t="str">
        <f ca="1">_xlfn.FORMULATEXT(G4)</f>
        <v>=QUARTILE.INC(C2:C33,3)</v>
      </c>
    </row>
    <row r="5" spans="1:8" x14ac:dyDescent="0.2">
      <c r="A5" s="6" t="s">
        <v>6</v>
      </c>
      <c r="B5" s="1">
        <v>125867</v>
      </c>
      <c r="C5" s="6">
        <v>84.8</v>
      </c>
      <c r="D5" s="20">
        <f t="shared" si="0"/>
        <v>10673521.6</v>
      </c>
      <c r="F5" s="14" t="s">
        <v>48</v>
      </c>
      <c r="G5" s="15">
        <f>_xlfn.PERCENTILE.INC(C2:C33, 0.1)</f>
        <v>55.96</v>
      </c>
      <c r="H5" t="str">
        <f ca="1">_xlfn.FORMULATEXT(G5)</f>
        <v>=PERCENTILE.INC(C2:C33, 0.1)</v>
      </c>
    </row>
    <row r="6" spans="1:8" x14ac:dyDescent="0.2">
      <c r="A6" s="6" t="s">
        <v>7</v>
      </c>
      <c r="B6" s="1">
        <v>74958</v>
      </c>
      <c r="C6" s="6">
        <v>88</v>
      </c>
      <c r="D6" s="20">
        <f t="shared" si="0"/>
        <v>6596304</v>
      </c>
      <c r="F6" s="16" t="s">
        <v>47</v>
      </c>
      <c r="G6" s="17">
        <f>_xlfn.PERCENTILE.INC(C2:C33,0.9)</f>
        <v>97.06</v>
      </c>
      <c r="H6" t="str">
        <f ca="1">_xlfn.FORMULATEXT(G6)</f>
        <v>=PERCENTILE.INC(C2:C33,0.9)</v>
      </c>
    </row>
    <row r="7" spans="1:8" x14ac:dyDescent="0.2">
      <c r="A7" s="6" t="s">
        <v>8</v>
      </c>
      <c r="B7" s="1">
        <v>66119</v>
      </c>
      <c r="C7" s="6">
        <v>93.7</v>
      </c>
      <c r="D7" s="20">
        <f t="shared" si="0"/>
        <v>6195350.2999999998</v>
      </c>
      <c r="F7" s="10"/>
      <c r="G7" s="11"/>
    </row>
    <row r="8" spans="1:8" ht="16" customHeight="1" x14ac:dyDescent="0.2">
      <c r="A8" s="6" t="s">
        <v>9</v>
      </c>
      <c r="B8" s="1">
        <v>55767</v>
      </c>
      <c r="C8" s="6">
        <v>48.3</v>
      </c>
      <c r="D8" s="20">
        <f t="shared" si="0"/>
        <v>2693546.0999999996</v>
      </c>
      <c r="F8" s="24" t="s">
        <v>49</v>
      </c>
      <c r="G8" s="24"/>
      <c r="H8" s="24"/>
    </row>
    <row r="9" spans="1:8" x14ac:dyDescent="0.2">
      <c r="A9" s="6" t="s">
        <v>10</v>
      </c>
      <c r="B9" s="1">
        <v>38961</v>
      </c>
      <c r="C9" s="6">
        <v>87.4</v>
      </c>
      <c r="D9" s="20">
        <f t="shared" si="0"/>
        <v>3405191.4000000004</v>
      </c>
      <c r="F9" s="24"/>
      <c r="G9" s="24"/>
      <c r="H9" s="24"/>
    </row>
    <row r="10" spans="1:8" x14ac:dyDescent="0.2">
      <c r="A10" s="6" t="s">
        <v>11</v>
      </c>
      <c r="B10" s="1">
        <v>22568</v>
      </c>
      <c r="C10" s="6">
        <v>75.7</v>
      </c>
      <c r="D10" s="20">
        <f t="shared" si="0"/>
        <v>1708397.6</v>
      </c>
      <c r="F10" s="24"/>
      <c r="G10" s="24"/>
      <c r="H10" s="24"/>
    </row>
    <row r="11" spans="1:8" x14ac:dyDescent="0.2">
      <c r="A11" s="6" t="s">
        <v>12</v>
      </c>
      <c r="B11" s="1">
        <v>21676</v>
      </c>
      <c r="C11" s="6">
        <v>77.099999999999994</v>
      </c>
      <c r="D11" s="20">
        <f t="shared" si="0"/>
        <v>1671219.5999999999</v>
      </c>
      <c r="F11" s="24"/>
      <c r="G11" s="24"/>
      <c r="H11" s="24"/>
    </row>
    <row r="12" spans="1:8" x14ac:dyDescent="0.2">
      <c r="A12" s="6" t="s">
        <v>13</v>
      </c>
      <c r="B12" s="1">
        <v>21311</v>
      </c>
      <c r="C12" s="6">
        <v>95.9</v>
      </c>
      <c r="D12" s="20">
        <f t="shared" si="0"/>
        <v>2043724.9000000001</v>
      </c>
      <c r="F12" s="24"/>
      <c r="G12" s="24"/>
      <c r="H12" s="24"/>
    </row>
    <row r="13" spans="1:8" x14ac:dyDescent="0.2">
      <c r="A13" s="6" t="s">
        <v>14</v>
      </c>
      <c r="B13" s="1">
        <v>18710</v>
      </c>
      <c r="C13" s="6">
        <v>96.7</v>
      </c>
      <c r="D13" s="20">
        <f t="shared" si="0"/>
        <v>1809257</v>
      </c>
    </row>
    <row r="14" spans="1:8" ht="16" customHeight="1" x14ac:dyDescent="0.2">
      <c r="A14" s="6" t="s">
        <v>15</v>
      </c>
      <c r="B14" s="1">
        <v>17566</v>
      </c>
      <c r="C14" s="6">
        <v>66.900000000000006</v>
      </c>
      <c r="D14" s="20">
        <f t="shared" si="0"/>
        <v>1175165.4000000001</v>
      </c>
      <c r="F14" s="25" t="s">
        <v>55</v>
      </c>
      <c r="G14" s="25"/>
      <c r="H14" s="25"/>
    </row>
    <row r="15" spans="1:8" ht="16" customHeight="1" x14ac:dyDescent="0.2">
      <c r="A15" s="6" t="s">
        <v>16</v>
      </c>
      <c r="B15" s="1">
        <v>10249</v>
      </c>
      <c r="C15" s="6">
        <v>40.5</v>
      </c>
      <c r="D15" s="20">
        <f t="shared" si="0"/>
        <v>415084.5</v>
      </c>
      <c r="F15" s="25"/>
      <c r="G15" s="25"/>
      <c r="H15" s="25"/>
    </row>
    <row r="16" spans="1:8" ht="16" customHeight="1" x14ac:dyDescent="0.2">
      <c r="A16" s="6" t="s">
        <v>17</v>
      </c>
      <c r="B16" s="1">
        <v>8884</v>
      </c>
      <c r="C16" s="6">
        <v>55.9</v>
      </c>
      <c r="D16" s="20">
        <f t="shared" si="0"/>
        <v>496615.6</v>
      </c>
      <c r="F16" s="25"/>
      <c r="G16" s="25"/>
      <c r="H16" s="25"/>
    </row>
    <row r="17" spans="1:8" ht="16" customHeight="1" x14ac:dyDescent="0.2">
      <c r="A17" s="6" t="s">
        <v>18</v>
      </c>
      <c r="B17" s="1">
        <v>7282</v>
      </c>
      <c r="C17" s="6">
        <v>96</v>
      </c>
      <c r="D17" s="20">
        <f t="shared" si="0"/>
        <v>699072</v>
      </c>
      <c r="F17" s="25"/>
      <c r="G17" s="25"/>
      <c r="H17" s="25"/>
    </row>
    <row r="18" spans="1:8" ht="16" customHeight="1" x14ac:dyDescent="0.2">
      <c r="A18" s="6" t="s">
        <v>19</v>
      </c>
      <c r="B18" s="1">
        <v>6754</v>
      </c>
      <c r="C18" s="6">
        <v>97.1</v>
      </c>
      <c r="D18" s="20">
        <f t="shared" si="0"/>
        <v>655813.39999999991</v>
      </c>
      <c r="F18" s="25"/>
      <c r="G18" s="25"/>
      <c r="H18" s="25"/>
    </row>
    <row r="19" spans="1:8" ht="16" customHeight="1" x14ac:dyDescent="0.2">
      <c r="A19" s="6" t="s">
        <v>20</v>
      </c>
      <c r="B19" s="1">
        <v>5792</v>
      </c>
      <c r="C19" s="6">
        <v>72.5</v>
      </c>
      <c r="D19" s="20">
        <f t="shared" si="0"/>
        <v>419920</v>
      </c>
      <c r="F19" s="25"/>
      <c r="G19" s="25"/>
      <c r="H19" s="25"/>
    </row>
    <row r="20" spans="1:8" ht="16" customHeight="1" x14ac:dyDescent="0.2">
      <c r="A20" s="6" t="s">
        <v>21</v>
      </c>
      <c r="B20" s="1">
        <v>5636</v>
      </c>
      <c r="C20" s="6">
        <v>102.6</v>
      </c>
      <c r="D20" s="20">
        <f t="shared" si="0"/>
        <v>578253.6</v>
      </c>
      <c r="F20" s="25"/>
      <c r="G20" s="25"/>
      <c r="H20" s="25"/>
    </row>
    <row r="21" spans="1:8" ht="16" customHeight="1" x14ac:dyDescent="0.2">
      <c r="A21" s="6" t="s">
        <v>22</v>
      </c>
      <c r="B21" s="1">
        <v>5274</v>
      </c>
      <c r="C21" s="6">
        <v>84.1</v>
      </c>
      <c r="D21" s="20">
        <f t="shared" si="0"/>
        <v>443543.39999999997</v>
      </c>
      <c r="F21" s="25"/>
      <c r="G21" s="25"/>
      <c r="H21" s="25"/>
    </row>
    <row r="22" spans="1:8" ht="16" customHeight="1" x14ac:dyDescent="0.2">
      <c r="A22" s="6" t="s">
        <v>23</v>
      </c>
      <c r="B22" s="1">
        <v>5090</v>
      </c>
      <c r="C22" s="6">
        <v>56.9</v>
      </c>
      <c r="D22" s="20">
        <f t="shared" si="0"/>
        <v>289621</v>
      </c>
      <c r="F22" s="25"/>
      <c r="G22" s="25"/>
      <c r="H22" s="25"/>
    </row>
    <row r="23" spans="1:8" x14ac:dyDescent="0.2">
      <c r="A23" s="6" t="s">
        <v>24</v>
      </c>
      <c r="B23" s="1">
        <v>4750</v>
      </c>
      <c r="C23" s="6">
        <v>73</v>
      </c>
      <c r="D23" s="20">
        <f t="shared" si="0"/>
        <v>346750</v>
      </c>
      <c r="F23" s="25"/>
      <c r="G23" s="25"/>
      <c r="H23" s="25"/>
    </row>
    <row r="24" spans="1:8" x14ac:dyDescent="0.2">
      <c r="A24" s="6" t="s">
        <v>25</v>
      </c>
      <c r="B24" s="1">
        <v>3015</v>
      </c>
      <c r="C24" s="6">
        <v>39.200000000000003</v>
      </c>
      <c r="D24" s="20">
        <f t="shared" si="0"/>
        <v>118188.00000000001</v>
      </c>
      <c r="F24" s="25"/>
      <c r="G24" s="25"/>
      <c r="H24" s="25"/>
    </row>
    <row r="25" spans="1:8" x14ac:dyDescent="0.2">
      <c r="A25" s="6" t="s">
        <v>26</v>
      </c>
      <c r="B25" s="1">
        <v>2607</v>
      </c>
      <c r="C25" s="6">
        <v>124.7</v>
      </c>
      <c r="D25" s="20">
        <f t="shared" si="0"/>
        <v>325092.90000000002</v>
      </c>
    </row>
    <row r="26" spans="1:8" x14ac:dyDescent="0.2">
      <c r="A26" s="6" t="s">
        <v>27</v>
      </c>
      <c r="B26" s="1">
        <v>2190</v>
      </c>
      <c r="C26" s="6">
        <v>89.1</v>
      </c>
      <c r="D26" s="20">
        <f t="shared" si="0"/>
        <v>195129</v>
      </c>
    </row>
    <row r="27" spans="1:8" x14ac:dyDescent="0.2">
      <c r="A27" s="6" t="s">
        <v>28</v>
      </c>
      <c r="B27" s="1">
        <v>1998</v>
      </c>
      <c r="C27" s="6">
        <v>97.5</v>
      </c>
      <c r="D27" s="20">
        <f t="shared" si="0"/>
        <v>194805</v>
      </c>
    </row>
    <row r="28" spans="1:8" x14ac:dyDescent="0.2">
      <c r="A28" s="6" t="s">
        <v>29</v>
      </c>
      <c r="B28" s="1">
        <v>1430</v>
      </c>
      <c r="C28" s="6">
        <v>72</v>
      </c>
      <c r="D28" s="20">
        <f t="shared" si="0"/>
        <v>102960</v>
      </c>
    </row>
    <row r="29" spans="1:8" x14ac:dyDescent="0.2">
      <c r="A29" s="6" t="s">
        <v>30</v>
      </c>
      <c r="B29" s="1">
        <v>1287</v>
      </c>
      <c r="C29" s="6">
        <v>56.5</v>
      </c>
      <c r="D29" s="20">
        <f t="shared" si="0"/>
        <v>72715.5</v>
      </c>
    </row>
    <row r="30" spans="1:8" x14ac:dyDescent="0.2">
      <c r="A30" s="6" t="s">
        <v>31</v>
      </c>
      <c r="B30" s="1">
        <v>901</v>
      </c>
      <c r="C30" s="6">
        <v>79.2</v>
      </c>
      <c r="D30" s="20">
        <f t="shared" si="0"/>
        <v>71359.199999999997</v>
      </c>
    </row>
    <row r="31" spans="1:8" x14ac:dyDescent="0.2">
      <c r="A31" s="6" t="s">
        <v>32</v>
      </c>
      <c r="B31" s="1">
        <v>825</v>
      </c>
      <c r="C31" s="6">
        <v>79.2</v>
      </c>
      <c r="D31" s="20">
        <f t="shared" si="0"/>
        <v>65340</v>
      </c>
    </row>
    <row r="32" spans="1:8" x14ac:dyDescent="0.2">
      <c r="A32" s="6" t="s">
        <v>33</v>
      </c>
      <c r="B32" s="1">
        <v>700</v>
      </c>
      <c r="C32" s="6">
        <v>80.099999999999994</v>
      </c>
      <c r="D32" s="20">
        <f t="shared" si="0"/>
        <v>56069.999999999993</v>
      </c>
    </row>
    <row r="33" spans="1:4" x14ac:dyDescent="0.2">
      <c r="A33" s="6" t="s">
        <v>34</v>
      </c>
      <c r="B33" s="1">
        <v>460</v>
      </c>
      <c r="C33" s="6">
        <v>90.8</v>
      </c>
      <c r="D33" s="20">
        <f t="shared" si="0"/>
        <v>41768</v>
      </c>
    </row>
    <row r="34" spans="1:4" x14ac:dyDescent="0.2">
      <c r="A34" s="8" t="s">
        <v>36</v>
      </c>
      <c r="B34" s="19">
        <f>SUM(B2:B33)</f>
        <v>1271960</v>
      </c>
      <c r="C34" s="8"/>
      <c r="D34" s="19">
        <f>SUM(D2:D33)</f>
        <v>105491924.3</v>
      </c>
    </row>
  </sheetData>
  <mergeCells count="3">
    <mergeCell ref="F2:G2"/>
    <mergeCell ref="F8:H12"/>
    <mergeCell ref="F14:H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B856C-5F60-CC46-A088-201D5AC4BC0D}">
  <dimension ref="A1:H34"/>
  <sheetViews>
    <sheetView workbookViewId="0">
      <selection activeCell="H31" sqref="H31"/>
    </sheetView>
  </sheetViews>
  <sheetFormatPr baseColWidth="10" defaultRowHeight="16" x14ac:dyDescent="0.2"/>
  <cols>
    <col min="4" max="4" width="11.1640625" bestFit="1" customWidth="1"/>
    <col min="5" max="5" width="10.83203125" style="18"/>
    <col min="6" max="6" width="14.1640625" customWidth="1"/>
    <col min="7" max="7" width="10.6640625" customWidth="1"/>
    <col min="8" max="8" width="44.5" customWidth="1"/>
  </cols>
  <sheetData>
    <row r="1" spans="1:8" x14ac:dyDescent="0.2">
      <c r="A1" s="6" t="s">
        <v>0</v>
      </c>
      <c r="B1" s="6" t="s">
        <v>1</v>
      </c>
      <c r="C1" s="6" t="s">
        <v>2</v>
      </c>
      <c r="D1" s="18" t="s">
        <v>35</v>
      </c>
    </row>
    <row r="2" spans="1:8" x14ac:dyDescent="0.2">
      <c r="A2" s="6" t="s">
        <v>3</v>
      </c>
      <c r="B2" s="1">
        <v>392684</v>
      </c>
      <c r="C2" s="6">
        <v>86.6</v>
      </c>
      <c r="D2" s="20">
        <f>B2*C2</f>
        <v>34006434.399999999</v>
      </c>
      <c r="F2" s="9" t="s">
        <v>50</v>
      </c>
      <c r="G2" s="9"/>
    </row>
    <row r="3" spans="1:8" x14ac:dyDescent="0.2">
      <c r="A3" s="6" t="s">
        <v>4</v>
      </c>
      <c r="B3" s="1">
        <v>197626</v>
      </c>
      <c r="C3" s="6">
        <v>76.099999999999994</v>
      </c>
      <c r="D3" s="20">
        <f t="shared" ref="D3:D33" si="0">B3*C3</f>
        <v>15039338.6</v>
      </c>
      <c r="F3" s="12" t="s">
        <v>39</v>
      </c>
      <c r="G3" s="21">
        <f>MAX(C2:C33)-MIN(C2:C33)</f>
        <v>85.5</v>
      </c>
      <c r="H3" t="str">
        <f ca="1">_xlfn.FORMULATEXT(G3)</f>
        <v>=MAX(C2:C33)-MIN(C2:C33)</v>
      </c>
    </row>
    <row r="4" spans="1:8" x14ac:dyDescent="0.2">
      <c r="A4" s="6" t="s">
        <v>5</v>
      </c>
      <c r="B4" s="1">
        <v>143023</v>
      </c>
      <c r="C4" s="6">
        <v>90.1</v>
      </c>
      <c r="D4" s="20">
        <f t="shared" si="0"/>
        <v>12886372.299999999</v>
      </c>
      <c r="F4" s="14" t="s">
        <v>53</v>
      </c>
      <c r="G4" s="22">
        <f>QUARTILE(C2:C33,3)-QUARTILE(C2:C33,1)</f>
        <v>19.150000000000006</v>
      </c>
      <c r="H4" t="str">
        <f ca="1">_xlfn.FORMULATEXT(G4)</f>
        <v>=QUARTILE(C2:C33,3)-QUARTILE(C2:C33,1)</v>
      </c>
    </row>
    <row r="5" spans="1:8" x14ac:dyDescent="0.2">
      <c r="A5" s="6" t="s">
        <v>6</v>
      </c>
      <c r="B5" s="1">
        <v>125867</v>
      </c>
      <c r="C5" s="6">
        <v>84.8</v>
      </c>
      <c r="D5" s="20">
        <f t="shared" si="0"/>
        <v>10673521.6</v>
      </c>
      <c r="F5" s="14" t="s">
        <v>40</v>
      </c>
      <c r="G5" s="22">
        <f>_xlfn.VAR.S(C2:C33)</f>
        <v>350.52221774194021</v>
      </c>
      <c r="H5" t="str">
        <f ca="1">_xlfn.FORMULATEXT(G5)</f>
        <v>=VAR.S(C2:C33)</v>
      </c>
    </row>
    <row r="6" spans="1:8" x14ac:dyDescent="0.2">
      <c r="A6" s="6" t="s">
        <v>7</v>
      </c>
      <c r="B6" s="1">
        <v>74958</v>
      </c>
      <c r="C6" s="6">
        <v>88</v>
      </c>
      <c r="D6" s="20">
        <f t="shared" si="0"/>
        <v>6596304</v>
      </c>
      <c r="F6" s="14" t="s">
        <v>51</v>
      </c>
      <c r="G6" s="22">
        <f>STDEV(C2:C33)</f>
        <v>18.722238587891677</v>
      </c>
      <c r="H6" t="str">
        <f ca="1">_xlfn.FORMULATEXT(G6)</f>
        <v>=STDEV(C2:C33)</v>
      </c>
    </row>
    <row r="7" spans="1:8" x14ac:dyDescent="0.2">
      <c r="A7" s="6" t="s">
        <v>8</v>
      </c>
      <c r="B7" s="1">
        <v>66119</v>
      </c>
      <c r="C7" s="6">
        <v>93.7</v>
      </c>
      <c r="D7" s="20">
        <f t="shared" si="0"/>
        <v>6195350.2999999998</v>
      </c>
      <c r="F7" s="16" t="s">
        <v>52</v>
      </c>
      <c r="G7" s="23">
        <f>STDEV(C2:C33)/AVERAGE(C2:C33)</f>
        <v>0.23455940600287128</v>
      </c>
      <c r="H7" t="str">
        <f ca="1">_xlfn.FORMULATEXT(G7)</f>
        <v>=STDEV(C2:C33)/AVERAGE(C2:C33)</v>
      </c>
    </row>
    <row r="8" spans="1:8" x14ac:dyDescent="0.2">
      <c r="A8" s="6" t="s">
        <v>9</v>
      </c>
      <c r="B8" s="1">
        <v>55767</v>
      </c>
      <c r="C8" s="6">
        <v>48.3</v>
      </c>
      <c r="D8" s="20">
        <f t="shared" si="0"/>
        <v>2693546.0999999996</v>
      </c>
    </row>
    <row r="9" spans="1:8" x14ac:dyDescent="0.2">
      <c r="A9" s="6" t="s">
        <v>10</v>
      </c>
      <c r="B9" s="1">
        <v>38961</v>
      </c>
      <c r="C9" s="6">
        <v>87.4</v>
      </c>
      <c r="D9" s="20">
        <f t="shared" si="0"/>
        <v>3405191.4000000004</v>
      </c>
    </row>
    <row r="10" spans="1:8" ht="16" customHeight="1" x14ac:dyDescent="0.2">
      <c r="A10" s="6" t="s">
        <v>11</v>
      </c>
      <c r="B10" s="1">
        <v>22568</v>
      </c>
      <c r="C10" s="6">
        <v>75.7</v>
      </c>
      <c r="D10" s="20">
        <f t="shared" si="0"/>
        <v>1708397.6</v>
      </c>
      <c r="F10" s="25" t="s">
        <v>54</v>
      </c>
      <c r="G10" s="25"/>
      <c r="H10" s="25"/>
    </row>
    <row r="11" spans="1:8" ht="16" customHeight="1" x14ac:dyDescent="0.2">
      <c r="A11" s="6" t="s">
        <v>12</v>
      </c>
      <c r="B11" s="1">
        <v>21676</v>
      </c>
      <c r="C11" s="6">
        <v>77.099999999999994</v>
      </c>
      <c r="D11" s="20">
        <f t="shared" si="0"/>
        <v>1671219.5999999999</v>
      </c>
      <c r="F11" s="25"/>
      <c r="G11" s="25"/>
      <c r="H11" s="25"/>
    </row>
    <row r="12" spans="1:8" ht="16" customHeight="1" x14ac:dyDescent="0.2">
      <c r="A12" s="6" t="s">
        <v>13</v>
      </c>
      <c r="B12" s="1">
        <v>21311</v>
      </c>
      <c r="C12" s="6">
        <v>95.9</v>
      </c>
      <c r="D12" s="20">
        <f t="shared" si="0"/>
        <v>2043724.9000000001</v>
      </c>
      <c r="F12" s="25"/>
      <c r="G12" s="25"/>
      <c r="H12" s="25"/>
    </row>
    <row r="13" spans="1:8" ht="16" customHeight="1" x14ac:dyDescent="0.2">
      <c r="A13" s="6" t="s">
        <v>14</v>
      </c>
      <c r="B13" s="1">
        <v>18710</v>
      </c>
      <c r="C13" s="6">
        <v>96.7</v>
      </c>
      <c r="D13" s="20">
        <f t="shared" si="0"/>
        <v>1809257</v>
      </c>
      <c r="F13" s="25"/>
      <c r="G13" s="25"/>
      <c r="H13" s="25"/>
    </row>
    <row r="14" spans="1:8" ht="16" customHeight="1" x14ac:dyDescent="0.2">
      <c r="A14" s="6" t="s">
        <v>15</v>
      </c>
      <c r="B14" s="1">
        <v>17566</v>
      </c>
      <c r="C14" s="6">
        <v>66.900000000000006</v>
      </c>
      <c r="D14" s="20">
        <f t="shared" si="0"/>
        <v>1175165.4000000001</v>
      </c>
      <c r="F14" s="25"/>
      <c r="G14" s="25"/>
      <c r="H14" s="25"/>
    </row>
    <row r="15" spans="1:8" ht="16" customHeight="1" x14ac:dyDescent="0.2">
      <c r="A15" s="6" t="s">
        <v>16</v>
      </c>
      <c r="B15" s="1">
        <v>10249</v>
      </c>
      <c r="C15" s="6">
        <v>40.5</v>
      </c>
      <c r="D15" s="20">
        <f t="shared" si="0"/>
        <v>415084.5</v>
      </c>
      <c r="F15" s="25"/>
      <c r="G15" s="25"/>
      <c r="H15" s="25"/>
    </row>
    <row r="16" spans="1:8" ht="16" customHeight="1" x14ac:dyDescent="0.2">
      <c r="A16" s="6" t="s">
        <v>17</v>
      </c>
      <c r="B16" s="1">
        <v>8884</v>
      </c>
      <c r="C16" s="6">
        <v>55.9</v>
      </c>
      <c r="D16" s="20">
        <f t="shared" si="0"/>
        <v>496615.6</v>
      </c>
      <c r="F16" s="25"/>
      <c r="G16" s="25"/>
      <c r="H16" s="25"/>
    </row>
    <row r="17" spans="1:8" x14ac:dyDescent="0.2">
      <c r="A17" s="6" t="s">
        <v>18</v>
      </c>
      <c r="B17" s="1">
        <v>7282</v>
      </c>
      <c r="C17" s="6">
        <v>96</v>
      </c>
      <c r="D17" s="20">
        <f t="shared" si="0"/>
        <v>699072</v>
      </c>
      <c r="F17" s="25"/>
      <c r="G17" s="25"/>
      <c r="H17" s="25"/>
    </row>
    <row r="18" spans="1:8" x14ac:dyDescent="0.2">
      <c r="A18" s="6" t="s">
        <v>19</v>
      </c>
      <c r="B18" s="1">
        <v>6754</v>
      </c>
      <c r="C18" s="6">
        <v>97.1</v>
      </c>
      <c r="D18" s="20">
        <f t="shared" si="0"/>
        <v>655813.39999999991</v>
      </c>
    </row>
    <row r="19" spans="1:8" x14ac:dyDescent="0.2">
      <c r="A19" s="6" t="s">
        <v>20</v>
      </c>
      <c r="B19" s="1">
        <v>5792</v>
      </c>
      <c r="C19" s="6">
        <v>72.5</v>
      </c>
      <c r="D19" s="20">
        <f t="shared" si="0"/>
        <v>419920</v>
      </c>
    </row>
    <row r="20" spans="1:8" x14ac:dyDescent="0.2">
      <c r="A20" s="6" t="s">
        <v>21</v>
      </c>
      <c r="B20" s="1">
        <v>5636</v>
      </c>
      <c r="C20" s="6">
        <v>102.6</v>
      </c>
      <c r="D20" s="20">
        <f t="shared" si="0"/>
        <v>578253.6</v>
      </c>
    </row>
    <row r="21" spans="1:8" x14ac:dyDescent="0.2">
      <c r="A21" s="6" t="s">
        <v>22</v>
      </c>
      <c r="B21" s="1">
        <v>5274</v>
      </c>
      <c r="C21" s="6">
        <v>84.1</v>
      </c>
      <c r="D21" s="20">
        <f t="shared" si="0"/>
        <v>443543.39999999997</v>
      </c>
    </row>
    <row r="22" spans="1:8" x14ac:dyDescent="0.2">
      <c r="A22" s="6" t="s">
        <v>23</v>
      </c>
      <c r="B22" s="1">
        <v>5090</v>
      </c>
      <c r="C22" s="6">
        <v>56.9</v>
      </c>
      <c r="D22" s="20">
        <f t="shared" si="0"/>
        <v>289621</v>
      </c>
    </row>
    <row r="23" spans="1:8" x14ac:dyDescent="0.2">
      <c r="A23" s="6" t="s">
        <v>24</v>
      </c>
      <c r="B23" s="1">
        <v>4750</v>
      </c>
      <c r="C23" s="6">
        <v>73</v>
      </c>
      <c r="D23" s="20">
        <f t="shared" si="0"/>
        <v>346750</v>
      </c>
    </row>
    <row r="24" spans="1:8" x14ac:dyDescent="0.2">
      <c r="A24" s="6" t="s">
        <v>25</v>
      </c>
      <c r="B24" s="1">
        <v>3015</v>
      </c>
      <c r="C24" s="6">
        <v>39.200000000000003</v>
      </c>
      <c r="D24" s="20">
        <f t="shared" si="0"/>
        <v>118188.00000000001</v>
      </c>
    </row>
    <row r="25" spans="1:8" x14ac:dyDescent="0.2">
      <c r="A25" s="6" t="s">
        <v>26</v>
      </c>
      <c r="B25" s="1">
        <v>2607</v>
      </c>
      <c r="C25" s="6">
        <v>124.7</v>
      </c>
      <c r="D25" s="20">
        <f t="shared" si="0"/>
        <v>325092.90000000002</v>
      </c>
    </row>
    <row r="26" spans="1:8" x14ac:dyDescent="0.2">
      <c r="A26" s="6" t="s">
        <v>27</v>
      </c>
      <c r="B26" s="1">
        <v>2190</v>
      </c>
      <c r="C26" s="6">
        <v>89.1</v>
      </c>
      <c r="D26" s="20">
        <f t="shared" si="0"/>
        <v>195129</v>
      </c>
    </row>
    <row r="27" spans="1:8" x14ac:dyDescent="0.2">
      <c r="A27" s="6" t="s">
        <v>28</v>
      </c>
      <c r="B27" s="1">
        <v>1998</v>
      </c>
      <c r="C27" s="6">
        <v>97.5</v>
      </c>
      <c r="D27" s="20">
        <f t="shared" si="0"/>
        <v>194805</v>
      </c>
    </row>
    <row r="28" spans="1:8" x14ac:dyDescent="0.2">
      <c r="A28" s="6" t="s">
        <v>29</v>
      </c>
      <c r="B28" s="1">
        <v>1430</v>
      </c>
      <c r="C28" s="6">
        <v>72</v>
      </c>
      <c r="D28" s="20">
        <f t="shared" si="0"/>
        <v>102960</v>
      </c>
    </row>
    <row r="29" spans="1:8" x14ac:dyDescent="0.2">
      <c r="A29" s="6" t="s">
        <v>30</v>
      </c>
      <c r="B29" s="1">
        <v>1287</v>
      </c>
      <c r="C29" s="6">
        <v>56.5</v>
      </c>
      <c r="D29" s="20">
        <f t="shared" si="0"/>
        <v>72715.5</v>
      </c>
    </row>
    <row r="30" spans="1:8" x14ac:dyDescent="0.2">
      <c r="A30" s="6" t="s">
        <v>31</v>
      </c>
      <c r="B30" s="1">
        <v>901</v>
      </c>
      <c r="C30" s="6">
        <v>79.2</v>
      </c>
      <c r="D30" s="20">
        <f t="shared" si="0"/>
        <v>71359.199999999997</v>
      </c>
    </row>
    <row r="31" spans="1:8" x14ac:dyDescent="0.2">
      <c r="A31" s="6" t="s">
        <v>32</v>
      </c>
      <c r="B31" s="1">
        <v>825</v>
      </c>
      <c r="C31" s="6">
        <v>79.2</v>
      </c>
      <c r="D31" s="20">
        <f t="shared" si="0"/>
        <v>65340</v>
      </c>
    </row>
    <row r="32" spans="1:8" x14ac:dyDescent="0.2">
      <c r="A32" s="6" t="s">
        <v>33</v>
      </c>
      <c r="B32" s="1">
        <v>700</v>
      </c>
      <c r="C32" s="6">
        <v>80.099999999999994</v>
      </c>
      <c r="D32" s="20">
        <f t="shared" si="0"/>
        <v>56069.999999999993</v>
      </c>
    </row>
    <row r="33" spans="1:4" x14ac:dyDescent="0.2">
      <c r="A33" s="6" t="s">
        <v>34</v>
      </c>
      <c r="B33" s="1">
        <v>460</v>
      </c>
      <c r="C33" s="6">
        <v>90.8</v>
      </c>
      <c r="D33" s="20">
        <f t="shared" si="0"/>
        <v>41768</v>
      </c>
    </row>
    <row r="34" spans="1:4" x14ac:dyDescent="0.2">
      <c r="A34" s="8" t="s">
        <v>36</v>
      </c>
      <c r="B34" s="19">
        <f>SUM(B2:B33)</f>
        <v>1271960</v>
      </c>
      <c r="C34" s="8"/>
      <c r="D34" s="19">
        <f>SUM(D2:D33)</f>
        <v>105491924.3</v>
      </c>
    </row>
  </sheetData>
  <mergeCells count="2">
    <mergeCell ref="F2:G2"/>
    <mergeCell ref="F10:H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9588-C4C7-8A47-A191-4CCEDE844128}">
  <dimension ref="A2:A34"/>
  <sheetViews>
    <sheetView tabSelected="1" topLeftCell="A11" workbookViewId="0">
      <selection activeCell="J38" sqref="J38"/>
    </sheetView>
  </sheetViews>
  <sheetFormatPr baseColWidth="10" defaultRowHeight="16" x14ac:dyDescent="0.2"/>
  <sheetData>
    <row r="2" spans="1:1" ht="17" x14ac:dyDescent="0.2">
      <c r="A2" s="3" t="s">
        <v>2</v>
      </c>
    </row>
    <row r="3" spans="1:1" x14ac:dyDescent="0.2">
      <c r="A3" s="1">
        <v>75.7</v>
      </c>
    </row>
    <row r="4" spans="1:1" x14ac:dyDescent="0.2">
      <c r="A4" s="1">
        <v>80.099999999999994</v>
      </c>
    </row>
    <row r="5" spans="1:1" x14ac:dyDescent="0.2">
      <c r="A5" s="1">
        <v>96.7</v>
      </c>
    </row>
    <row r="6" spans="1:1" x14ac:dyDescent="0.2">
      <c r="A6" s="1">
        <v>76.099999999999994</v>
      </c>
    </row>
    <row r="7" spans="1:1" x14ac:dyDescent="0.2">
      <c r="A7" s="1">
        <v>124.7</v>
      </c>
    </row>
    <row r="8" spans="1:1" x14ac:dyDescent="0.2">
      <c r="A8" s="1">
        <v>72.5</v>
      </c>
    </row>
    <row r="9" spans="1:1" x14ac:dyDescent="0.2">
      <c r="A9" s="1">
        <v>97.5</v>
      </c>
    </row>
    <row r="10" spans="1:1" x14ac:dyDescent="0.2">
      <c r="A10" s="1">
        <v>55.9</v>
      </c>
    </row>
    <row r="11" spans="1:1" x14ac:dyDescent="0.2">
      <c r="A11" s="1">
        <v>93.7</v>
      </c>
    </row>
    <row r="12" spans="1:1" x14ac:dyDescent="0.2">
      <c r="A12" s="1">
        <v>77.099999999999994</v>
      </c>
    </row>
    <row r="13" spans="1:1" x14ac:dyDescent="0.2">
      <c r="A13" s="1">
        <v>84.1</v>
      </c>
    </row>
    <row r="14" spans="1:1" x14ac:dyDescent="0.2">
      <c r="A14" s="1">
        <v>90.1</v>
      </c>
    </row>
    <row r="15" spans="1:1" x14ac:dyDescent="0.2">
      <c r="A15" s="1">
        <v>84.8</v>
      </c>
    </row>
    <row r="16" spans="1:1" x14ac:dyDescent="0.2">
      <c r="A16" s="1">
        <v>79.2</v>
      </c>
    </row>
    <row r="17" spans="1:1" x14ac:dyDescent="0.2">
      <c r="A17" s="1">
        <v>40.5</v>
      </c>
    </row>
    <row r="18" spans="1:1" x14ac:dyDescent="0.2">
      <c r="A18" s="1">
        <v>87.4</v>
      </c>
    </row>
    <row r="19" spans="1:1" x14ac:dyDescent="0.2">
      <c r="A19" s="1">
        <v>97.1</v>
      </c>
    </row>
    <row r="20" spans="1:1" x14ac:dyDescent="0.2">
      <c r="A20" s="1">
        <v>88</v>
      </c>
    </row>
    <row r="21" spans="1:1" x14ac:dyDescent="0.2">
      <c r="A21" s="1">
        <v>96</v>
      </c>
    </row>
    <row r="22" spans="1:1" x14ac:dyDescent="0.2">
      <c r="A22" s="1">
        <v>73</v>
      </c>
    </row>
    <row r="23" spans="1:1" x14ac:dyDescent="0.2">
      <c r="A23" s="1">
        <v>95.9</v>
      </c>
    </row>
    <row r="24" spans="1:1" x14ac:dyDescent="0.2">
      <c r="A24" s="1">
        <v>48.3</v>
      </c>
    </row>
    <row r="25" spans="1:1" x14ac:dyDescent="0.2">
      <c r="A25" s="1">
        <v>79.2</v>
      </c>
    </row>
    <row r="26" spans="1:1" x14ac:dyDescent="0.2">
      <c r="A26" s="1">
        <v>56.9</v>
      </c>
    </row>
    <row r="27" spans="1:1" x14ac:dyDescent="0.2">
      <c r="A27" s="1">
        <v>89.1</v>
      </c>
    </row>
    <row r="28" spans="1:1" x14ac:dyDescent="0.2">
      <c r="A28" s="1">
        <v>102.6</v>
      </c>
    </row>
    <row r="29" spans="1:1" x14ac:dyDescent="0.2">
      <c r="A29" s="1">
        <v>90.8</v>
      </c>
    </row>
    <row r="30" spans="1:1" x14ac:dyDescent="0.2">
      <c r="A30" s="1">
        <v>66.900000000000006</v>
      </c>
    </row>
    <row r="31" spans="1:1" x14ac:dyDescent="0.2">
      <c r="A31" s="1">
        <v>72</v>
      </c>
    </row>
    <row r="32" spans="1:1" x14ac:dyDescent="0.2">
      <c r="A32" s="1">
        <v>86.6</v>
      </c>
    </row>
    <row r="33" spans="1:1" x14ac:dyDescent="0.2">
      <c r="A33" s="1">
        <v>39.200000000000003</v>
      </c>
    </row>
    <row r="34" spans="1:1" x14ac:dyDescent="0.2">
      <c r="A34" s="2">
        <v>56.5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Raw_data</vt:lpstr>
      <vt:lpstr>Centre</vt:lpstr>
      <vt:lpstr>Location</vt:lpstr>
      <vt:lpstr>Spread</vt:lpstr>
      <vt:lpstr>Histogram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Slade, Peter</dc:creator>
  <cp:lastModifiedBy>Slade, Peter</cp:lastModifiedBy>
  <dcterms:created xsi:type="dcterms:W3CDTF">2026-08-17T04:58:41Z</dcterms:created>
  <dcterms:modified xsi:type="dcterms:W3CDTF">2026-08-20T00:19:12Z</dcterms:modified>
</cp:coreProperties>
</file>