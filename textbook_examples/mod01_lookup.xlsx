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.00"/>
  </numFmts>
  <fonts count="7">
    <font>
      <name val="Calibri"/>
      <family val="2"/>
      <color theme="1"/>
      <sz val="11"/>
      <scheme val="minor"/>
    </font>
    <font>
      <name val="Arial"/>
      <b val="1"/>
      <color rgb="004A7C59"/>
      <sz val="14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10"/>
    </font>
    <font>
      <name val="Arial"/>
      <b val="1"/>
      <color rgb="0024302A"/>
      <sz val="10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3" customWidth="1" min="4" max="4"/>
    <col width="12" customWidth="1" min="5" max="5"/>
    <col width="24" customWidth="1" min="6" max="6"/>
    <col width="3" customWidth="1" min="7" max="7"/>
    <col width="12" customWidth="1" min="8" max="8"/>
    <col width="12" customWidth="1" min="9" max="9"/>
  </cols>
  <sheetData>
    <row r="1" ht="18" customHeight="1">
      <c r="A1" s="1" t="inlineStr">
        <is>
          <t>Looking values up in another table</t>
        </is>
      </c>
    </row>
    <row r="2" ht="44" customHeight="1">
      <c r="A2" s="2" t="inlineStr">
        <is>
          <t>The prices live in a separate little table (H4:I7), not in the main one.  XLOOKUP finds each field's crop in the price list and brings the price back, so we can work out what the crop is worth.</t>
        </is>
      </c>
    </row>
    <row r="3" ht="18" customHeight="1"/>
    <row r="4" ht="18" customHeight="1">
      <c r="A4" s="3" t="inlineStr">
        <is>
          <t>Field</t>
        </is>
      </c>
      <c r="B4" s="4" t="inlineStr">
        <is>
          <t>Crop</t>
        </is>
      </c>
      <c r="C4" s="4" t="inlineStr">
        <is>
          <t>Acres</t>
        </is>
      </c>
      <c r="D4" s="4" t="inlineStr">
        <is>
          <t>Yield (bu/ac)</t>
        </is>
      </c>
      <c r="E4" s="4" t="inlineStr">
        <is>
          <t>Price $/bu</t>
        </is>
      </c>
      <c r="F4" s="3" t="inlineStr">
        <is>
          <t>The formula in E</t>
        </is>
      </c>
      <c r="H4" s="4" t="inlineStr">
        <is>
          <t>Crop</t>
        </is>
      </c>
      <c r="I4" s="4" t="inlineStr">
        <is>
          <t>Price $/bu</t>
        </is>
      </c>
    </row>
    <row r="5" ht="18" customHeight="1">
      <c r="A5" s="5" t="inlineStr">
        <is>
          <t>North</t>
        </is>
      </c>
      <c r="B5" s="6" t="inlineStr">
        <is>
          <t>Canola</t>
        </is>
      </c>
      <c r="C5" s="7" t="n">
        <v>320</v>
      </c>
      <c r="D5" s="8" t="n">
        <v>41.2</v>
      </c>
      <c r="E5" s="9">
        <f>_xlfn.XLOOKUP(B5,$H$5:$H$7,$I$5:$I$7)</f>
        <v/>
      </c>
      <c r="F5" s="10">
        <f>_xlfn.FORMULATEXT(E5)</f>
        <v/>
      </c>
      <c r="H5" s="11" t="inlineStr">
        <is>
          <t>Canola</t>
        </is>
      </c>
      <c r="I5" s="12" t="n">
        <v>14.2</v>
      </c>
    </row>
    <row r="6" ht="18" customHeight="1">
      <c r="A6" s="5" t="inlineStr">
        <is>
          <t>South</t>
        </is>
      </c>
      <c r="B6" s="6" t="inlineStr">
        <is>
          <t>Wheat</t>
        </is>
      </c>
      <c r="C6" s="7" t="n">
        <v>250</v>
      </c>
      <c r="D6" s="8" t="n">
        <v>58.6</v>
      </c>
      <c r="E6" s="9">
        <f>_xlfn.XLOOKUP(B6,$H$5:$H$7,$I$5:$I$7)</f>
        <v/>
      </c>
      <c r="F6" s="10">
        <f>_xlfn.FORMULATEXT(E6)</f>
        <v/>
      </c>
      <c r="H6" s="11" t="inlineStr">
        <is>
          <t>Wheat</t>
        </is>
      </c>
      <c r="I6" s="12" t="n">
        <v>8.35</v>
      </c>
    </row>
    <row r="7" ht="18" customHeight="1">
      <c r="A7" s="5" t="inlineStr">
        <is>
          <t>Creek</t>
        </is>
      </c>
      <c r="B7" s="6" t="inlineStr">
        <is>
          <t>Canola</t>
        </is>
      </c>
      <c r="C7" s="7" t="n">
        <v>180</v>
      </c>
      <c r="D7" s="8" t="n">
        <v>37.9</v>
      </c>
      <c r="E7" s="9">
        <f>_xlfn.XLOOKUP(B7,$H$5:$H$7,$I$5:$I$7)</f>
        <v/>
      </c>
      <c r="F7" s="10">
        <f>_xlfn.FORMULATEXT(E7)</f>
        <v/>
      </c>
      <c r="H7" s="11" t="inlineStr">
        <is>
          <t>Barley</t>
        </is>
      </c>
      <c r="I7" s="12" t="n">
        <v>5.6</v>
      </c>
    </row>
    <row r="8" ht="18" customHeight="1">
      <c r="A8" s="5" t="inlineStr">
        <is>
          <t>Home</t>
        </is>
      </c>
      <c r="B8" s="6" t="inlineStr">
        <is>
          <t>Barley</t>
        </is>
      </c>
      <c r="C8" s="7" t="n">
        <v>210</v>
      </c>
      <c r="D8" s="8" t="n">
        <v>72.40000000000001</v>
      </c>
      <c r="E8" s="9">
        <f>_xlfn.XLOOKUP(B8,$H$5:$H$7,$I$5:$I$7)</f>
        <v/>
      </c>
      <c r="F8" s="10">
        <f>_xlfn.FORMULATEXT(E8)</f>
        <v/>
      </c>
    </row>
    <row r="9" ht="18" customHeight="1">
      <c r="A9" s="5" t="inlineStr">
        <is>
          <t>Rented</t>
        </is>
      </c>
      <c r="B9" s="6" t="inlineStr">
        <is>
          <t>Wheat</t>
        </is>
      </c>
      <c r="C9" s="7" t="n">
        <v>400</v>
      </c>
      <c r="D9" s="8" t="n">
        <v>61.3</v>
      </c>
      <c r="E9" s="9">
        <f>_xlfn.XLOOKUP(B9,$H$5:$H$7,$I$5:$I$7)</f>
        <v/>
      </c>
      <c r="F9" s="10">
        <f>_xlfn.FORMULATEXT(E9)</f>
        <v/>
      </c>
    </row>
    <row r="10" ht="18" customHeight="1">
      <c r="A10" s="5" t="inlineStr">
        <is>
          <t>Airport</t>
        </is>
      </c>
      <c r="B10" s="6" t="inlineStr">
        <is>
          <t>Canola</t>
        </is>
      </c>
      <c r="C10" s="7" t="n">
        <v>150</v>
      </c>
      <c r="D10" s="8" t="n">
        <v>44.8</v>
      </c>
      <c r="E10" s="9">
        <f>_xlfn.XLOOKUP(B10,$H$5:$H$7,$I$5:$I$7)</f>
        <v/>
      </c>
      <c r="F10" s="10">
        <f>_xlfn.FORMULATEXT(E10)</f>
        <v/>
      </c>
    </row>
    <row r="11" ht="18" customHeight="1">
      <c r="A11" s="5" t="inlineStr">
        <is>
          <t>Hill</t>
        </is>
      </c>
      <c r="B11" s="6" t="inlineStr">
        <is>
          <t>Barley</t>
        </is>
      </c>
      <c r="C11" s="7" t="n">
        <v>275</v>
      </c>
      <c r="D11" s="8" t="n">
        <v>68.09999999999999</v>
      </c>
      <c r="E11" s="9">
        <f>_xlfn.XLOOKUP(B11,$H$5:$H$7,$I$5:$I$7)</f>
        <v/>
      </c>
      <c r="F11" s="10">
        <f>_xlfn.FORMULATEXT(E11)</f>
        <v/>
      </c>
    </row>
    <row r="12" ht="18" customHeight="1">
      <c r="A12" s="5" t="inlineStr">
        <is>
          <t>Slough</t>
        </is>
      </c>
      <c r="B12" s="6" t="inlineStr">
        <is>
          <t>Wheat</t>
        </is>
      </c>
      <c r="C12" s="7" t="n">
        <v>330</v>
      </c>
      <c r="D12" s="8" t="n">
        <v>55.2</v>
      </c>
      <c r="E12" s="9">
        <f>_xlfn.XLOOKUP(B12,$H$5:$H$7,$I$5:$I$7)</f>
        <v/>
      </c>
      <c r="F12" s="10">
        <f>_xlfn.FORMULATEXT(E12)</f>
        <v/>
      </c>
    </row>
    <row r="13" ht="18" customHeight="1"/>
    <row r="14" ht="18" customHeight="1">
      <c r="A14" s="13" t="inlineStr">
        <is>
          <t>The same lookup, three ways</t>
        </is>
      </c>
    </row>
    <row r="15" ht="18" customHeight="1">
      <c r="A15" s="5" t="inlineStr">
        <is>
          <t>XLOOKUP (use this one)</t>
        </is>
      </c>
      <c r="B15" s="6">
        <f>_xlfn.XLOOKUP(B5,$H$5:$H$7,$I$5:$I$7)</f>
        <v/>
      </c>
      <c r="C15" s="10">
        <f>_xlfn.FORMULATEXT(B15)</f>
        <v/>
      </c>
    </row>
    <row r="16" ht="18" customHeight="1">
      <c r="A16" s="5" t="inlineStr">
        <is>
          <t>VLOOKUP (older files)</t>
        </is>
      </c>
      <c r="B16" s="6">
        <f>VLOOKUP(B5,$H$5:$I$7,2,FALSE)</f>
        <v/>
      </c>
      <c r="C16" s="10">
        <f>_xlfn.FORMULATEXT(B16)</f>
        <v/>
      </c>
    </row>
    <row r="17" ht="18" customHeight="1">
      <c r="A17" s="5" t="inlineStr">
        <is>
          <t>INDEX/MATCH (older still)</t>
        </is>
      </c>
      <c r="B17" s="6">
        <f>INDEX($I$5:$I$7,MATCH(B5,$H$5:$H$7,0))</f>
        <v/>
      </c>
      <c r="C17" s="10">
        <f>_xlfn.FORMULATEXT(B17)</f>
        <v/>
      </c>
    </row>
    <row r="18" ht="18" customHeight="1">
      <c r="A18" s="5" t="inlineStr">
        <is>
          <t>XLOOKUP, crop not in the list</t>
        </is>
      </c>
      <c r="B18" s="6">
        <f>_xlfn.XLOOKUP("Lentils",$H$5:$H$7,$I$5:$I$7,"no price")</f>
        <v/>
      </c>
      <c r="C18" s="10">
        <f>_xlfn.FORMULATEXT(B18)</f>
        <v/>
      </c>
    </row>
    <row r="19" ht="18" customHeight="1"/>
    <row r="20" ht="32" customHeight="1">
      <c r="A20" s="14" t="inlineStr">
        <is>
          <t>All three return the same number.  XLOOKUP is the one to reach for: it takes the column to search and the column to return, it matches exactly by default, and the fourth argument lets you say what to show when nothing is found.</t>
        </is>
      </c>
    </row>
    <row r="21" ht="18" customHeight="1"/>
  </sheetData>
  <mergeCells count="6">
    <mergeCell ref="A2:F2"/>
    <mergeCell ref="C18:F18"/>
    <mergeCell ref="C17:F17"/>
    <mergeCell ref="C16:F16"/>
    <mergeCell ref="C15:F15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2026-08-18T03:06:32Z</dcterms:created>
  <dcterms:modified xsi:type="dcterms:W3CDTF">2026-08-18T03:06:32Z</dcterms:modified>
</cp:coreProperties>
</file>