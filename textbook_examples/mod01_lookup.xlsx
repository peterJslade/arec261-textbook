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0" documentId="11_2B59249F5117823B05FC9F705B54F0B24DFFEC6B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Looku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7" i="1"/>
  <c r="B16" i="1"/>
  <c r="B15" i="1"/>
  <c r="E12" i="1"/>
  <c r="E11" i="1"/>
  <c r="E10" i="1"/>
  <c r="E9" i="1"/>
  <c r="E8" i="1"/>
  <c r="E7" i="1"/>
  <c r="E6" i="1"/>
  <c r="E5" i="1"/>
  <c r="C18" i="1"/>
  <c r="F8" i="1"/>
  <c r="F6" i="1"/>
  <c r="C15" i="1"/>
  <c r="F12" i="1"/>
  <c r="F11" i="1"/>
  <c r="F10" i="1"/>
  <c r="F5" i="1"/>
  <c r="F9" i="1"/>
  <c r="C17" i="1"/>
  <c r="F7" i="1"/>
  <c r="C16" i="1"/>
</calcChain>
</file>

<file path=xl/sharedStrings.xml><?xml version="1.0" encoding="utf-8"?>
<sst xmlns="http://schemas.openxmlformats.org/spreadsheetml/2006/main" count="35" uniqueCount="25">
  <si>
    <t>Looking values up in another table</t>
  </si>
  <si>
    <t>The prices live in a separate little table (H4:I7), not in the main one.  XLOOKUP finds each field's crop in the price list and brings the price back, so we can work out what the crop is worth.</t>
  </si>
  <si>
    <t>Field</t>
  </si>
  <si>
    <t>Crop</t>
  </si>
  <si>
    <t>Acres</t>
  </si>
  <si>
    <t>Yield (bu/ac)</t>
  </si>
  <si>
    <t>Price $/bu</t>
  </si>
  <si>
    <t>The formula in E</t>
  </si>
  <si>
    <t>North</t>
  </si>
  <si>
    <t>Canola</t>
  </si>
  <si>
    <t>South</t>
  </si>
  <si>
    <t>Wheat</t>
  </si>
  <si>
    <t>Creek</t>
  </si>
  <si>
    <t>Barley</t>
  </si>
  <si>
    <t>Home</t>
  </si>
  <si>
    <t>Rented</t>
  </si>
  <si>
    <t>Airport</t>
  </si>
  <si>
    <t>Hill</t>
  </si>
  <si>
    <t>Slough</t>
  </si>
  <si>
    <t>The same lookup, three ways</t>
  </si>
  <si>
    <t>XLOOKUP (use this one)</t>
  </si>
  <si>
    <t>VLOOKUP (older files)</t>
  </si>
  <si>
    <t>INDEX/MATCH (older still)</t>
  </si>
  <si>
    <t>XLOOKUP, crop not in the list</t>
  </si>
  <si>
    <t>All three return the same number.  XLOOKUP is the one to reach for: it takes the column to search and the column to return, it matches exactly by default, and the fourth argument lets you say what to show when nothing is found.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</si>
</sst>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$&quot;#,##0.00"/>
  </numFmts>
  <fonts count="7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0"/>
      <color rgb="FF24302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5" fillId="0" borderId="0" xfId="0" applyFont="1"/>
    <xf numFmtId="0" fontId="4" fillId="3" borderId="0" xfId="0" applyFont="1" applyFill="1" applyAlignment="1">
      <alignment horizontal="center"/>
    </xf>
    <xf numFmtId="165" fontId="4" fillId="3" borderId="0" xfId="0" applyNumberFormat="1" applyFont="1" applyFill="1" applyAlignment="1">
      <alignment horizontal="center"/>
    </xf>
    <xf numFmtId="0" fontId="6" fillId="0" borderId="0" xfId="0" applyFont="1"/>
    <xf numFmtId="0" fontId="2" fillId="0" borderId="0" xfId="0" applyFont="1" applyAlignment="1">
      <alignment horizontal="left" vertical="top" wrapText="1"/>
    </xf>
    <xf numFmtId="0" fontId="0" fillId="0" borderId="0" xfId="0"/>
    <xf numFmtId="0" fontId="5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workbookViewId="0">
      <pane ySplit="4" topLeftCell="A5" activePane="bottomLeft" state="frozen"/>
      <selection pane="bottomLeft" activeCell="F12" sqref="F12"/>
    </sheetView>
  </sheetViews>
  <sheetFormatPr baseColWidth="10" defaultColWidth="8.83203125" defaultRowHeight="15" x14ac:dyDescent="0.2"/>
  <cols>
    <col min="1" max="1" width="26" customWidth="1"/>
    <col min="2" max="2" width="17" customWidth="1"/>
    <col min="3" max="4" width="13" customWidth="1"/>
    <col min="5" max="5" width="12" customWidth="1"/>
    <col min="6" max="6" width="24" customWidth="1"/>
    <col min="7" max="7" width="3" customWidth="1"/>
    <col min="8" max="9" width="12" customWidth="1"/>
  </cols>
  <sheetData>
    <row r="1" spans="1:9" ht="18" customHeight="1" x14ac:dyDescent="0.2">
      <c r="A1" s="1" t="s">
        <v>0</v>
      </c>
    </row>
    <row r="2" spans="1:9" ht="44" customHeight="1" x14ac:dyDescent="0.2">
      <c r="A2" s="13" t="s">
        <v>1</v>
      </c>
      <c r="B2" s="14"/>
      <c r="C2" s="14"/>
      <c r="D2" s="14"/>
      <c r="E2" s="14"/>
      <c r="F2" s="14"/>
    </row>
    <row r="3" spans="1:9" ht="18" customHeight="1" x14ac:dyDescent="0.2"/>
    <row r="4" spans="1:9" ht="18" customHeight="1" x14ac:dyDescent="0.2">
      <c r="A4" s="2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2" t="s">
        <v>7</v>
      </c>
      <c r="H4" s="3" t="s">
        <v>3</v>
      </c>
      <c r="I4" s="3" t="s">
        <v>6</v>
      </c>
    </row>
    <row r="5" spans="1:9" ht="18" customHeight="1" x14ac:dyDescent="0.2">
      <c r="A5" s="4" t="s">
        <v>8</v>
      </c>
      <c r="B5" s="5" t="s">
        <v>9</v>
      </c>
      <c r="C5" s="6">
        <v>320</v>
      </c>
      <c r="D5" s="7">
        <v>41.2</v>
      </c>
      <c r="E5" s="8">
        <f t="shared" ref="E5:E12" si="0">_xlfn.XLOOKUP(B5,$H$5:$H$7,$I$5:$I$7)</f>
        <v>14.2</v>
      </c>
      <c r="F5" s="9" t="str">
        <f t="shared" ref="F5:F12" ca="1" si="1">_xlfn.FORMULATEXT(E5)</f>
        <v>=XLOOKUP(B5,$H$5:$H$7,$I$5:$I$7)</v>
      </c>
      <c r="H5" s="10" t="s">
        <v>9</v>
      </c>
      <c r="I5" s="11">
        <v>14.2</v>
      </c>
    </row>
    <row r="6" spans="1:9" ht="18" customHeight="1" x14ac:dyDescent="0.2">
      <c r="A6" s="4" t="s">
        <v>10</v>
      </c>
      <c r="B6" s="5" t="s">
        <v>11</v>
      </c>
      <c r="C6" s="6">
        <v>250</v>
      </c>
      <c r="D6" s="7">
        <v>58.6</v>
      </c>
      <c r="E6" s="8">
        <f t="shared" si="0"/>
        <v>8.35</v>
      </c>
      <c r="F6" s="9" t="str">
        <f t="shared" ca="1" si="1"/>
        <v>=XLOOKUP(B6,$H$5:$H$7,$I$5:$I$7)</v>
      </c>
      <c r="H6" s="10" t="s">
        <v>11</v>
      </c>
      <c r="I6" s="11">
        <v>8.35</v>
      </c>
    </row>
    <row r="7" spans="1:9" ht="18" customHeight="1" x14ac:dyDescent="0.2">
      <c r="A7" s="4" t="s">
        <v>12</v>
      </c>
      <c r="B7" s="5" t="s">
        <v>9</v>
      </c>
      <c r="C7" s="6">
        <v>180</v>
      </c>
      <c r="D7" s="7">
        <v>37.9</v>
      </c>
      <c r="E7" s="8">
        <f t="shared" si="0"/>
        <v>14.2</v>
      </c>
      <c r="F7" s="9" t="str">
        <f t="shared" ca="1" si="1"/>
        <v>=XLOOKUP(B7,$H$5:$H$7,$I$5:$I$7)</v>
      </c>
      <c r="H7" s="10" t="s">
        <v>13</v>
      </c>
      <c r="I7" s="11">
        <v>5.6</v>
      </c>
    </row>
    <row r="8" spans="1:9" ht="18" customHeight="1" x14ac:dyDescent="0.2">
      <c r="A8" s="4" t="s">
        <v>14</v>
      </c>
      <c r="B8" s="5" t="s">
        <v>13</v>
      </c>
      <c r="C8" s="6">
        <v>210</v>
      </c>
      <c r="D8" s="7">
        <v>72.400000000000006</v>
      </c>
      <c r="E8" s="8">
        <f t="shared" si="0"/>
        <v>5.6</v>
      </c>
      <c r="F8" s="9" t="str">
        <f t="shared" ca="1" si="1"/>
        <v>=XLOOKUP(B8,$H$5:$H$7,$I$5:$I$7)</v>
      </c>
    </row>
    <row r="9" spans="1:9" ht="18" customHeight="1" x14ac:dyDescent="0.2">
      <c r="A9" s="4" t="s">
        <v>15</v>
      </c>
      <c r="B9" s="5" t="s">
        <v>11</v>
      </c>
      <c r="C9" s="6">
        <v>400</v>
      </c>
      <c r="D9" s="7">
        <v>61.3</v>
      </c>
      <c r="E9" s="8">
        <f t="shared" si="0"/>
        <v>8.35</v>
      </c>
      <c r="F9" s="9" t="str">
        <f t="shared" ca="1" si="1"/>
        <v>=XLOOKUP(B9,$H$5:$H$7,$I$5:$I$7)</v>
      </c>
    </row>
    <row r="10" spans="1:9" ht="18" customHeight="1" x14ac:dyDescent="0.2">
      <c r="A10" s="4" t="s">
        <v>16</v>
      </c>
      <c r="B10" s="5" t="s">
        <v>9</v>
      </c>
      <c r="C10" s="6">
        <v>150</v>
      </c>
      <c r="D10" s="7">
        <v>44.8</v>
      </c>
      <c r="E10" s="8">
        <f t="shared" si="0"/>
        <v>14.2</v>
      </c>
      <c r="F10" s="9" t="str">
        <f t="shared" ca="1" si="1"/>
        <v>=XLOOKUP(B10,$H$5:$H$7,$I$5:$I$7)</v>
      </c>
    </row>
    <row r="11" spans="1:9" ht="18" customHeight="1" x14ac:dyDescent="0.2">
      <c r="A11" s="4" t="s">
        <v>17</v>
      </c>
      <c r="B11" s="5" t="s">
        <v>13</v>
      </c>
      <c r="C11" s="6">
        <v>275</v>
      </c>
      <c r="D11" s="7">
        <v>68.099999999999994</v>
      </c>
      <c r="E11" s="8">
        <f t="shared" si="0"/>
        <v>5.6</v>
      </c>
      <c r="F11" s="9" t="str">
        <f t="shared" ca="1" si="1"/>
        <v>=XLOOKUP(B11,$H$5:$H$7,$I$5:$I$7)</v>
      </c>
    </row>
    <row r="12" spans="1:9" ht="18" customHeight="1" x14ac:dyDescent="0.2">
      <c r="A12" s="4" t="s">
        <v>18</v>
      </c>
      <c r="B12" s="5" t="s">
        <v>11</v>
      </c>
      <c r="C12" s="6">
        <v>330</v>
      </c>
      <c r="D12" s="7">
        <v>55.2</v>
      </c>
      <c r="E12" s="8">
        <f t="shared" si="0"/>
        <v>8.35</v>
      </c>
      <c r="F12" s="9" t="str">
        <f t="shared" ca="1" si="1"/>
        <v>=XLOOKUP(B12,$H$5:$H$7,$I$5:$I$7)</v>
      </c>
    </row>
    <row r="13" spans="1:9" ht="18" customHeight="1" x14ac:dyDescent="0.2"/>
    <row r="14" spans="1:9" ht="18" customHeight="1" x14ac:dyDescent="0.2">
      <c r="A14" s="12" t="s">
        <v>19</v>
      </c>
    </row>
    <row r="15" spans="1:9" ht="18" customHeight="1" x14ac:dyDescent="0.2">
      <c r="A15" s="4" t="s">
        <v>20</v>
      </c>
      <c r="B15" s="5">
        <f>_xlfn.XLOOKUP(B5,$H$5:$H$7,$I$5:$I$7)</f>
        <v>14.2</v>
      </c>
      <c r="C15" s="15" t="str">
        <f ca="1">_xlfn.FORMULATEXT(B15)</f>
        <v>=XLOOKUP(B5,$H$5:$H$7,$I$5:$I$7)</v>
      </c>
      <c r="D15" s="14"/>
      <c r="E15" s="14"/>
      <c r="F15" s="14"/>
    </row>
    <row r="16" spans="1:9" ht="18" customHeight="1" x14ac:dyDescent="0.2">
      <c r="A16" s="4" t="s">
        <v>21</v>
      </c>
      <c r="B16" s="5">
        <f>VLOOKUP(B5,$H$5:$I$7,2,FALSE)</f>
        <v>14.2</v>
      </c>
      <c r="C16" s="15" t="str">
        <f ca="1">_xlfn.FORMULATEXT(B16)</f>
        <v>=VLOOKUP(B5,$H$5:$I$7,2,FALSE)</v>
      </c>
      <c r="D16" s="14"/>
      <c r="E16" s="14"/>
      <c r="F16" s="14"/>
    </row>
    <row r="17" spans="1:6" ht="18" customHeight="1" x14ac:dyDescent="0.2">
      <c r="A17" s="4" t="s">
        <v>22</v>
      </c>
      <c r="B17" s="5">
        <f>INDEX($I$5:$I$7,MATCH(B5,$H$5:$H$7,0))</f>
        <v>14.2</v>
      </c>
      <c r="C17" s="15" t="str">
        <f ca="1">_xlfn.FORMULATEXT(B17)</f>
        <v>=INDEX($I$5:$I$7,MATCH(B5,$H$5:$H$7,0))</v>
      </c>
      <c r="D17" s="14"/>
      <c r="E17" s="14"/>
      <c r="F17" s="14"/>
    </row>
    <row r="18" spans="1:6" ht="18" customHeight="1" x14ac:dyDescent="0.2">
      <c r="A18" s="4" t="s">
        <v>23</v>
      </c>
      <c r="B18" s="5" t="str">
        <f>_xlfn.XLOOKUP("Lentils",$H$5:$H$7,$I$5:$I$7,"no price")</f>
        <v>no price</v>
      </c>
      <c r="C18" s="15" t="str">
        <f ca="1">_xlfn.FORMULATEXT(B18)</f>
        <v>=XLOOKUP("Lentils",$H$5:$H$7,$I$5:$I$7,"no price")</v>
      </c>
      <c r="D18" s="14"/>
      <c r="E18" s="14"/>
      <c r="F18" s="14"/>
    </row>
    <row r="19" spans="1:6" ht="18" customHeight="1" x14ac:dyDescent="0.2"/>
    <row r="20" spans="1:6" ht="32" customHeight="1" x14ac:dyDescent="0.2">
      <c r="A20" s="16" t="s">
        <v>24</v>
      </c>
      <c r="B20" s="14"/>
      <c r="C20" s="14"/>
      <c r="D20" s="14"/>
      <c r="E20" s="14"/>
      <c r="F20" s="14"/>
    </row>
    <row r="21" spans="1:6" ht="18" customHeight="1" x14ac:dyDescent="0.2"/>
  </sheetData>
  <mergeCells count="6">
    <mergeCell ref="A20:F20"/>
    <mergeCell ref="A2:F2"/>
    <mergeCell ref="C18:F18"/>
    <mergeCell ref="C17:F17"/>
    <mergeCell ref="C16:F16"/>
    <mergeCell ref="C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2026-08-18T03:06:32Z</dcterms:created>
  <dcterms:modified xsi:type="dcterms:W3CDTF">2026-08-18T03:07:17Z</dcterms:modified>
</cp:coreProperties>
</file>