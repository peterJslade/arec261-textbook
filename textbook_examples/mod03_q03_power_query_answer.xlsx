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14" documentId="11_8EF2B98E94352BBD8B0E0CA723D169E082E27A8A" xr6:coauthVersionLast="47" xr6:coauthVersionMax="47" xr10:uidLastSave="{43108531-1D3D-1A4A-A1FC-01FC9D379824}"/>
  <bookViews>
    <workbookView xWindow="0" yWindow="600" windowWidth="38400" windowHeight="21000" xr2:uid="{00000000-000D-0000-FFFF-FFFF00000000}"/>
  </bookViews>
  <sheets>
    <sheet name="q03_tickets" sheetId="2" r:id="rId1"/>
    <sheet name="Answer" sheetId="1" state="hidden" r:id="rId2"/>
  </sheets>
  <externalReferences>
    <externalReference r:id="rId3"/>
  </externalReferences>
  <definedNames>
    <definedName name="ExternalData_1" localSheetId="0" hidden="1">q03_tickets!$A$1:$I$21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378C82-C62A-8846-B016-B3CE80C092E5}" keepAlive="1" name="Query - q03_tickets" description="Connection to the 'q03_tickets' query in the workbook." type="5" refreshedVersion="8" background="1" saveData="1">
    <dbPr connection="Provider=Microsoft.Mashup.OleDb.1;Data Source=$Workbook$;Location=q03_tickets;Extended Properties=&quot;&quot;" command="SELECT * FROM [q03_tickets]"/>
  </connection>
</connections>
</file>

<file path=xl/sharedStrings.xml><?xml version="1.0" encoding="utf-8"?>
<sst xmlns="http://schemas.openxmlformats.org/spreadsheetml/2006/main" count="145" uniqueCount="98">
  <si>
    <t>Question 3 — Power Query answer</t>
  </si>
  <si>
    <t>Removing a units row</t>
  </si>
  <si>
    <t>Results</t>
  </si>
  <si>
    <t>Measure</t>
  </si>
  <si>
    <t>Answer</t>
  </si>
  <si>
    <t>Total weight delivered (t)</t>
  </si>
  <si>
    <t>Written answer</t>
  </si>
  <si>
    <t>The units row places the text t in the weight column. Until that row is removed, Power Query must treat the column as mixed data or Text rather than a Decimal Number, so numerical calculations are not reliable.</t>
  </si>
  <si>
    <t>Power Query steps</t>
  </si>
  <si>
    <t>Source → Promoted Headers → Removed units row → Typed identifiers → Changed types</t>
  </si>
  <si>
    <t>Source</t>
  </si>
  <si>
    <t>practice/data/module03/q07_tickets_units.csv</t>
  </si>
  <si>
    <t>ticket_id</t>
  </si>
  <si>
    <t>permit_book</t>
  </si>
  <si>
    <t>lot_code</t>
  </si>
  <si>
    <t>delivery_date</t>
  </si>
  <si>
    <t>crop</t>
  </si>
  <si>
    <t>weight_tonnes</t>
  </si>
  <si>
    <t>moisture_pct</t>
  </si>
  <si>
    <t>elevator</t>
  </si>
  <si>
    <t>postal_code</t>
  </si>
  <si>
    <t>00601</t>
  </si>
  <si>
    <t>4520299272253083</t>
  </si>
  <si>
    <t>2-9</t>
  </si>
  <si>
    <t>Canola</t>
  </si>
  <si>
    <t>Rosetown</t>
  </si>
  <si>
    <t>S0L 2N0</t>
  </si>
  <si>
    <t>00602</t>
  </si>
  <si>
    <t>4520127680271919</t>
  </si>
  <si>
    <t>5-12</t>
  </si>
  <si>
    <t>Peas</t>
  </si>
  <si>
    <t>00603</t>
  </si>
  <si>
    <t>4520192866938790</t>
  </si>
  <si>
    <t>6-2</t>
  </si>
  <si>
    <t>Kindersley</t>
  </si>
  <si>
    <t>00604</t>
  </si>
  <si>
    <t>4520960139639007</t>
  </si>
  <si>
    <t>9-1</t>
  </si>
  <si>
    <t>Oats</t>
  </si>
  <si>
    <t>Biggar</t>
  </si>
  <si>
    <t>00605</t>
  </si>
  <si>
    <t>4520411792205604</t>
  </si>
  <si>
    <t>4-5</t>
  </si>
  <si>
    <t>S0L 1S0</t>
  </si>
  <si>
    <t>00606</t>
  </si>
  <si>
    <t>4520044030760075</t>
  </si>
  <si>
    <t>1-1</t>
  </si>
  <si>
    <t>Barley</t>
  </si>
  <si>
    <t>Outlook</t>
  </si>
  <si>
    <t>S0L 2V0</t>
  </si>
  <si>
    <t>00607</t>
  </si>
  <si>
    <t>4520023910590372</t>
  </si>
  <si>
    <t>3-15</t>
  </si>
  <si>
    <t>00608</t>
  </si>
  <si>
    <t>4520236314508689</t>
  </si>
  <si>
    <t>3-5</t>
  </si>
  <si>
    <t>00609</t>
  </si>
  <si>
    <t>4520999683779446</t>
  </si>
  <si>
    <t>S0K 0M0</t>
  </si>
  <si>
    <t>00610</t>
  </si>
  <si>
    <t>4520094563484406</t>
  </si>
  <si>
    <t>4-3</t>
  </si>
  <si>
    <t>Spring Wheat</t>
  </si>
  <si>
    <t>00611</t>
  </si>
  <si>
    <t>4520312553273738</t>
  </si>
  <si>
    <t>7-4</t>
  </si>
  <si>
    <t>00612</t>
  </si>
  <si>
    <t>4520956539989424</t>
  </si>
  <si>
    <t>1-5</t>
  </si>
  <si>
    <t>Davidson</t>
  </si>
  <si>
    <t>00613</t>
  </si>
  <si>
    <t>4520253292327737</t>
  </si>
  <si>
    <t>1-2</t>
  </si>
  <si>
    <t>00614</t>
  </si>
  <si>
    <t>4520304816028059</t>
  </si>
  <si>
    <t>6-3</t>
  </si>
  <si>
    <t>S0G 1B0</t>
  </si>
  <si>
    <t>00615</t>
  </si>
  <si>
    <t>4520799230398167</t>
  </si>
  <si>
    <t>9-5</t>
  </si>
  <si>
    <t>00616</t>
  </si>
  <si>
    <t>4520433361707518</t>
  </si>
  <si>
    <t>5-15</t>
  </si>
  <si>
    <t>00617</t>
  </si>
  <si>
    <t>4520935750819901</t>
  </si>
  <si>
    <t>2-11</t>
  </si>
  <si>
    <t>00618</t>
  </si>
  <si>
    <t>4520534533340850</t>
  </si>
  <si>
    <t>5-14</t>
  </si>
  <si>
    <t>00619</t>
  </si>
  <si>
    <t>4520809545442121</t>
  </si>
  <si>
    <t>00620</t>
  </si>
  <si>
    <t>4520124310539176</t>
  </si>
  <si>
    <t>6-1</t>
  </si>
  <si>
    <t>Part b</t>
  </si>
  <si>
    <t>Part c</t>
  </si>
  <si>
    <t>Mean weight per ticket (t)Total weight delivered (t)</t>
  </si>
  <si>
    <t>While the units row remains, weight_tonnes contains text ("t"), so Power Query cannot treat the entire column as a Decimal Number or use it reliably in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</si>
</sst>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color rgb="FF222222"/>
      <name val="Arial"/>
      <family val="2"/>
    </font>
    <font>
      <b/>
      <sz val="16"/>
      <color rgb="FF17365D"/>
      <name val="Arial"/>
      <family val="2"/>
    </font>
    <font>
      <i/>
      <sz val="11"/>
      <color rgb="FF555555"/>
      <name val="Arial"/>
      <family val="2"/>
    </font>
    <font>
      <b/>
      <sz val="11"/>
      <color rgb="FF17365D"/>
      <name val="Arial"/>
      <family val="2"/>
    </font>
    <font>
      <b/>
      <sz val="11"/>
      <color rgb="FFFFFFFF"/>
      <name val="Arial"/>
      <family val="2"/>
    </font>
    <font>
      <sz val="10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1" fillId="0" borderId="2" xfId="0" applyFont="1" applyBorder="1"/>
    <xf numFmtId="164" fontId="1" fillId="0" borderId="3" xfId="0" applyNumberFormat="1" applyFont="1" applyBorder="1"/>
    <xf numFmtId="0" fontId="1" fillId="4" borderId="4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1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0" borderId="0" xfId="0" applyNumberFormat="1"/>
    <xf numFmtId="14" fontId="0" fillId="0" borderId="0" xfId="0" applyNumberFormat="1"/>
    <xf numFmtId="0" fontId="0" fillId="5" borderId="0" xfId="0" applyFill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5" xfId="0" applyFont="1" applyFill="1" applyBorder="1"/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askca1-my.sharepoint.com/personal/pjs998_usask_ca/Documents/Teaching/261/2026/textbook_261/textbook_examples/mod03_q01_power_query_answer.xlsx" TargetMode="External"/><Relationship Id="rId1" Type="http://schemas.openxmlformats.org/officeDocument/2006/relationships/externalLinkPath" Target="mod03_q01_power_query_answ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01_tickets"/>
    </sheet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71EB52-816A-804B-AD98-BA4B313E10ED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permit_book" tableColumnId="2"/>
      <queryTableField id="3" name="lot_code" tableColumnId="3"/>
      <queryTableField id="4" name="delivery_date" tableColumnId="4"/>
      <queryTableField id="5" name="crop" tableColumnId="5"/>
      <queryTableField id="6" name="weight_tonnes" tableColumnId="6"/>
      <queryTableField id="7" name="moisture_pct" tableColumnId="7"/>
      <queryTableField id="8" name="elevator" tableColumnId="8"/>
      <queryTableField id="9" name="postal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BA3F9-A604-D14D-AE36-F0179883D4BB}" name="q03_tickets" displayName="q03_tickets" ref="A1:I21" tableType="queryTable" totalsRowShown="0">
  <autoFilter ref="A1:I21" xr:uid="{FC9BA3F9-A604-D14D-AE36-F0179883D4BB}"/>
  <tableColumns count="9">
    <tableColumn id="1" xr3:uid="{A7EFB50F-4E1A-0E44-8AB8-E87EB5868D26}" uniqueName="1" name="ticket_id" queryTableFieldId="1" dataDxfId="6"/>
    <tableColumn id="2" xr3:uid="{54C83CE6-641E-BE4F-9FFF-E1439725B916}" uniqueName="2" name="permit_book" queryTableFieldId="2" dataDxfId="5"/>
    <tableColumn id="3" xr3:uid="{788343C3-DD99-0B4A-A549-70ECD6BBAEF5}" uniqueName="3" name="lot_code" queryTableFieldId="3" dataDxfId="4"/>
    <tableColumn id="4" xr3:uid="{3FB607B6-4F21-1C4C-987C-5BCDB9D9982B}" uniqueName="4" name="delivery_date" queryTableFieldId="4" dataDxfId="3"/>
    <tableColumn id="5" xr3:uid="{118B82FD-B8C9-8441-9061-A44AE5B579E0}" uniqueName="5" name="crop" queryTableFieldId="5" dataDxfId="2"/>
    <tableColumn id="6" xr3:uid="{225AE77F-4B96-064F-B46D-C985C427B6AE}" uniqueName="6" name="weight_tonnes" queryTableFieldId="6"/>
    <tableColumn id="7" xr3:uid="{E0570C0B-1C4D-6F47-AC9C-CF098F68CD1E}" uniqueName="7" name="moisture_pct" queryTableFieldId="7"/>
    <tableColumn id="8" xr3:uid="{2EB5A878-F90B-3F4A-9DCA-39ED95B33618}" uniqueName="8" name="elevator" queryTableFieldId="8" dataDxfId="1"/>
    <tableColumn id="9" xr3:uid="{6D935BAF-143F-0B44-BF13-D9FA0756318E}" uniqueName="9" name="postal_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E18A-CE2D-8144-9002-BCDD99CA3492}">
  <dimension ref="A1:I31"/>
  <sheetViews>
    <sheetView tabSelected="1" workbookViewId="0">
      <selection activeCell="A32" sqref="A32"/>
    </sheetView>
  </sheetViews>
  <sheetFormatPr baseColWidth="10" defaultRowHeight="14"/>
  <cols>
    <col min="1" max="1" width="11.1640625" bestFit="1" customWidth="1"/>
    <col min="2" max="2" width="17.33203125" bestFit="1" customWidth="1"/>
    <col min="3" max="3" width="11.33203125" bestFit="1" customWidth="1"/>
    <col min="4" max="4" width="15.33203125" bestFit="1" customWidth="1"/>
    <col min="5" max="5" width="11.6640625" bestFit="1" customWidth="1"/>
    <col min="6" max="6" width="16.83203125" bestFit="1" customWidth="1"/>
    <col min="7" max="7" width="15.33203125" bestFit="1" customWidth="1"/>
    <col min="8" max="8" width="10.6640625" bestFit="1" customWidth="1"/>
    <col min="9" max="9" width="14.5" bestFit="1" customWidth="1"/>
  </cols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s="15" t="s">
        <v>21</v>
      </c>
      <c r="B2" s="15" t="s">
        <v>22</v>
      </c>
      <c r="C2" s="15" t="s">
        <v>23</v>
      </c>
      <c r="D2" s="16">
        <v>45888</v>
      </c>
      <c r="E2" s="15" t="s">
        <v>24</v>
      </c>
      <c r="F2">
        <v>40.5</v>
      </c>
      <c r="G2">
        <v>9.5</v>
      </c>
      <c r="H2" s="15" t="s">
        <v>25</v>
      </c>
      <c r="I2" s="15" t="s">
        <v>26</v>
      </c>
    </row>
    <row r="3" spans="1:9">
      <c r="A3" s="15" t="s">
        <v>27</v>
      </c>
      <c r="B3" s="15" t="s">
        <v>28</v>
      </c>
      <c r="C3" s="15" t="s">
        <v>29</v>
      </c>
      <c r="D3" s="16">
        <v>45958</v>
      </c>
      <c r="E3" s="15" t="s">
        <v>30</v>
      </c>
      <c r="F3">
        <v>24.6</v>
      </c>
      <c r="G3">
        <v>12.7</v>
      </c>
      <c r="H3" s="15" t="s">
        <v>25</v>
      </c>
      <c r="I3" s="15" t="s">
        <v>26</v>
      </c>
    </row>
    <row r="4" spans="1:9">
      <c r="A4" s="15" t="s">
        <v>31</v>
      </c>
      <c r="B4" s="15" t="s">
        <v>32</v>
      </c>
      <c r="C4" s="15" t="s">
        <v>33</v>
      </c>
      <c r="D4" s="16">
        <v>45941</v>
      </c>
      <c r="E4" s="15" t="s">
        <v>30</v>
      </c>
      <c r="F4">
        <v>24.6</v>
      </c>
      <c r="G4">
        <v>14.7</v>
      </c>
      <c r="H4" s="15" t="s">
        <v>34</v>
      </c>
      <c r="I4" s="15" t="s">
        <v>26</v>
      </c>
    </row>
    <row r="5" spans="1:9">
      <c r="A5" s="15" t="s">
        <v>35</v>
      </c>
      <c r="B5" s="15" t="s">
        <v>36</v>
      </c>
      <c r="C5" s="15" t="s">
        <v>37</v>
      </c>
      <c r="D5" s="16">
        <v>45954</v>
      </c>
      <c r="E5" s="15" t="s">
        <v>38</v>
      </c>
      <c r="F5">
        <v>33.6</v>
      </c>
      <c r="G5">
        <v>9.4</v>
      </c>
      <c r="H5" s="15" t="s">
        <v>39</v>
      </c>
      <c r="I5" s="15" t="s">
        <v>26</v>
      </c>
    </row>
    <row r="6" spans="1:9">
      <c r="A6" s="15" t="s">
        <v>40</v>
      </c>
      <c r="B6" s="15" t="s">
        <v>41</v>
      </c>
      <c r="C6" s="15" t="s">
        <v>42</v>
      </c>
      <c r="D6" s="16">
        <v>45934</v>
      </c>
      <c r="E6" s="15" t="s">
        <v>24</v>
      </c>
      <c r="F6">
        <v>19.8</v>
      </c>
      <c r="G6">
        <v>12.7</v>
      </c>
      <c r="H6" s="15" t="s">
        <v>25</v>
      </c>
      <c r="I6" s="15" t="s">
        <v>43</v>
      </c>
    </row>
    <row r="7" spans="1:9">
      <c r="A7" s="15" t="s">
        <v>44</v>
      </c>
      <c r="B7" s="15" t="s">
        <v>45</v>
      </c>
      <c r="C7" s="15" t="s">
        <v>46</v>
      </c>
      <c r="D7" s="16">
        <v>45970</v>
      </c>
      <c r="E7" s="15" t="s">
        <v>47</v>
      </c>
      <c r="F7">
        <v>39.4</v>
      </c>
      <c r="G7">
        <v>11.4</v>
      </c>
      <c r="H7" s="15" t="s">
        <v>48</v>
      </c>
      <c r="I7" s="15" t="s">
        <v>49</v>
      </c>
    </row>
    <row r="8" spans="1:9">
      <c r="A8" s="15" t="s">
        <v>50</v>
      </c>
      <c r="B8" s="15" t="s">
        <v>51</v>
      </c>
      <c r="C8" s="15" t="s">
        <v>52</v>
      </c>
      <c r="D8" s="16">
        <v>45957</v>
      </c>
      <c r="E8" s="15" t="s">
        <v>30</v>
      </c>
      <c r="F8">
        <v>27</v>
      </c>
      <c r="G8">
        <v>11.4</v>
      </c>
      <c r="H8" s="15" t="s">
        <v>48</v>
      </c>
      <c r="I8" s="15" t="s">
        <v>49</v>
      </c>
    </row>
    <row r="9" spans="1:9">
      <c r="A9" s="15" t="s">
        <v>53</v>
      </c>
      <c r="B9" s="15" t="s">
        <v>54</v>
      </c>
      <c r="C9" s="15" t="s">
        <v>55</v>
      </c>
      <c r="D9" s="16">
        <v>45938</v>
      </c>
      <c r="E9" s="15" t="s">
        <v>30</v>
      </c>
      <c r="F9">
        <v>31.5</v>
      </c>
      <c r="G9">
        <v>12.2</v>
      </c>
      <c r="H9" s="15" t="s">
        <v>39</v>
      </c>
      <c r="I9" s="15" t="s">
        <v>49</v>
      </c>
    </row>
    <row r="10" spans="1:9">
      <c r="A10" s="15" t="s">
        <v>56</v>
      </c>
      <c r="B10" s="15" t="s">
        <v>57</v>
      </c>
      <c r="C10" s="15" t="s">
        <v>46</v>
      </c>
      <c r="D10" s="16">
        <v>45953</v>
      </c>
      <c r="E10" s="15" t="s">
        <v>24</v>
      </c>
      <c r="F10">
        <v>37.299999999999997</v>
      </c>
      <c r="G10">
        <v>12.1</v>
      </c>
      <c r="H10" s="15" t="s">
        <v>39</v>
      </c>
      <c r="I10" s="15" t="s">
        <v>58</v>
      </c>
    </row>
    <row r="11" spans="1:9">
      <c r="A11" s="15" t="s">
        <v>59</v>
      </c>
      <c r="B11" s="15" t="s">
        <v>60</v>
      </c>
      <c r="C11" s="15" t="s">
        <v>61</v>
      </c>
      <c r="D11" s="16">
        <v>45907</v>
      </c>
      <c r="E11" s="15" t="s">
        <v>62</v>
      </c>
      <c r="F11">
        <v>32.799999999999997</v>
      </c>
      <c r="G11">
        <v>14.3</v>
      </c>
      <c r="H11" s="15" t="s">
        <v>48</v>
      </c>
      <c r="I11" s="15" t="s">
        <v>49</v>
      </c>
    </row>
    <row r="12" spans="1:9">
      <c r="A12" s="15" t="s">
        <v>63</v>
      </c>
      <c r="B12" s="15" t="s">
        <v>64</v>
      </c>
      <c r="C12" s="15" t="s">
        <v>65</v>
      </c>
      <c r="D12" s="16">
        <v>45949</v>
      </c>
      <c r="E12" s="15" t="s">
        <v>62</v>
      </c>
      <c r="F12">
        <v>36.299999999999997</v>
      </c>
      <c r="G12">
        <v>9.6999999999999993</v>
      </c>
      <c r="H12" s="15" t="s">
        <v>48</v>
      </c>
      <c r="I12" s="15" t="s">
        <v>58</v>
      </c>
    </row>
    <row r="13" spans="1:9">
      <c r="A13" s="15" t="s">
        <v>66</v>
      </c>
      <c r="B13" s="15" t="s">
        <v>67</v>
      </c>
      <c r="C13" s="15" t="s">
        <v>68</v>
      </c>
      <c r="D13" s="16">
        <v>45913</v>
      </c>
      <c r="E13" s="15" t="s">
        <v>24</v>
      </c>
      <c r="F13">
        <v>41.8</v>
      </c>
      <c r="G13">
        <v>14.7</v>
      </c>
      <c r="H13" s="15" t="s">
        <v>69</v>
      </c>
      <c r="I13" s="15" t="s">
        <v>49</v>
      </c>
    </row>
    <row r="14" spans="1:9">
      <c r="A14" s="15" t="s">
        <v>70</v>
      </c>
      <c r="B14" s="15" t="s">
        <v>71</v>
      </c>
      <c r="C14" s="15" t="s">
        <v>72</v>
      </c>
      <c r="D14" s="16">
        <v>45880</v>
      </c>
      <c r="E14" s="15" t="s">
        <v>47</v>
      </c>
      <c r="F14">
        <v>30.4</v>
      </c>
      <c r="G14">
        <v>13.4</v>
      </c>
      <c r="H14" s="15" t="s">
        <v>34</v>
      </c>
      <c r="I14" s="15" t="s">
        <v>26</v>
      </c>
    </row>
    <row r="15" spans="1:9">
      <c r="A15" s="15" t="s">
        <v>73</v>
      </c>
      <c r="B15" s="15" t="s">
        <v>74</v>
      </c>
      <c r="C15" s="15" t="s">
        <v>75</v>
      </c>
      <c r="D15" s="16">
        <v>45982</v>
      </c>
      <c r="E15" s="15" t="s">
        <v>24</v>
      </c>
      <c r="F15">
        <v>22.4</v>
      </c>
      <c r="G15">
        <v>10.6</v>
      </c>
      <c r="H15" s="15" t="s">
        <v>69</v>
      </c>
      <c r="I15" s="15" t="s">
        <v>76</v>
      </c>
    </row>
    <row r="16" spans="1:9">
      <c r="A16" s="15" t="s">
        <v>77</v>
      </c>
      <c r="B16" s="15" t="s">
        <v>78</v>
      </c>
      <c r="C16" s="15" t="s">
        <v>79</v>
      </c>
      <c r="D16" s="16">
        <v>45964</v>
      </c>
      <c r="E16" s="15" t="s">
        <v>62</v>
      </c>
      <c r="F16">
        <v>43.5</v>
      </c>
      <c r="G16">
        <v>14.5</v>
      </c>
      <c r="H16" s="15" t="s">
        <v>39</v>
      </c>
      <c r="I16" s="15" t="s">
        <v>49</v>
      </c>
    </row>
    <row r="17" spans="1:9">
      <c r="A17" s="15" t="s">
        <v>80</v>
      </c>
      <c r="B17" s="15" t="s">
        <v>81</v>
      </c>
      <c r="C17" s="15" t="s">
        <v>82</v>
      </c>
      <c r="D17" s="16">
        <v>45953</v>
      </c>
      <c r="E17" s="15" t="s">
        <v>38</v>
      </c>
      <c r="F17">
        <v>22.8</v>
      </c>
      <c r="G17">
        <v>11.9</v>
      </c>
      <c r="H17" s="15" t="s">
        <v>39</v>
      </c>
      <c r="I17" s="15" t="s">
        <v>43</v>
      </c>
    </row>
    <row r="18" spans="1:9">
      <c r="A18" s="15" t="s">
        <v>83</v>
      </c>
      <c r="B18" s="15" t="s">
        <v>84</v>
      </c>
      <c r="C18" s="15" t="s">
        <v>85</v>
      </c>
      <c r="D18" s="16">
        <v>45939</v>
      </c>
      <c r="E18" s="15" t="s">
        <v>38</v>
      </c>
      <c r="F18">
        <v>22.9</v>
      </c>
      <c r="G18">
        <v>15.2</v>
      </c>
      <c r="H18" s="15" t="s">
        <v>25</v>
      </c>
      <c r="I18" s="15" t="s">
        <v>76</v>
      </c>
    </row>
    <row r="19" spans="1:9">
      <c r="A19" s="15" t="s">
        <v>86</v>
      </c>
      <c r="B19" s="15" t="s">
        <v>87</v>
      </c>
      <c r="C19" s="15" t="s">
        <v>88</v>
      </c>
      <c r="D19" s="16">
        <v>45934</v>
      </c>
      <c r="E19" s="15" t="s">
        <v>38</v>
      </c>
      <c r="F19">
        <v>34.200000000000003</v>
      </c>
      <c r="G19">
        <v>10.4</v>
      </c>
      <c r="H19" s="15" t="s">
        <v>25</v>
      </c>
      <c r="I19" s="15" t="s">
        <v>49</v>
      </c>
    </row>
    <row r="20" spans="1:9">
      <c r="A20" s="15" t="s">
        <v>89</v>
      </c>
      <c r="B20" s="15" t="s">
        <v>90</v>
      </c>
      <c r="C20" s="15" t="s">
        <v>68</v>
      </c>
      <c r="D20" s="16">
        <v>45972</v>
      </c>
      <c r="E20" s="15" t="s">
        <v>24</v>
      </c>
      <c r="F20">
        <v>20.6</v>
      </c>
      <c r="G20">
        <v>12.5</v>
      </c>
      <c r="H20" s="15" t="s">
        <v>69</v>
      </c>
      <c r="I20" s="15" t="s">
        <v>76</v>
      </c>
    </row>
    <row r="21" spans="1:9">
      <c r="A21" s="15" t="s">
        <v>91</v>
      </c>
      <c r="B21" s="15" t="s">
        <v>92</v>
      </c>
      <c r="C21" s="15" t="s">
        <v>93</v>
      </c>
      <c r="D21" s="16">
        <v>45922</v>
      </c>
      <c r="E21" s="15" t="s">
        <v>30</v>
      </c>
      <c r="F21">
        <v>28.5</v>
      </c>
      <c r="G21">
        <v>14.1</v>
      </c>
      <c r="H21" s="15" t="s">
        <v>39</v>
      </c>
      <c r="I21" s="15" t="s">
        <v>49</v>
      </c>
    </row>
    <row r="24" spans="1:9">
      <c r="A24" s="17" t="s">
        <v>94</v>
      </c>
      <c r="B24" s="17"/>
    </row>
    <row r="25" spans="1:9">
      <c r="A25" s="18" t="s">
        <v>96</v>
      </c>
      <c r="B25" s="17" t="b">
        <f>AVERAGE([1]!q01_tickets[weight_tonnes])=SUM(q03_tickets[weight_tonnes])</f>
        <v>0</v>
      </c>
    </row>
    <row r="26" spans="1:9">
      <c r="A26" s="19"/>
      <c r="B26" s="17"/>
    </row>
    <row r="27" spans="1:9">
      <c r="A27" s="20"/>
      <c r="B27" s="17"/>
    </row>
    <row r="29" spans="1:9">
      <c r="A29" s="21" t="s">
        <v>95</v>
      </c>
      <c r="B29" s="22"/>
      <c r="C29" s="22"/>
      <c r="D29" s="22"/>
    </row>
    <row r="30" spans="1:9">
      <c r="A30" s="23" t="s">
        <v>97</v>
      </c>
      <c r="B30" s="23"/>
      <c r="C30" s="23"/>
      <c r="D30" s="23"/>
    </row>
    <row r="31" spans="1:9">
      <c r="A31" s="23"/>
      <c r="B31" s="23"/>
      <c r="C31" s="23"/>
      <c r="D31" s="23"/>
    </row>
  </sheetData>
  <mergeCells count="1">
    <mergeCell ref="A30:D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baseColWidth="10" defaultColWidth="8.83203125" defaultRowHeight="14"/>
  <cols>
    <col min="1" max="1" width="34" customWidth="1"/>
    <col min="2" max="2" width="74" customWidth="1"/>
  </cols>
  <sheetData>
    <row r="1" spans="1:2" ht="20">
      <c r="A1" s="2" t="s">
        <v>0</v>
      </c>
      <c r="B1" s="1"/>
    </row>
    <row r="2" spans="1:2">
      <c r="A2" s="3" t="s">
        <v>1</v>
      </c>
      <c r="B2" s="1"/>
    </row>
    <row r="3" spans="1:2">
      <c r="A3" s="4"/>
      <c r="B3" s="4"/>
    </row>
    <row r="4" spans="1:2">
      <c r="A4" s="5" t="s">
        <v>2</v>
      </c>
      <c r="B4" s="5"/>
    </row>
    <row r="5" spans="1:2">
      <c r="A5" s="6" t="s">
        <v>3</v>
      </c>
      <c r="B5" s="6" t="s">
        <v>4</v>
      </c>
    </row>
    <row r="6" spans="1:2">
      <c r="A6" s="7" t="s">
        <v>5</v>
      </c>
      <c r="B6" s="8">
        <f>SUM(q03_tickets[weight_tonnes])</f>
        <v>614.5</v>
      </c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5" t="s">
        <v>6</v>
      </c>
      <c r="B13" s="5"/>
    </row>
    <row r="14" spans="1:2" ht="30" customHeight="1">
      <c r="A14" s="9" t="s">
        <v>7</v>
      </c>
      <c r="B14" s="10"/>
    </row>
    <row r="15" spans="1:2" ht="30" customHeight="1">
      <c r="A15" s="11"/>
      <c r="B15" s="12"/>
    </row>
    <row r="16" spans="1:2">
      <c r="A16" s="1"/>
      <c r="B16" s="1"/>
    </row>
    <row r="17" spans="1:2">
      <c r="A17" s="5" t="s">
        <v>8</v>
      </c>
      <c r="B17" s="5"/>
    </row>
    <row r="18" spans="1:2">
      <c r="A18" s="13" t="s">
        <v>9</v>
      </c>
      <c r="B18" s="13"/>
    </row>
    <row r="19" spans="1:2">
      <c r="A19" s="1"/>
      <c r="B19" s="1"/>
    </row>
    <row r="20" spans="1:2">
      <c r="A20" s="5" t="s">
        <v>10</v>
      </c>
      <c r="B20" s="5"/>
    </row>
    <row r="21" spans="1:2" ht="24" customHeight="1">
      <c r="A21" s="14" t="s">
        <v>11</v>
      </c>
      <c r="B21" s="14"/>
    </row>
    <row r="22" spans="1:2" ht="24" customHeight="1">
      <c r="A22" s="14"/>
      <c r="B22" s="14"/>
    </row>
    <row r="23" spans="1:2" ht="24" customHeight="1">
      <c r="A23" s="14"/>
      <c r="B23" s="14"/>
    </row>
    <row r="24" spans="1:2">
      <c r="A24" s="1"/>
      <c r="B24" s="1"/>
    </row>
  </sheetData>
  <mergeCells count="3">
    <mergeCell ref="A14:B15"/>
    <mergeCell ref="A18:B18"/>
    <mergeCell ref="A21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914472-3E3D-7A44-A847-8E0AAE2E8B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q03_tickets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Slade, Peter</cp:lastModifiedBy>
  <dcterms:modified xsi:type="dcterms:W3CDTF">2026-09-06T23:35:58Z</dcterms:modified>
</cp:coreProperties>
</file>