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a9946456b4a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f3c0b3935574d97"/>
    <x:sheet xmlns:r="http://schemas.openxmlformats.org/officeDocument/2006/relationships" name="README" sheetId="2" r:id="Rc089cc769116441e"/>
    <x:sheet xmlns:r="http://schemas.openxmlformats.org/officeDocument/2006/relationships" name="Scatter plots" sheetId="3" r:id="Rc57c2c8353e9405a"/>
    <x:sheet xmlns:r="http://schemas.openxmlformats.org/officeDocument/2006/relationships" name="Correlation" sheetId="4" r:id="Rc40ccea3a12f4cc9"/>
    <x:sheet xmlns:r="http://schemas.openxmlformats.org/officeDocument/2006/relationships" name="Linear model" sheetId="5" r:id="R338c2bb01c7c41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0"/>
  </x:numFmts>
  <x:fonts count="1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302A"/>
      <x:name val="Carlito"/>
    </x:font>
    <x:font>
      <x:b/>
      <x:sz val="11"/>
      <x:color rgb="FFFFFFFF"/>
      <x:name val="Carlito"/>
    </x:font>
    <x:font>
      <x:sz val="11"/>
      <x:color rgb="FF24302A"/>
      <x:name val="Carlito"/>
    </x:font>
    <x:font>
      <x:i/>
      <x:sz val="10"/>
      <x:color rgb="FF5C6B62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1"/>
      <x:color rgb="FF24302A"/>
      <x:name val="Aptos"/>
    </x:font>
    <x:font>
      <x:b/>
      <x:sz val="11"/>
      <x:color rgb="FFFFFFFF"/>
      <x:name val="Aptos"/>
    </x:font>
    <x:font>
      <x:sz val="11"/>
      <x:color rgb="FF24302A"/>
      <x:name val="Aptos"/>
    </x:font>
    <x:font>
      <x:i/>
      <x:sz val="10"/>
      <x:color rgb="FF5C6B62"/>
      <x:name val="Aptos"/>
    </x:font>
    <x:font>
      <x:b/>
      <x:sz val="10"/>
      <x:color rgb="FFFFFFFF"/>
      <x:name val="Aptos"/>
    </x:font>
    <x:font>
      <x:b/>
      <x:sz val="11"/>
      <x:color rgb="FF24302A"/>
      <x:name val="Carlito"/>
    </x:font>
    <x:font>
      <x:b/>
      <x:sz val="11"/>
      <x:color rgb="FF24302A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4A7C59"/>
      </x:patternFill>
    </x:fill>
    <x:fill>
      <x:patternFill patternType="solid">
        <x:fgColor rgb="FFDDE8DF"/>
      </x:patternFill>
    </x:fill>
    <x:fill>
      <x:patternFill patternType="solid">
        <x:fgColor rgb="FFB7973F"/>
      </x:patternFill>
    </x:fill>
    <x:fill>
      <x:patternFill patternType="solid">
        <x:fgColor rgb="FFF5F7F5"/>
      </x:patternFill>
    </x:fill>
  </x:fills>
  <x:borders count="12">
    <x:border/>
    <x:border/>
    <x:border>
      <x:left style="thin">
        <x:color rgb="FFCBD5CE"/>
      </x:left>
      <x:top style="thin">
        <x:color rgb="FFCBD5CE"/>
      </x:top>
      <x:bottom style="thin">
        <x:color rgb="FFCBD5CE"/>
      </x:bottom>
    </x:border>
    <x:border>
      <x:top style="thin">
        <x:color rgb="FFCBD5CE"/>
      </x:top>
      <x:bottom style="thin">
        <x:color rgb="FFCBD5CE"/>
      </x:bottom>
    </x:border>
    <x:border>
      <x:right style="thin">
        <x:color rgb="FFCBD5CE"/>
      </x:right>
      <x:top style="thin">
        <x:color rgb="FFCBD5CE"/>
      </x:top>
      <x:bottom style="thin">
        <x:color rgb="FFCBD5CE"/>
      </x:bottom>
    </x:border>
    <x:border>
      <x:left style="thin">
        <x:color rgb="FFCBD5CE"/>
      </x:left>
      <x:top style="thin">
        <x:color rgb="FFCBD5CE"/>
      </x:top>
      <x:bottom style="thin">
        <x:color rgb="FFCBD5CE"/>
      </x:bottom>
    </x:border>
    <x:border>
      <x:top style="thin">
        <x:color rgb="FFCBD5CE"/>
      </x:top>
      <x:bottom style="thin">
        <x:color rgb="FFCBD5CE"/>
      </x:bottom>
    </x:border>
    <x:border>
      <x:right style="thin">
        <x:color rgb="FFCBD5CE"/>
      </x:right>
      <x:top style="thin">
        <x:color rgb="FFCBD5CE"/>
      </x:top>
      <x:bottom style="thin">
        <x:color rgb="FFCBD5CE"/>
      </x:bottom>
    </x:border>
    <x:border>
      <x:left style="thin">
        <x:color rgb="FFCBD5CE"/>
      </x:left>
      <x:right style="thin">
        <x:color rgb="FFCBD5CE"/>
      </x:right>
      <x:top style="thin">
        <x:color rgb="FFCBD5CE"/>
      </x:top>
      <x:bottom style="thin">
        <x:color rgb="FFCBD5CE"/>
      </x:bottom>
    </x:border>
    <x:border>
      <x:left style="thin">
        <x:color rgb="FFCBD5CE"/>
      </x:left>
      <x:right style="thin">
        <x:color rgb="FFCBD5CE"/>
      </x:right>
      <x:top style="thin">
        <x:color rgb="FFCBD5CE"/>
      </x:top>
      <x:bottom style="thin">
        <x:color rgb="FFCBD5CE"/>
      </x:bottom>
    </x:border>
    <x:border>
      <x:left style="medium">
        <x:color rgb="FF4A7C59"/>
      </x:left>
      <x:right style="medium">
        <x:color rgb="FF4A7C59"/>
      </x:right>
      <x:top style="medium">
        <x:color rgb="FF4A7C59"/>
      </x:top>
      <x:bottom style="medium">
        <x:color rgb="FF4A7C59"/>
      </x:bottom>
    </x:border>
    <x:border>
      <x:left style="medium">
        <x:color rgb="FF4A7C59"/>
      </x:left>
      <x:right style="medium">
        <x:color rgb="FF4A7C59"/>
      </x:right>
      <x:top style="medium">
        <x:color rgb="FF4A7C59"/>
      </x:top>
      <x:bottom style="medium">
        <x:color rgb="FF4A7C59"/>
      </x:bottom>
    </x:border>
  </x:borders>
  <x:cellStyleXfs count="1">
    <x:xf numFmtId="0" fontId="0" fillId="0" borderId="0"/>
  </x:cellStyleXfs>
  <x:cellXfs count="1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4" borderId="8" xfId="0" applyNumberFormat="1" applyFont="1" applyFill="1" applyBorder="1" applyAlignment="1">
      <x:alignment vertical="center"/>
    </x:xf>
    <x:xf numFmtId="0" fontId="0" fillId="4" borderId="9" xfId="0" applyNumberFormat="1" applyFont="1" applyFill="1" applyBorder="1" applyAlignment="1">
      <x:alignment vertical="center"/>
    </x:xf>
    <x:xf numFmtId="0" fontId="3" fillId="4" borderId="8" xfId="0" applyNumberFormat="1" applyFont="1" applyFill="1" applyBorder="1" applyAlignment="1">
      <x:alignment vertical="center"/>
    </x:xf>
    <x:xf numFmtId="0" fontId="3" fillId="4" borderId="9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 wrapText="1"/>
    </x:xf>
    <x:xf numFmtId="0" fontId="9" fillId="4" borderId="2" xfId="0" applyNumberFormat="1" applyFont="1" applyFill="1" applyBorder="1"/>
    <x:xf numFmtId="0" fontId="9" fillId="4" borderId="3" xfId="0" applyNumberFormat="1" applyFont="1" applyFill="1" applyBorder="1"/>
    <x:xf numFmtId="0" fontId="9" fillId="4" borderId="4" xfId="0" applyNumberFormat="1" applyFont="1" applyFill="1" applyBorder="1"/>
    <x:xf numFmtId="0" fontId="10" fillId="0" borderId="0" xfId="0" applyNumberFormat="1" applyFont="1" applyFill="1" applyBorder="1" applyAlignment="1">
      <x:alignment vertical="top" wrapText="1"/>
    </x:xf>
    <x:xf numFmtId="0" fontId="9" fillId="4" borderId="8" xfId="0" applyNumberFormat="1" applyFont="1" applyFill="1" applyBorder="1" applyAlignment="1">
      <x:alignment vertical="center"/>
    </x:xf>
    <x:xf numFmtId="0" fontId="7" fillId="0" borderId="8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8" fillId="3" borderId="1" xfId="0" applyNumberFormat="1" applyFont="1" applyFill="1" applyBorder="1" applyAlignment="1">
      <x:alignment vertical="center" wrapText="1"/>
    </x:xf>
    <x:xf numFmtId="0" fontId="9" fillId="4" borderId="5" xfId="0" applyNumberFormat="1" applyFont="1" applyFill="1" applyBorder="1"/>
    <x:xf numFmtId="0" fontId="9" fillId="4" borderId="6" xfId="0" applyNumberFormat="1" applyFont="1" applyFill="1" applyBorder="1"/>
    <x:xf numFmtId="0" fontId="9" fillId="4" borderId="7" xfId="0" applyNumberFormat="1" applyFont="1" applyFill="1" applyBorder="1"/>
    <x:xf numFmtId="0" fontId="10" fillId="0" borderId="1" xfId="0" applyNumberFormat="1" applyFont="1" applyFill="1" applyBorder="1" applyAlignment="1">
      <x:alignment vertical="top" wrapText="1"/>
    </x:xf>
    <x:xf numFmtId="0" fontId="9" fillId="4" borderId="9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vertical="center"/>
    </x:xf>
    <x:xf numFmtId="0" fontId="11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12" fillId="2" borderId="0" xfId="0" applyNumberFormat="1" applyFont="1" applyFill="1" applyBorder="1"/>
    <x:xf numFmtId="0" fontId="12" fillId="2" borderId="1" xfId="0" applyNumberFormat="1" applyFont="1" applyFill="1" applyBorder="1"/>
    <x:xf numFmtId="0" fontId="12" fillId="2" borderId="8" xfId="0" applyNumberFormat="1" applyFont="1" applyFill="1" applyBorder="1"/>
    <x:xf numFmtId="0" fontId="12" fillId="2" borderId="9" xfId="0" applyNumberFormat="1" applyFont="1" applyFill="1" applyBorder="1"/>
    <x:xf numFmtId="0" fontId="12" fillId="2" borderId="8" xfId="0" applyNumberFormat="1" applyFont="1" applyFill="1" applyBorder="1" applyAlignment="1">
      <x:alignment wrapText="1"/>
    </x:xf>
    <x:xf numFmtId="0" fontId="12" fillId="2" borderId="9" xfId="0" applyNumberFormat="1" applyFont="1" applyFill="1" applyBorder="1" applyAlignment="1">
      <x:alignment wrapText="1"/>
    </x:xf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200" fontId="7" fillId="0" borderId="8" xfId="0" applyNumberFormat="1" applyFont="1" applyFill="1" applyBorder="1"/>
    <x:xf numFmtId="200" fontId="7" fillId="0" borderId="9" xfId="0" applyNumberFormat="1" applyFont="1" applyFill="1" applyBorder="1"/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center" wrapText="1"/>
    </x:xf>
    <x:xf numFmtId="200" fontId="7" fillId="0" borderId="8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200" fontId="7" fillId="0" borderId="9" xfId="0" applyNumberFormat="1" applyFont="1" applyFill="1" applyBorder="1" applyAlignment="1">
      <x:alignment vertical="center"/>
    </x:xf>
    <x:xf numFmtId="0" fontId="11" fillId="5" borderId="1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201" fontId="7" fillId="0" borderId="8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201" fontId="7" fillId="0" borderId="9" xfId="0" applyNumberFormat="1" applyFont="1" applyFill="1" applyBorder="1" applyAlignment="1">
      <x:alignment vertical="center"/>
    </x:xf>
    <x:xf numFmtId="0" fontId="8" fillId="5" borderId="1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13" fillId="3" borderId="8" xfId="0" applyNumberFormat="1" applyFont="1" applyFill="1" applyBorder="1" applyAlignment="1">
      <x:alignment vertical="center"/>
    </x:xf>
    <x:xf numFmtId="0" fontId="13" fillId="3" borderId="9" xfId="0" applyNumberFormat="1" applyFont="1" applyFill="1" applyBorder="1" applyAlignment="1">
      <x:alignment vertical="center"/>
    </x:xf>
    <x:xf numFmtId="0" fontId="13" fillId="3" borderId="10" xfId="0" applyNumberFormat="1" applyFont="1" applyFill="1" applyBorder="1" applyAlignment="1">
      <x:alignment vertical="center"/>
    </x:xf>
    <x:xf numFmtId="0" fontId="13" fillId="3" borderId="11" xfId="0" applyNumberFormat="1" applyFont="1" applyFill="1" applyBorder="1" applyAlignment="1">
      <x:alignment vertical="center"/>
    </x:xf>
    <x:xf numFmtId="200" fontId="13" fillId="3" borderId="10" xfId="0" applyNumberFormat="1" applyFont="1" applyFill="1" applyBorder="1" applyAlignment="1">
      <x:alignment vertical="center"/>
    </x:xf>
    <x:xf numFmtId="200" fontId="13" fillId="3" borderId="11" xfId="0" applyNumberFormat="1" applyFont="1" applyFill="1" applyBorder="1" applyAlignment="1">
      <x:alignment vertical="center"/>
    </x:xf>
    <x:xf numFmtId="200" fontId="14" fillId="3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c30cea40484ce2" /><Relationship Type="http://schemas.openxmlformats.org/officeDocument/2006/relationships/theme" Target="/xl/theme/theme1.xml" Id="R09e10b72257f4d41" /><Relationship Type="http://schemas.openxmlformats.org/officeDocument/2006/relationships/sharedStrings" Target="/xl/sharedStrings.xml" Id="R74a4d93c386a4ffd" /><Relationship Type="http://schemas.openxmlformats.org/officeDocument/2006/relationships/worksheet" Target="/xl/worksheets/sheet1.xml" Id="R8f3c0b3935574d97" /><Relationship Type="http://schemas.openxmlformats.org/officeDocument/2006/relationships/worksheet" Target="/xl/worksheets/sheet2.xml" Id="Rc089cc769116441e" /><Relationship Type="http://schemas.openxmlformats.org/officeDocument/2006/relationships/worksheet" Target="/xl/worksheets/sheet3.xml" Id="Rc57c2c8353e9405a" /><Relationship Type="http://schemas.openxmlformats.org/officeDocument/2006/relationships/worksheet" Target="/xl/worksheets/sheet4.xml" Id="Rc40ccea3a12f4cc9" /><Relationship Type="http://schemas.openxmlformats.org/officeDocument/2006/relationships/worksheet" Target="/xl/worksheets/sheet5.xml" Id="R338c2bb01c7c41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32729909fa4b0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d25318bf1df4f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Yield rises with fertilizer rate, but the line is not the whole story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scatterChart>
        <c:scatterStyle val="marker"/>
        <c:ser>
          <c:idx val="0"/>
          <c:order val="0"/>
          <c:tx>
            <c:v>Yield (bu/ac)</c:v>
          </c:tx>
          <c:xVal>
            <c:numLit>
              <c:formatCode>General</c:formatCode>
              <c:ptCount val="0"/>
            </c:numLit>
          </c:xVal>
          <c:yVal>
            <c:numRef>
              <c:f>'Scatter plots'!$B$8:$B$127</c:f>
              <c:numCache>
                <c:formatCode>0.0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Yield (bu/ac)</a:t>
                </a:r>
              </a:p>
            </c:rich>
          </c:tx>
          <c:overlay val="0"/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Fertilizer (kg/ha)</a:t>
                </a:r>
              </a:p>
            </c:rich>
          </c:tx>
          <c:overlay val="0"/>
        </c:title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Fertilizer rate explains about 57% of the variation in yield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scatterChart>
        <c:scatterStyle val="marker"/>
        <c:ser>
          <c:idx val="0"/>
          <c:order val="0"/>
          <c:tx>
            <c:v>Yield (bu/ac)</c:v>
          </c:tx>
          <c:xVal>
            <c:numLit>
              <c:formatCode>General</c:formatCode>
              <c:ptCount val="0"/>
            </c:numLit>
          </c:xVal>
          <c:yVal>
            <c:numRef>
              <c:f>'Linear model'!$F$5:$F$124</c:f>
              <c:numCache>
                <c:formatCode>0.0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Yield (bu/ac)</a:t>
                </a:r>
              </a:p>
            </c:rich>
          </c:tx>
          <c:overlay val="0"/>
        </c:title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Fertilizer (kg/ha)</a:t>
                </a:r>
              </a:p>
            </c:rich>
          </c:tx>
          <c:overlay val="0"/>
        </c:title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32729909fa4b0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25318bf1df4fc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nolaTrialTable" displayName="CanolaTrialTable" ref="A1:E121" headerRowCount="1" totalsRowCount="0" totalsRowShown="0">
  <x:tableColumns count="5">
    <x:tableColumn id="1" name="field_id"/>
    <x:tableColumn id="2" name="fertilizer_kg_ha"/>
    <x:tableColumn id="3" name="rainfall_mm"/>
    <x:tableColumn id="4" name="variety"/>
    <x:tableColumn id="5" name="yield_bu_acr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12b3b4e9a046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128e4cd788ab4b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e8727da7a9fb49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5" hidden="0" customWidth="1"/>
    <x:col min="5" max="5" width="19" hidden="0" customWidth="1"/>
  </x:cols>
  <x:sheetData>
    <x:row r="1">
      <x:c r="A1" s="72" t="str">
        <x:v>field_id</x:v>
      </x:c>
      <x:c r="B1" s="72" t="str">
        <x:v>fertilizer_kg_ha</x:v>
      </x:c>
      <x:c r="C1" s="72" t="str">
        <x:v>rainfall_mm</x:v>
      </x:c>
      <x:c r="D1" s="72" t="str">
        <x:v>variety</x:v>
      </x:c>
      <x:c r="E1" s="72" t="str">
        <x:v>yield_bu_acre</x:v>
      </x:c>
    </x:row>
    <x:row r="2">
      <x:c r="A2" s="74" t="str">
        <x:v>C001</x:v>
      </x:c>
      <x:c r="B2" s="76" t="n">
        <x:v>146.2</x:v>
      </x:c>
      <x:c r="C2" s="76" t="n">
        <x:v>198.7</x:v>
      </x:c>
      <x:c r="D2" s="74" t="str">
        <x:v>InVigor</x:v>
      </x:c>
      <x:c r="E2" s="76" t="n">
        <x:v>56.7</x:v>
      </x:c>
    </x:row>
    <x:row r="3">
      <x:c r="A3" s="74" t="str">
        <x:v>C002</x:v>
      </x:c>
      <x:c r="B3" s="76" t="n">
        <x:v>136.5</x:v>
      </x:c>
      <x:c r="C3" s="76" t="n">
        <x:v>282.3</x:v>
      </x:c>
      <x:c r="D3" s="74" t="str">
        <x:v>DEKALB</x:v>
      </x:c>
      <x:c r="E3" s="76" t="n">
        <x:v>62</x:v>
      </x:c>
    </x:row>
    <x:row r="4">
      <x:c r="A4" s="74" t="str">
        <x:v>C003</x:v>
      </x:c>
      <x:c r="B4" s="76" t="n">
        <x:v>113.1</x:v>
      </x:c>
      <x:c r="C4" s="76" t="n">
        <x:v>273.6</x:v>
      </x:c>
      <x:c r="D4" s="74" t="str">
        <x:v>Clearfield</x:v>
      </x:c>
      <x:c r="E4" s="76" t="n">
        <x:v>53.6</x:v>
      </x:c>
    </x:row>
    <x:row r="5">
      <x:c r="A5" s="74" t="str">
        <x:v>C004</x:v>
      </x:c>
      <x:c r="B5" s="76" t="n">
        <x:v>111.8</x:v>
      </x:c>
      <x:c r="C5" s="76" t="n">
        <x:v>173</x:v>
      </x:c>
      <x:c r="D5" s="74" t="str">
        <x:v>InVigor</x:v>
      </x:c>
      <x:c r="E5" s="76" t="n">
        <x:v>51.2</x:v>
      </x:c>
    </x:row>
    <x:row r="6">
      <x:c r="A6" s="74" t="str">
        <x:v>C005</x:v>
      </x:c>
      <x:c r="B6" s="76" t="n">
        <x:v>102.6</x:v>
      </x:c>
      <x:c r="C6" s="76" t="n">
        <x:v>215.5</x:v>
      </x:c>
      <x:c r="D6" s="74" t="str">
        <x:v>InVigor</x:v>
      </x:c>
      <x:c r="E6" s="76" t="n">
        <x:v>49.2</x:v>
      </x:c>
    </x:row>
    <x:row r="7">
      <x:c r="A7" s="74" t="str">
        <x:v>C006</x:v>
      </x:c>
      <x:c r="B7" s="76" t="n">
        <x:v>140.5</x:v>
      </x:c>
      <x:c r="C7" s="76" t="n">
        <x:v>151.1</x:v>
      </x:c>
      <x:c r="D7" s="74" t="str">
        <x:v>InVigor</x:v>
      </x:c>
      <x:c r="E7" s="76" t="n">
        <x:v>51.2</x:v>
      </x:c>
    </x:row>
    <x:row r="8">
      <x:c r="A8" s="74" t="str">
        <x:v>C007</x:v>
      </x:c>
      <x:c r="B8" s="76" t="n">
        <x:v>102</x:v>
      </x:c>
      <x:c r="C8" s="76" t="n">
        <x:v>217</x:v>
      </x:c>
      <x:c r="D8" s="74" t="str">
        <x:v>Clearfield</x:v>
      </x:c>
      <x:c r="E8" s="76" t="n">
        <x:v>49</x:v>
      </x:c>
    </x:row>
    <x:row r="9">
      <x:c r="A9" s="74" t="str">
        <x:v>C008</x:v>
      </x:c>
      <x:c r="B9" s="76" t="n">
        <x:v>136.8</x:v>
      </x:c>
      <x:c r="C9" s="76" t="n">
        <x:v>275.2</x:v>
      </x:c>
      <x:c r="D9" s="74" t="str">
        <x:v>InVigor</x:v>
      </x:c>
      <x:c r="E9" s="76" t="n">
        <x:v>56.8</x:v>
      </x:c>
    </x:row>
    <x:row r="10">
      <x:c r="A10" s="74" t="str">
        <x:v>C009</x:v>
      </x:c>
      <x:c r="B10" s="76" t="n">
        <x:v>141.6</x:v>
      </x:c>
      <x:c r="C10" s="76" t="n">
        <x:v>258.5</x:v>
      </x:c>
      <x:c r="D10" s="74" t="str">
        <x:v>InVigor</x:v>
      </x:c>
      <x:c r="E10" s="76" t="n">
        <x:v>61</x:v>
      </x:c>
    </x:row>
    <x:row r="11">
      <x:c r="A11" s="74" t="str">
        <x:v>C010</x:v>
      </x:c>
      <x:c r="B11" s="76" t="n">
        <x:v>97.9</x:v>
      </x:c>
      <x:c r="C11" s="76" t="n">
        <x:v>210.2</x:v>
      </x:c>
      <x:c r="D11" s="74" t="str">
        <x:v>Clearfield</x:v>
      </x:c>
      <x:c r="E11" s="76" t="n">
        <x:v>48.2</x:v>
      </x:c>
    </x:row>
    <x:row r="12">
      <x:c r="A12" s="74" t="str">
        <x:v>C011</x:v>
      </x:c>
      <x:c r="B12" s="76" t="n">
        <x:v>154.6</x:v>
      </x:c>
      <x:c r="C12" s="76" t="n">
        <x:v>288.5</x:v>
      </x:c>
      <x:c r="D12" s="74" t="str">
        <x:v>InVigor</x:v>
      </x:c>
      <x:c r="E12" s="76" t="n">
        <x:v>59.5</x:v>
      </x:c>
    </x:row>
    <x:row r="13">
      <x:c r="A13" s="74" t="str">
        <x:v>C012</x:v>
      </x:c>
      <x:c r="B13" s="76" t="n">
        <x:v>139.8</x:v>
      </x:c>
      <x:c r="C13" s="76"/>
      <x:c r="D13" s="74" t="str">
        <x:v>DEKALB</x:v>
      </x:c>
      <x:c r="E13" s="76" t="n">
        <x:v>55.9</x:v>
      </x:c>
    </x:row>
    <x:row r="14">
      <x:c r="A14" s="74" t="str">
        <x:v>C013</x:v>
      </x:c>
      <x:c r="B14" s="76" t="n">
        <x:v>111.6</x:v>
      </x:c>
      <x:c r="C14" s="76" t="n">
        <x:v>264.6</x:v>
      </x:c>
      <x:c r="D14" s="74" t="str">
        <x:v>InVigor</x:v>
      </x:c>
      <x:c r="E14" s="76" t="n">
        <x:v>55.2</x:v>
      </x:c>
    </x:row>
    <x:row r="15">
      <x:c r="A15" s="74" t="str">
        <x:v>C014</x:v>
      </x:c>
      <x:c r="B15" s="76" t="n">
        <x:v>120.3</x:v>
      </x:c>
      <x:c r="C15" s="76" t="n">
        <x:v>186.7</x:v>
      </x:c>
      <x:c r="D15" s="74" t="str">
        <x:v>InVigor</x:v>
      </x:c>
      <x:c r="E15" s="76" t="n">
        <x:v>51.7</x:v>
      </x:c>
    </x:row>
    <x:row r="16">
      <x:c r="A16" s="74" t="str">
        <x:v>C015</x:v>
      </x:c>
      <x:c r="B16" s="76" t="n">
        <x:v>147</x:v>
      </x:c>
      <x:c r="C16" s="76" t="n">
        <x:v>261.6</x:v>
      </x:c>
      <x:c r="D16" s="74" t="str">
        <x:v>DEKALB</x:v>
      </x:c>
      <x:c r="E16" s="76" t="n">
        <x:v>62.1</x:v>
      </x:c>
    </x:row>
    <x:row r="17">
      <x:c r="A17" s="74" t="str">
        <x:v>C016</x:v>
      </x:c>
      <x:c r="B17" s="76" t="n">
        <x:v>104.6</x:v>
      </x:c>
      <x:c r="C17" s="76" t="n">
        <x:v>155.8</x:v>
      </x:c>
      <x:c r="D17" s="74" t="str">
        <x:v>InVigor</x:v>
      </x:c>
      <x:c r="E17" s="76" t="n">
        <x:v>42.5</x:v>
      </x:c>
    </x:row>
    <x:row r="18">
      <x:c r="A18" s="74" t="str">
        <x:v>C017</x:v>
      </x:c>
      <x:c r="B18" s="76" t="n">
        <x:v>108.6</x:v>
      </x:c>
      <x:c r="C18" s="76" t="n">
        <x:v>242.9</x:v>
      </x:c>
      <x:c r="D18" s="74" t="str">
        <x:v>DEKALB</x:v>
      </x:c>
      <x:c r="E18" s="76" t="n">
        <x:v>44.9</x:v>
      </x:c>
    </x:row>
    <x:row r="19">
      <x:c r="A19" s="74" t="str">
        <x:v>C018</x:v>
      </x:c>
      <x:c r="B19" s="76" t="n">
        <x:v>144.2</x:v>
      </x:c>
      <x:c r="C19" s="76" t="n">
        <x:v>232</x:v>
      </x:c>
      <x:c r="D19" s="74" t="str">
        <x:v>DEKALB</x:v>
      </x:c>
      <x:c r="E19" s="76" t="n">
        <x:v>61</x:v>
      </x:c>
    </x:row>
    <x:row r="20">
      <x:c r="A20" s="74" t="str">
        <x:v>C019</x:v>
      </x:c>
      <x:c r="B20" s="76" t="n">
        <x:v>60.5</x:v>
      </x:c>
      <x:c r="C20" s="76" t="n">
        <x:v>155.7</x:v>
      </x:c>
      <x:c r="D20" s="74" t="str">
        <x:v>DEKALB</x:v>
      </x:c>
      <x:c r="E20" s="76" t="n">
        <x:v>40.6</x:v>
      </x:c>
    </x:row>
    <x:row r="21">
      <x:c r="A21" s="74" t="str">
        <x:v>C020</x:v>
      </x:c>
      <x:c r="B21" s="76" t="n">
        <x:v>138.4</x:v>
      </x:c>
      <x:c r="C21" s="76" t="n">
        <x:v>274.1</x:v>
      </x:c>
      <x:c r="D21" s="74" t="str">
        <x:v>Clearfield</x:v>
      </x:c>
      <x:c r="E21" s="76" t="n">
        <x:v>58.9</x:v>
      </x:c>
    </x:row>
    <x:row r="22">
      <x:c r="A22" s="74" t="str">
        <x:v>C021</x:v>
      </x:c>
      <x:c r="B22" s="76" t="n">
        <x:v>158.3</x:v>
      </x:c>
      <x:c r="C22" s="76" t="n">
        <x:v>243.3</x:v>
      </x:c>
      <x:c r="D22" s="74" t="str">
        <x:v>DEKALB</x:v>
      </x:c>
      <x:c r="E22" s="76" t="n">
        <x:v>56.8</x:v>
      </x:c>
    </x:row>
    <x:row r="23">
      <x:c r="A23" s="74" t="str">
        <x:v>C022</x:v>
      </x:c>
      <x:c r="B23" s="76" t="n">
        <x:v>144.5</x:v>
      </x:c>
      <x:c r="C23" s="76" t="n">
        <x:v>232.2</x:v>
      </x:c>
      <x:c r="D23" s="74" t="str">
        <x:v>Clearfield</x:v>
      </x:c>
      <x:c r="E23" s="76" t="n">
        <x:v>54.5</x:v>
      </x:c>
    </x:row>
    <x:row r="24">
      <x:c r="A24" s="74" t="str">
        <x:v>C023</x:v>
      </x:c>
      <x:c r="B24" s="76" t="n">
        <x:v>113.2</x:v>
      </x:c>
      <x:c r="C24" s="76" t="n">
        <x:v>265.8</x:v>
      </x:c>
      <x:c r="D24" s="74" t="str">
        <x:v>Clearfield</x:v>
      </x:c>
      <x:c r="E24" s="76" t="n">
        <x:v>51.1</x:v>
      </x:c>
    </x:row>
    <x:row r="25">
      <x:c r="A25" s="74" t="str">
        <x:v>C024</x:v>
      </x:c>
      <x:c r="B25" s="76" t="n">
        <x:v>116</x:v>
      </x:c>
      <x:c r="C25" s="76" t="n">
        <x:v>241.8</x:v>
      </x:c>
      <x:c r="D25" s="74" t="str">
        <x:v>InVigor</x:v>
      </x:c>
      <x:c r="E25" s="76" t="n">
        <x:v>52.1</x:v>
      </x:c>
    </x:row>
    <x:row r="26">
      <x:c r="A26" s="74" t="str">
        <x:v>C025</x:v>
      </x:c>
      <x:c r="B26" s="76" t="n">
        <x:v>137.9</x:v>
      </x:c>
      <x:c r="C26" s="76" t="n">
        <x:v>256.3</x:v>
      </x:c>
      <x:c r="D26" s="74" t="str">
        <x:v>InVigor</x:v>
      </x:c>
      <x:c r="E26" s="76" t="n">
        <x:v>54.8</x:v>
      </x:c>
    </x:row>
    <x:row r="27">
      <x:c r="A27" s="74" t="str">
        <x:v>C026</x:v>
      </x:c>
      <x:c r="B27" s="76" t="n">
        <x:v>90.7</x:v>
      </x:c>
      <x:c r="C27" s="76" t="n">
        <x:v>174.4</x:v>
      </x:c>
      <x:c r="D27" s="74" t="str">
        <x:v>InVigor</x:v>
      </x:c>
      <x:c r="E27" s="76" t="n">
        <x:v>47.3</x:v>
      </x:c>
    </x:row>
    <x:row r="28">
      <x:c r="A28" s="74" t="str">
        <x:v>C027</x:v>
      </x:c>
      <x:c r="B28" s="76" t="n">
        <x:v>125.5</x:v>
      </x:c>
      <x:c r="C28" s="76" t="n">
        <x:v>248.9</x:v>
      </x:c>
      <x:c r="D28" s="74" t="str">
        <x:v>Clearfield</x:v>
      </x:c>
      <x:c r="E28" s="76" t="n">
        <x:v>48.2</x:v>
      </x:c>
    </x:row>
    <x:row r="29">
      <x:c r="A29" s="74" t="str">
        <x:v>C028</x:v>
      </x:c>
      <x:c r="B29" s="76" t="n">
        <x:v>112.1</x:v>
      </x:c>
      <x:c r="C29" s="76" t="n">
        <x:v>225.4</x:v>
      </x:c>
      <x:c r="D29" s="74" t="str">
        <x:v>DEKALB</x:v>
      </x:c>
      <x:c r="E29" s="76" t="n">
        <x:v>52.3</x:v>
      </x:c>
    </x:row>
    <x:row r="30">
      <x:c r="A30" s="74" t="str">
        <x:v>C029</x:v>
      </x:c>
      <x:c r="B30" s="76" t="n">
        <x:v>105</x:v>
      </x:c>
      <x:c r="C30" s="76" t="n">
        <x:v>215.2</x:v>
      </x:c>
      <x:c r="D30" s="74" t="str">
        <x:v>Clearfield</x:v>
      </x:c>
      <x:c r="E30" s="76" t="n">
        <x:v>51.6</x:v>
      </x:c>
    </x:row>
    <x:row r="31">
      <x:c r="A31" s="74" t="str">
        <x:v>C030</x:v>
      </x:c>
      <x:c r="B31" s="76" t="n">
        <x:v>132.2</x:v>
      </x:c>
      <x:c r="C31" s="76" t="n">
        <x:v>225.3</x:v>
      </x:c>
      <x:c r="D31" s="74" t="str">
        <x:v>Clearfield</x:v>
      </x:c>
      <x:c r="E31" s="76" t="n">
        <x:v>49</x:v>
      </x:c>
    </x:row>
    <x:row r="32">
      <x:c r="A32" s="74" t="str">
        <x:v>C031</x:v>
      </x:c>
      <x:c r="B32" s="76" t="n">
        <x:v>140.1</x:v>
      </x:c>
      <x:c r="C32" s="76" t="n">
        <x:v>238.3</x:v>
      </x:c>
      <x:c r="D32" s="74" t="str">
        <x:v>DEKALB</x:v>
      </x:c>
      <x:c r="E32" s="76" t="n">
        <x:v>56.5</x:v>
      </x:c>
    </x:row>
    <x:row r="33">
      <x:c r="A33" s="74" t="str">
        <x:v>C032</x:v>
      </x:c>
      <x:c r="B33" s="76" t="n">
        <x:v>134.7</x:v>
      </x:c>
      <x:c r="C33" s="76" t="n">
        <x:v>260.3</x:v>
      </x:c>
      <x:c r="D33" s="74" t="str">
        <x:v>DEKALB</x:v>
      </x:c>
      <x:c r="E33" s="76" t="n">
        <x:v>56.6</x:v>
      </x:c>
    </x:row>
    <x:row r="34">
      <x:c r="A34" s="74" t="str">
        <x:v>C033</x:v>
      </x:c>
      <x:c r="B34" s="76" t="n">
        <x:v>171.1</x:v>
      </x:c>
      <x:c r="C34" s="76" t="n">
        <x:v>258.5</x:v>
      </x:c>
      <x:c r="D34" s="74" t="str">
        <x:v>InVigor</x:v>
      </x:c>
      <x:c r="E34" s="76" t="n">
        <x:v>62.5</x:v>
      </x:c>
    </x:row>
    <x:row r="35">
      <x:c r="A35" s="74" t="str">
        <x:v>C034</x:v>
      </x:c>
      <x:c r="B35" s="76" t="n">
        <x:v>108.1</x:v>
      </x:c>
      <x:c r="C35" s="76" t="n">
        <x:v>236.5</x:v>
      </x:c>
      <x:c r="D35" s="74" t="str">
        <x:v>DEKALB</x:v>
      </x:c>
      <x:c r="E35" s="76" t="n">
        <x:v>47.9</x:v>
      </x:c>
    </x:row>
    <x:row r="36">
      <x:c r="A36" s="74" t="str">
        <x:v>C035</x:v>
      </x:c>
      <x:c r="B36" s="76" t="n">
        <x:v>137.1</x:v>
      </x:c>
      <x:c r="C36" s="76" t="n">
        <x:v>214.5</x:v>
      </x:c>
      <x:c r="D36" s="74" t="str">
        <x:v>InVigor</x:v>
      </x:c>
      <x:c r="E36" s="76" t="n">
        <x:v>49.3</x:v>
      </x:c>
    </x:row>
    <x:row r="37">
      <x:c r="A37" s="74" t="str">
        <x:v>C036</x:v>
      </x:c>
      <x:c r="B37" s="76" t="n">
        <x:v>135.6</x:v>
      </x:c>
      <x:c r="C37" s="76" t="n">
        <x:v>184.9</x:v>
      </x:c>
      <x:c r="D37" s="74" t="str">
        <x:v>InVigor</x:v>
      </x:c>
      <x:c r="E37" s="76" t="n">
        <x:v>51.8</x:v>
      </x:c>
    </x:row>
    <x:row r="38">
      <x:c r="A38" s="74" t="str">
        <x:v>C037</x:v>
      </x:c>
      <x:c r="B38" s="76" t="n">
        <x:v>94</x:v>
      </x:c>
      <x:c r="C38" s="76" t="n">
        <x:v>261.8</x:v>
      </x:c>
      <x:c r="D38" s="74" t="str">
        <x:v>InVigor</x:v>
      </x:c>
      <x:c r="E38" s="76" t="n">
        <x:v>50.3</x:v>
      </x:c>
    </x:row>
    <x:row r="39">
      <x:c r="A39" s="74" t="str">
        <x:v>C038</x:v>
      </x:c>
      <x:c r="B39" s="76" t="n">
        <x:v>130</x:v>
      </x:c>
      <x:c r="C39" s="76" t="n">
        <x:v>244.1</x:v>
      </x:c>
      <x:c r="D39" s="74" t="str">
        <x:v>Clearfield</x:v>
      </x:c>
      <x:c r="E39" s="76" t="n">
        <x:v>52.1</x:v>
      </x:c>
    </x:row>
    <x:row r="40">
      <x:c r="A40" s="74" t="str">
        <x:v>C039</x:v>
      </x:c>
      <x:c r="B40" s="76" t="n">
        <x:v>161.5</x:v>
      </x:c>
      <x:c r="C40" s="76" t="n">
        <x:v>208.6</x:v>
      </x:c>
      <x:c r="D40" s="74" t="str">
        <x:v>Clearfield</x:v>
      </x:c>
      <x:c r="E40" s="76" t="n">
        <x:v>50.2</x:v>
      </x:c>
    </x:row>
    <x:row r="41">
      <x:c r="A41" s="74" t="str">
        <x:v>C040</x:v>
      </x:c>
      <x:c r="B41" s="76" t="n">
        <x:v>88.2</x:v>
      </x:c>
      <x:c r="C41" s="76" t="n">
        <x:v>185.8</x:v>
      </x:c>
      <x:c r="D41" s="74" t="str">
        <x:v>Clearfield</x:v>
      </x:c>
      <x:c r="E41" s="76" t="n">
        <x:v>50.3</x:v>
      </x:c>
    </x:row>
    <x:row r="42">
      <x:c r="A42" s="74" t="str">
        <x:v>C041</x:v>
      </x:c>
      <x:c r="B42" s="76" t="n">
        <x:v>132.8</x:v>
      </x:c>
      <x:c r="C42" s="76" t="n">
        <x:v>188</x:v>
      </x:c>
      <x:c r="D42" s="74" t="str">
        <x:v>Clearfield</x:v>
      </x:c>
      <x:c r="E42" s="76" t="n">
        <x:v>51.8</x:v>
      </x:c>
    </x:row>
    <x:row r="43">
      <x:c r="A43" s="74" t="str">
        <x:v>C042</x:v>
      </x:c>
      <x:c r="B43" s="76" t="n">
        <x:v>129.9</x:v>
      </x:c>
      <x:c r="C43" s="76" t="n">
        <x:v>282.8</x:v>
      </x:c>
      <x:c r="D43" s="74" t="str">
        <x:v>Clearfield</x:v>
      </x:c>
      <x:c r="E43" s="76" t="n">
        <x:v>58</x:v>
      </x:c>
    </x:row>
    <x:row r="44">
      <x:c r="A44" s="74" t="str">
        <x:v>C043</x:v>
      </x:c>
      <x:c r="B44" s="76" t="n">
        <x:v>115.3</x:v>
      </x:c>
      <x:c r="C44" s="76" t="n">
        <x:v>216.6</x:v>
      </x:c>
      <x:c r="D44" s="74" t="str">
        <x:v>InVigor</x:v>
      </x:c>
      <x:c r="E44" s="76" t="n">
        <x:v>51.9</x:v>
      </x:c>
    </x:row>
    <x:row r="45">
      <x:c r="A45" s="74" t="str">
        <x:v>C044</x:v>
      </x:c>
      <x:c r="B45" s="76" t="n">
        <x:v>128.3</x:v>
      </x:c>
      <x:c r="C45" s="76" t="n">
        <x:v>265.6</x:v>
      </x:c>
      <x:c r="D45" s="74" t="str">
        <x:v>InVigor</x:v>
      </x:c>
      <x:c r="E45" s="76" t="n">
        <x:v>55.3</x:v>
      </x:c>
    </x:row>
    <x:row r="46">
      <x:c r="A46" s="74" t="str">
        <x:v>C045</x:v>
      </x:c>
      <x:c r="B46" s="76" t="n">
        <x:v>141.8</x:v>
      </x:c>
      <x:c r="C46" s="76" t="n">
        <x:v>264.5</x:v>
      </x:c>
      <x:c r="D46" s="74" t="str">
        <x:v>InVigor</x:v>
      </x:c>
      <x:c r="E46" s="76" t="n">
        <x:v>62.8</x:v>
      </x:c>
    </x:row>
    <x:row r="47">
      <x:c r="A47" s="74" t="str">
        <x:v>C046</x:v>
      </x:c>
      <x:c r="B47" s="76" t="n">
        <x:v>109.1</x:v>
      </x:c>
      <x:c r="C47" s="76" t="n">
        <x:v>231.5</x:v>
      </x:c>
      <x:c r="D47" s="74" t="str">
        <x:v>DEKALB</x:v>
      </x:c>
      <x:c r="E47" s="76" t="n">
        <x:v>45.3</x:v>
      </x:c>
    </x:row>
    <x:row r="48">
      <x:c r="A48" s="74" t="str">
        <x:v>C047</x:v>
      </x:c>
      <x:c r="B48" s="76" t="n">
        <x:v>63.4</x:v>
      </x:c>
      <x:c r="C48" s="76"/>
      <x:c r="D48" s="74" t="str">
        <x:v>Clearfield</x:v>
      </x:c>
      <x:c r="E48" s="76" t="n">
        <x:v>39.7</x:v>
      </x:c>
    </x:row>
    <x:row r="49">
      <x:c r="A49" s="74" t="str">
        <x:v>C048</x:v>
      </x:c>
      <x:c r="B49" s="76" t="n">
        <x:v>125.9</x:v>
      </x:c>
      <x:c r="C49" s="76" t="n">
        <x:v>255.5</x:v>
      </x:c>
      <x:c r="D49" s="74" t="str">
        <x:v>InVigor</x:v>
      </x:c>
      <x:c r="E49" s="76" t="n">
        <x:v>55.6</x:v>
      </x:c>
    </x:row>
    <x:row r="50">
      <x:c r="A50" s="74" t="str">
        <x:v>C049</x:v>
      </x:c>
      <x:c r="B50" s="76" t="n">
        <x:v>104.1</x:v>
      </x:c>
      <x:c r="C50" s="76" t="n">
        <x:v>173.3</x:v>
      </x:c>
      <x:c r="D50" s="74" t="str">
        <x:v>DEKALB</x:v>
      </x:c>
      <x:c r="E50" s="76" t="n">
        <x:v>44.9</x:v>
      </x:c>
    </x:row>
    <x:row r="51">
      <x:c r="A51" s="74" t="str">
        <x:v>C050</x:v>
      </x:c>
      <x:c r="B51" s="76" t="n">
        <x:v>139.3</x:v>
      </x:c>
      <x:c r="C51" s="76" t="n">
        <x:v>208.9</x:v>
      </x:c>
      <x:c r="D51" s="74" t="str">
        <x:v>InVigor</x:v>
      </x:c>
      <x:c r="E51" s="76" t="n">
        <x:v>53.4</x:v>
      </x:c>
    </x:row>
    <x:row r="52">
      <x:c r="A52" s="74" t="str">
        <x:v>C051</x:v>
      </x:c>
      <x:c r="B52" s="76" t="n">
        <x:v>139.1</x:v>
      </x:c>
      <x:c r="C52" s="76" t="n">
        <x:v>224.9</x:v>
      </x:c>
      <x:c r="D52" s="74" t="str">
        <x:v>DEKALB</x:v>
      </x:c>
      <x:c r="E52" s="76" t="n">
        <x:v>57.2</x:v>
      </x:c>
    </x:row>
    <x:row r="53">
      <x:c r="A53" s="74" t="str">
        <x:v>C052</x:v>
      </x:c>
      <x:c r="B53" s="76" t="n">
        <x:v>145.2</x:v>
      </x:c>
      <x:c r="C53" s="76" t="n">
        <x:v>234.9</x:v>
      </x:c>
      <x:c r="D53" s="74" t="str">
        <x:v>InVigor</x:v>
      </x:c>
      <x:c r="E53" s="76" t="n">
        <x:v>59.5</x:v>
      </x:c>
    </x:row>
    <x:row r="54">
      <x:c r="A54" s="74" t="str">
        <x:v>C053</x:v>
      </x:c>
      <x:c r="B54" s="76" t="n">
        <x:v>133.8</x:v>
      </x:c>
      <x:c r="C54" s="76" t="n">
        <x:v>180.9</x:v>
      </x:c>
      <x:c r="D54" s="74" t="str">
        <x:v>DEKALB</x:v>
      </x:c>
      <x:c r="E54" s="76" t="n">
        <x:v>51.8</x:v>
      </x:c>
    </x:row>
    <x:row r="55">
      <x:c r="A55" s="74" t="str">
        <x:v>C054</x:v>
      </x:c>
      <x:c r="B55" s="76" t="n">
        <x:v>109.5</x:v>
      </x:c>
      <x:c r="C55" s="76" t="n">
        <x:v>209.3</x:v>
      </x:c>
      <x:c r="D55" s="74" t="str">
        <x:v>DEKALB</x:v>
      </x:c>
      <x:c r="E55" s="76" t="n">
        <x:v>50</x:v>
      </x:c>
    </x:row>
    <x:row r="56">
      <x:c r="A56" s="74" t="str">
        <x:v>C055</x:v>
      </x:c>
      <x:c r="B56" s="76" t="n">
        <x:v>105.2</x:v>
      </x:c>
      <x:c r="C56" s="76" t="n">
        <x:v>220</x:v>
      </x:c>
      <x:c r="D56" s="74" t="str">
        <x:v>Clearfield</x:v>
      </x:c>
      <x:c r="E56" s="76" t="n">
        <x:v>52</x:v>
      </x:c>
    </x:row>
    <x:row r="57">
      <x:c r="A57" s="74" t="str">
        <x:v>C056</x:v>
      </x:c>
      <x:c r="B57" s="76" t="n">
        <x:v>123</x:v>
      </x:c>
      <x:c r="C57" s="76" t="n">
        <x:v>216.5</x:v>
      </x:c>
      <x:c r="D57" s="74" t="str">
        <x:v>Clearfield</x:v>
      </x:c>
      <x:c r="E57" s="76" t="n">
        <x:v>49.3</x:v>
      </x:c>
    </x:row>
    <x:row r="58">
      <x:c r="A58" s="74" t="str">
        <x:v>C057</x:v>
      </x:c>
      <x:c r="B58" s="76" t="n">
        <x:v>116.3</x:v>
      </x:c>
      <x:c r="C58" s="76" t="n">
        <x:v>172.4</x:v>
      </x:c>
      <x:c r="D58" s="74" t="str">
        <x:v>Clearfield</x:v>
      </x:c>
      <x:c r="E58" s="76" t="n">
        <x:v>51.6</x:v>
      </x:c>
    </x:row>
    <x:row r="59">
      <x:c r="A59" s="74" t="str">
        <x:v>C058</x:v>
      </x:c>
      <x:c r="B59" s="76" t="n">
        <x:v>143.4</x:v>
      </x:c>
      <x:c r="C59" s="76" t="n">
        <x:v>211.4</x:v>
      </x:c>
      <x:c r="D59" s="74" t="str">
        <x:v>Clearfield</x:v>
      </x:c>
      <x:c r="E59" s="76" t="n">
        <x:v>51.5</x:v>
      </x:c>
    </x:row>
    <x:row r="60">
      <x:c r="A60" s="74" t="str">
        <x:v>C059</x:v>
      </x:c>
      <x:c r="B60" s="76" t="n">
        <x:v>142.4</x:v>
      </x:c>
      <x:c r="C60" s="76" t="n">
        <x:v>231.1</x:v>
      </x:c>
      <x:c r="D60" s="74" t="str">
        <x:v>InVigor</x:v>
      </x:c>
      <x:c r="E60" s="76" t="n">
        <x:v>58.4</x:v>
      </x:c>
    </x:row>
    <x:row r="61">
      <x:c r="A61" s="74" t="str">
        <x:v>C060</x:v>
      </x:c>
      <x:c r="B61" s="76" t="n">
        <x:v>119.5</x:v>
      </x:c>
      <x:c r="C61" s="76" t="n">
        <x:v>227.3</x:v>
      </x:c>
      <x:c r="D61" s="74" t="str">
        <x:v>InVigor</x:v>
      </x:c>
      <x:c r="E61" s="76" t="n">
        <x:v>56.5</x:v>
      </x:c>
    </x:row>
    <x:row r="62">
      <x:c r="A62" s="74" t="str">
        <x:v>C061</x:v>
      </x:c>
      <x:c r="B62" s="76" t="n">
        <x:v>128.1</x:v>
      </x:c>
      <x:c r="C62" s="76" t="n">
        <x:v>235.7</x:v>
      </x:c>
      <x:c r="D62" s="74" t="str">
        <x:v>InVigor</x:v>
      </x:c>
      <x:c r="E62" s="76" t="n">
        <x:v>51.6</x:v>
      </x:c>
    </x:row>
    <x:row r="63">
      <x:c r="A63" s="74" t="str">
        <x:v>C062</x:v>
      </x:c>
      <x:c r="B63" s="76" t="n">
        <x:v>124.3</x:v>
      </x:c>
      <x:c r="C63" s="76" t="n">
        <x:v>265</x:v>
      </x:c>
      <x:c r="D63" s="74" t="str">
        <x:v>InVigor</x:v>
      </x:c>
      <x:c r="E63" s="76" t="n">
        <x:v>58.1</x:v>
      </x:c>
    </x:row>
    <x:row r="64">
      <x:c r="A64" s="74" t="str">
        <x:v>C063</x:v>
      </x:c>
      <x:c r="B64" s="76" t="n">
        <x:v>141.1</x:v>
      </x:c>
      <x:c r="C64" s="76" t="n">
        <x:v>198.8</x:v>
      </x:c>
      <x:c r="D64" s="74" t="str">
        <x:v>InVigor</x:v>
      </x:c>
      <x:c r="E64" s="76" t="n">
        <x:v>53.3</x:v>
      </x:c>
    </x:row>
    <x:row r="65">
      <x:c r="A65" s="74" t="str">
        <x:v>C064</x:v>
      </x:c>
      <x:c r="B65" s="76" t="n">
        <x:v>186</x:v>
      </x:c>
      <x:c r="C65" s="76" t="n">
        <x:v>240.9</x:v>
      </x:c>
      <x:c r="D65" s="74" t="str">
        <x:v>Clearfield</x:v>
      </x:c>
      <x:c r="E65" s="76" t="n">
        <x:v>62.9</x:v>
      </x:c>
    </x:row>
    <x:row r="66">
      <x:c r="A66" s="74" t="str">
        <x:v>C065</x:v>
      </x:c>
      <x:c r="B66" s="76" t="n">
        <x:v>94.3</x:v>
      </x:c>
      <x:c r="C66" s="76" t="n">
        <x:v>223.5</x:v>
      </x:c>
      <x:c r="D66" s="74" t="str">
        <x:v>DEKALB</x:v>
      </x:c>
      <x:c r="E66" s="76" t="n">
        <x:v>47.2</x:v>
      </x:c>
    </x:row>
    <x:row r="67">
      <x:c r="A67" s="74" t="str">
        <x:v>C066</x:v>
      </x:c>
      <x:c r="B67" s="76" t="n">
        <x:v>102.9</x:v>
      </x:c>
      <x:c r="C67" s="76" t="n">
        <x:v>168.6</x:v>
      </x:c>
      <x:c r="D67" s="74" t="str">
        <x:v>DEKALB</x:v>
      </x:c>
      <x:c r="E67" s="76" t="n">
        <x:v>45.6</x:v>
      </x:c>
    </x:row>
    <x:row r="68">
      <x:c r="A68" s="74" t="str">
        <x:v>C067</x:v>
      </x:c>
      <x:c r="B68" s="76" t="n">
        <x:v>186.9</x:v>
      </x:c>
      <x:c r="C68" s="76" t="n">
        <x:v>258.6</x:v>
      </x:c>
      <x:c r="D68" s="74" t="str">
        <x:v>Clearfield</x:v>
      </x:c>
      <x:c r="E68" s="76" t="n">
        <x:v>59.2</x:v>
      </x:c>
    </x:row>
    <x:row r="69">
      <x:c r="A69" s="74" t="str">
        <x:v>C068</x:v>
      </x:c>
      <x:c r="B69" s="76" t="n">
        <x:v>120.3</x:v>
      </x:c>
      <x:c r="C69" s="76" t="n">
        <x:v>271.4</x:v>
      </x:c>
      <x:c r="D69" s="74" t="str">
        <x:v>Clearfield</x:v>
      </x:c>
      <x:c r="E69" s="76" t="n">
        <x:v>56.3</x:v>
      </x:c>
    </x:row>
    <x:row r="70">
      <x:c r="A70" s="74" t="str">
        <x:v>C069</x:v>
      </x:c>
      <x:c r="B70" s="76" t="n">
        <x:v>128.8</x:v>
      </x:c>
      <x:c r="C70" s="76" t="n">
        <x:v>203.4</x:v>
      </x:c>
      <x:c r="D70" s="74" t="str">
        <x:v>DEKALB</x:v>
      </x:c>
      <x:c r="E70" s="76" t="n">
        <x:v>51.5</x:v>
      </x:c>
    </x:row>
    <x:row r="71">
      <x:c r="A71" s="74" t="str">
        <x:v>C070</x:v>
      </x:c>
      <x:c r="B71" s="76" t="n">
        <x:v>158.2</x:v>
      </x:c>
      <x:c r="C71" s="76" t="n">
        <x:v>320.8</x:v>
      </x:c>
      <x:c r="D71" s="74" t="str">
        <x:v>Clearfield</x:v>
      </x:c>
      <x:c r="E71" s="76" t="n">
        <x:v>63.2</x:v>
      </x:c>
    </x:row>
    <x:row r="72">
      <x:c r="A72" s="74" t="str">
        <x:v>C071</x:v>
      </x:c>
      <x:c r="B72" s="76" t="n">
        <x:v>114.6</x:v>
      </x:c>
      <x:c r="C72" s="76" t="n">
        <x:v>285.2</x:v>
      </x:c>
      <x:c r="D72" s="74" t="str">
        <x:v>DEKALB</x:v>
      </x:c>
      <x:c r="E72" s="76" t="n">
        <x:v>51.3</x:v>
      </x:c>
    </x:row>
    <x:row r="73">
      <x:c r="A73" s="74" t="str">
        <x:v>C072</x:v>
      </x:c>
      <x:c r="B73" s="76" t="n">
        <x:v>141</x:v>
      </x:c>
      <x:c r="C73" s="76" t="n">
        <x:v>236.8</x:v>
      </x:c>
      <x:c r="D73" s="74" t="str">
        <x:v>Clearfield</x:v>
      </x:c>
      <x:c r="E73" s="76" t="n">
        <x:v>54.3</x:v>
      </x:c>
    </x:row>
    <x:row r="74">
      <x:c r="A74" s="74" t="str">
        <x:v>C073</x:v>
      </x:c>
      <x:c r="B74" s="76" t="n">
        <x:v>110.8</x:v>
      </x:c>
      <x:c r="C74" s="76" t="n">
        <x:v>255.2</x:v>
      </x:c>
      <x:c r="D74" s="74" t="str">
        <x:v>Clearfield</x:v>
      </x:c>
      <x:c r="E74" s="76" t="n">
        <x:v>50.9</x:v>
      </x:c>
    </x:row>
    <x:row r="75">
      <x:c r="A75" s="74" t="str">
        <x:v>C074</x:v>
      </x:c>
      <x:c r="B75" s="76" t="n">
        <x:v>120.9</x:v>
      </x:c>
      <x:c r="C75" s="76" t="n">
        <x:v>282.1</x:v>
      </x:c>
      <x:c r="D75" s="74" t="str">
        <x:v>DEKALB</x:v>
      </x:c>
      <x:c r="E75" s="76" t="n">
        <x:v>50.2</x:v>
      </x:c>
    </x:row>
    <x:row r="76">
      <x:c r="A76" s="74" t="str">
        <x:v>C075</x:v>
      </x:c>
      <x:c r="B76" s="76" t="n">
        <x:v>97.6</x:v>
      </x:c>
      <x:c r="C76" s="76" t="n">
        <x:v>190.3</x:v>
      </x:c>
      <x:c r="D76" s="74" t="str">
        <x:v>DEKALB</x:v>
      </x:c>
      <x:c r="E76" s="76" t="n">
        <x:v>48.4</x:v>
      </x:c>
    </x:row>
    <x:row r="77">
      <x:c r="A77" s="74" t="str">
        <x:v>C076</x:v>
      </x:c>
      <x:c r="B77" s="76" t="n">
        <x:v>153.1</x:v>
      </x:c>
      <x:c r="C77" s="76" t="n">
        <x:v>211.6</x:v>
      </x:c>
      <x:c r="D77" s="74" t="str">
        <x:v>InVigor</x:v>
      </x:c>
      <x:c r="E77" s="76" t="n">
        <x:v>59.2</x:v>
      </x:c>
    </x:row>
    <x:row r="78">
      <x:c r="A78" s="74" t="str">
        <x:v>C077</x:v>
      </x:c>
      <x:c r="B78" s="76" t="n">
        <x:v>126.5</x:v>
      </x:c>
      <x:c r="C78" s="76" t="n">
        <x:v>164.4</x:v>
      </x:c>
      <x:c r="D78" s="74" t="str">
        <x:v>InVigor</x:v>
      </x:c>
      <x:c r="E78" s="76" t="n">
        <x:v>52</x:v>
      </x:c>
    </x:row>
    <x:row r="79">
      <x:c r="A79" s="74" t="str">
        <x:v>C078</x:v>
      </x:c>
      <x:c r="B79" s="76" t="n">
        <x:v>160.2</x:v>
      </x:c>
      <x:c r="C79" s="76" t="n">
        <x:v>216.1</x:v>
      </x:c>
      <x:c r="D79" s="74" t="str">
        <x:v>DEKALB</x:v>
      </x:c>
      <x:c r="E79" s="76" t="n">
        <x:v>59</x:v>
      </x:c>
    </x:row>
    <x:row r="80">
      <x:c r="A80" s="74" t="str">
        <x:v>C079</x:v>
      </x:c>
      <x:c r="B80" s="76" t="n">
        <x:v>179.1</x:v>
      </x:c>
      <x:c r="C80" s="76" t="n">
        <x:v>257.2</x:v>
      </x:c>
      <x:c r="D80" s="74" t="str">
        <x:v>Clearfield</x:v>
      </x:c>
      <x:c r="E80" s="76" t="n">
        <x:v>63.2</x:v>
      </x:c>
    </x:row>
    <x:row r="81">
      <x:c r="A81" s="74" t="str">
        <x:v>C080</x:v>
      </x:c>
      <x:c r="B81" s="76" t="n">
        <x:v>116.7</x:v>
      </x:c>
      <x:c r="C81" s="76" t="n">
        <x:v>183.4</x:v>
      </x:c>
      <x:c r="D81" s="74" t="str">
        <x:v>Clearfield</x:v>
      </x:c>
      <x:c r="E81" s="76" t="n">
        <x:v>54.2</x:v>
      </x:c>
    </x:row>
    <x:row r="82">
      <x:c r="A82" s="74" t="str">
        <x:v>C081</x:v>
      </x:c>
      <x:c r="B82" s="76" t="n">
        <x:v>132.2</x:v>
      </x:c>
      <x:c r="C82" s="76" t="n">
        <x:v>252.8</x:v>
      </x:c>
      <x:c r="D82" s="74" t="str">
        <x:v>Clearfield</x:v>
      </x:c>
      <x:c r="E82" s="76" t="n">
        <x:v>59.3</x:v>
      </x:c>
    </x:row>
    <x:row r="83">
      <x:c r="A83" s="74" t="str">
        <x:v>C082</x:v>
      </x:c>
      <x:c r="B83" s="76" t="n">
        <x:v>111</x:v>
      </x:c>
      <x:c r="C83" s="76" t="n">
        <x:v>240</x:v>
      </x:c>
      <x:c r="D83" s="74" t="str">
        <x:v>DEKALB</x:v>
      </x:c>
      <x:c r="E83" s="76" t="n">
        <x:v>53.1</x:v>
      </x:c>
    </x:row>
    <x:row r="84">
      <x:c r="A84" s="74" t="str">
        <x:v>C083</x:v>
      </x:c>
      <x:c r="B84" s="76" t="n">
        <x:v>116.3</x:v>
      </x:c>
      <x:c r="C84" s="76" t="n">
        <x:v>243.9</x:v>
      </x:c>
      <x:c r="D84" s="74" t="str">
        <x:v>DEKALB</x:v>
      </x:c>
      <x:c r="E84" s="76" t="n">
        <x:v>49.6</x:v>
      </x:c>
    </x:row>
    <x:row r="85">
      <x:c r="A85" s="74" t="str">
        <x:v>C084</x:v>
      </x:c>
      <x:c r="B85" s="76" t="n">
        <x:v>120.8</x:v>
      </x:c>
      <x:c r="C85" s="76" t="n">
        <x:v>237.4</x:v>
      </x:c>
      <x:c r="D85" s="74" t="str">
        <x:v>InVigor</x:v>
      </x:c>
      <x:c r="E85" s="76" t="n">
        <x:v>53.3</x:v>
      </x:c>
    </x:row>
    <x:row r="86">
      <x:c r="A86" s="74" t="str">
        <x:v>C085</x:v>
      </x:c>
      <x:c r="B86" s="76" t="n">
        <x:v>126.1</x:v>
      </x:c>
      <x:c r="C86" s="76" t="n">
        <x:v>243.2</x:v>
      </x:c>
      <x:c r="D86" s="74" t="str">
        <x:v>DEKALB</x:v>
      </x:c>
      <x:c r="E86" s="76" t="n">
        <x:v>58.4</x:v>
      </x:c>
    </x:row>
    <x:row r="87">
      <x:c r="A87" s="74" t="str">
        <x:v>C086</x:v>
      </x:c>
      <x:c r="B87" s="76" t="n">
        <x:v>141.8</x:v>
      </x:c>
      <x:c r="C87" s="76" t="n">
        <x:v>248.4</x:v>
      </x:c>
      <x:c r="D87" s="74" t="str">
        <x:v>DEKALB</x:v>
      </x:c>
      <x:c r="E87" s="76" t="n">
        <x:v>57.4</x:v>
      </x:c>
    </x:row>
    <x:row r="88">
      <x:c r="A88" s="74" t="str">
        <x:v>C087</x:v>
      </x:c>
      <x:c r="B88" s="76" t="n">
        <x:v>137.9</x:v>
      </x:c>
      <x:c r="C88" s="76" t="n">
        <x:v>242.5</x:v>
      </x:c>
      <x:c r="D88" s="74" t="str">
        <x:v>InVigor</x:v>
      </x:c>
      <x:c r="E88" s="76" t="n">
        <x:v>52.8</x:v>
      </x:c>
    </x:row>
    <x:row r="89">
      <x:c r="A89" s="74" t="str">
        <x:v>C088</x:v>
      </x:c>
      <x:c r="B89" s="76" t="n">
        <x:v>105.8</x:v>
      </x:c>
      <x:c r="C89" s="76"/>
      <x:c r="D89" s="74" t="str">
        <x:v>InVigor</x:v>
      </x:c>
      <x:c r="E89" s="76" t="n">
        <x:v>46.6</x:v>
      </x:c>
    </x:row>
    <x:row r="90">
      <x:c r="A90" s="74" t="str">
        <x:v>C089</x:v>
      </x:c>
      <x:c r="B90" s="76" t="n">
        <x:v>114.4</x:v>
      </x:c>
      <x:c r="C90" s="76" t="n">
        <x:v>187.5</x:v>
      </x:c>
      <x:c r="D90" s="74" t="str">
        <x:v>DEKALB</x:v>
      </x:c>
      <x:c r="E90" s="76" t="n">
        <x:v>42.4</x:v>
      </x:c>
    </x:row>
    <x:row r="91">
      <x:c r="A91" s="74" t="str">
        <x:v>C090</x:v>
      </x:c>
      <x:c r="B91" s="76" t="n">
        <x:v>115.2</x:v>
      </x:c>
      <x:c r="C91" s="76" t="n">
        <x:v>218</x:v>
      </x:c>
      <x:c r="D91" s="74" t="str">
        <x:v>Clearfield</x:v>
      </x:c>
      <x:c r="E91" s="76" t="n">
        <x:v>51.3</x:v>
      </x:c>
    </x:row>
    <x:row r="92">
      <x:c r="A92" s="74" t="str">
        <x:v>C091</x:v>
      </x:c>
      <x:c r="B92" s="76" t="n">
        <x:v>111.6</x:v>
      </x:c>
      <x:c r="C92" s="76" t="n">
        <x:v>241.9</x:v>
      </x:c>
      <x:c r="D92" s="74" t="str">
        <x:v>Clearfield</x:v>
      </x:c>
      <x:c r="E92" s="76" t="n">
        <x:v>56.6</x:v>
      </x:c>
    </x:row>
    <x:row r="93">
      <x:c r="A93" s="74" t="str">
        <x:v>C092</x:v>
      </x:c>
      <x:c r="B93" s="76" t="n">
        <x:v>98</x:v>
      </x:c>
      <x:c r="C93" s="76" t="n">
        <x:v>148</x:v>
      </x:c>
      <x:c r="D93" s="74" t="str">
        <x:v>Clearfield</x:v>
      </x:c>
      <x:c r="E93" s="76" t="n">
        <x:v>42.2</x:v>
      </x:c>
    </x:row>
    <x:row r="94">
      <x:c r="A94" s="74" t="str">
        <x:v>C093</x:v>
      </x:c>
      <x:c r="B94" s="76" t="n">
        <x:v>149.2</x:v>
      </x:c>
      <x:c r="C94" s="76" t="n">
        <x:v>281.4</x:v>
      </x:c>
      <x:c r="D94" s="74" t="str">
        <x:v>Clearfield</x:v>
      </x:c>
      <x:c r="E94" s="76" t="n">
        <x:v>60</x:v>
      </x:c>
    </x:row>
    <x:row r="95">
      <x:c r="A95" s="74" t="str">
        <x:v>C094</x:v>
      </x:c>
      <x:c r="B95" s="76" t="n">
        <x:v>107.4</x:v>
      </x:c>
      <x:c r="C95" s="76" t="n">
        <x:v>264.9</x:v>
      </x:c>
      <x:c r="D95" s="74" t="str">
        <x:v>DEKALB</x:v>
      </x:c>
      <x:c r="E95" s="76" t="n">
        <x:v>54.6</x:v>
      </x:c>
    </x:row>
    <x:row r="96">
      <x:c r="A96" s="74" t="str">
        <x:v>C095</x:v>
      </x:c>
      <x:c r="B96" s="76" t="n">
        <x:v>116.9</x:v>
      </x:c>
      <x:c r="C96" s="76" t="n">
        <x:v>128.9</x:v>
      </x:c>
      <x:c r="D96" s="74" t="str">
        <x:v>DEKALB</x:v>
      </x:c>
      <x:c r="E96" s="76" t="n">
        <x:v>49.3</x:v>
      </x:c>
    </x:row>
    <x:row r="97">
      <x:c r="A97" s="74" t="str">
        <x:v>C096</x:v>
      </x:c>
      <x:c r="B97" s="76" t="n">
        <x:v>146.6</x:v>
      </x:c>
      <x:c r="C97" s="76" t="n">
        <x:v>311</x:v>
      </x:c>
      <x:c r="D97" s="74" t="str">
        <x:v>DEKALB</x:v>
      </x:c>
      <x:c r="E97" s="76" t="n">
        <x:v>66</x:v>
      </x:c>
    </x:row>
    <x:row r="98">
      <x:c r="A98" s="74" t="str">
        <x:v>C097</x:v>
      </x:c>
      <x:c r="B98" s="76" t="n">
        <x:v>121.6</x:v>
      </x:c>
      <x:c r="C98" s="76" t="n">
        <x:v>255.9</x:v>
      </x:c>
      <x:c r="D98" s="74" t="str">
        <x:v>DEKALB</x:v>
      </x:c>
      <x:c r="E98" s="76" t="n">
        <x:v>46.8</x:v>
      </x:c>
    </x:row>
    <x:row r="99">
      <x:c r="A99" s="74" t="str">
        <x:v>C098</x:v>
      </x:c>
      <x:c r="B99" s="76" t="n">
        <x:v>163.4</x:v>
      </x:c>
      <x:c r="C99" s="76" t="n">
        <x:v>297.3</x:v>
      </x:c>
      <x:c r="D99" s="74" t="str">
        <x:v>Clearfield</x:v>
      </x:c>
      <x:c r="E99" s="76" t="n">
        <x:v>63.6</x:v>
      </x:c>
    </x:row>
    <x:row r="100">
      <x:c r="A100" s="74" t="str">
        <x:v>C099</x:v>
      </x:c>
      <x:c r="B100" s="76" t="n">
        <x:v>106.2</x:v>
      </x:c>
      <x:c r="C100" s="76" t="n">
        <x:v>150.9</x:v>
      </x:c>
      <x:c r="D100" s="74" t="str">
        <x:v>DEKALB</x:v>
      </x:c>
      <x:c r="E100" s="76" t="n">
        <x:v>48.4</x:v>
      </x:c>
    </x:row>
    <x:row r="101">
      <x:c r="A101" s="74" t="str">
        <x:v>C100</x:v>
      </x:c>
      <x:c r="B101" s="76" t="n">
        <x:v>142.7</x:v>
      </x:c>
      <x:c r="C101" s="76" t="n">
        <x:v>271.5</x:v>
      </x:c>
      <x:c r="D101" s="74" t="str">
        <x:v>InVigor</x:v>
      </x:c>
      <x:c r="E101" s="76" t="n">
        <x:v>57.9</x:v>
      </x:c>
    </x:row>
    <x:row r="102">
      <x:c r="A102" s="74" t="str">
        <x:v>C101</x:v>
      </x:c>
      <x:c r="B102" s="76" t="n">
        <x:v>131</x:v>
      </x:c>
      <x:c r="C102" s="76" t="n">
        <x:v>237.2</x:v>
      </x:c>
      <x:c r="D102" s="74" t="str">
        <x:v>Clearfield</x:v>
      </x:c>
      <x:c r="E102" s="76" t="n">
        <x:v>56.4</x:v>
      </x:c>
    </x:row>
    <x:row r="103">
      <x:c r="A103" s="74" t="str">
        <x:v>C102</x:v>
      </x:c>
      <x:c r="B103" s="76" t="n">
        <x:v>151.4</x:v>
      </x:c>
      <x:c r="C103" s="76" t="n">
        <x:v>289.2</x:v>
      </x:c>
      <x:c r="D103" s="74" t="str">
        <x:v>Clearfield</x:v>
      </x:c>
      <x:c r="E103" s="76" t="n">
        <x:v>54.9</x:v>
      </x:c>
    </x:row>
    <x:row r="104">
      <x:c r="A104" s="74" t="str">
        <x:v>C103</x:v>
      </x:c>
      <x:c r="B104" s="76" t="n">
        <x:v>163.4</x:v>
      </x:c>
      <x:c r="C104" s="76" t="n">
        <x:v>263</x:v>
      </x:c>
      <x:c r="D104" s="74" t="str">
        <x:v>Clearfield</x:v>
      </x:c>
      <x:c r="E104" s="76" t="n">
        <x:v>58.9</x:v>
      </x:c>
    </x:row>
    <x:row r="105">
      <x:c r="A105" s="74" t="str">
        <x:v>C104</x:v>
      </x:c>
      <x:c r="B105" s="76" t="n">
        <x:v>72.3</x:v>
      </x:c>
      <x:c r="C105" s="76" t="n">
        <x:v>140.5</x:v>
      </x:c>
      <x:c r="D105" s="74" t="str">
        <x:v>InVigor</x:v>
      </x:c>
      <x:c r="E105" s="76" t="n">
        <x:v>39.3</x:v>
      </x:c>
    </x:row>
    <x:row r="106">
      <x:c r="A106" s="74" t="str">
        <x:v>C105</x:v>
      </x:c>
      <x:c r="B106" s="76" t="n">
        <x:v>85.4</x:v>
      </x:c>
      <x:c r="C106" s="76" t="n">
        <x:v>239.5</x:v>
      </x:c>
      <x:c r="D106" s="74" t="str">
        <x:v>Clearfield</x:v>
      </x:c>
      <x:c r="E106" s="76" t="n">
        <x:v>49</x:v>
      </x:c>
    </x:row>
    <x:row r="107">
      <x:c r="A107" s="74" t="str">
        <x:v>C106</x:v>
      </x:c>
      <x:c r="B107" s="76" t="n">
        <x:v>129.6</x:v>
      </x:c>
      <x:c r="C107" s="76" t="n">
        <x:v>218.6</x:v>
      </x:c>
      <x:c r="D107" s="74" t="str">
        <x:v>DEKALB</x:v>
      </x:c>
      <x:c r="E107" s="76" t="n">
        <x:v>53.3</x:v>
      </x:c>
    </x:row>
    <x:row r="108">
      <x:c r="A108" s="74" t="str">
        <x:v>C107</x:v>
      </x:c>
      <x:c r="B108" s="76" t="n">
        <x:v>139.1</x:v>
      </x:c>
      <x:c r="C108" s="76" t="n">
        <x:v>270.9</x:v>
      </x:c>
      <x:c r="D108" s="74" t="str">
        <x:v>InVigor</x:v>
      </x:c>
      <x:c r="E108" s="76" t="n">
        <x:v>57.7</x:v>
      </x:c>
    </x:row>
    <x:row r="109">
      <x:c r="A109" s="74" t="str">
        <x:v>C108</x:v>
      </x:c>
      <x:c r="B109" s="76" t="n">
        <x:v>133.3</x:v>
      </x:c>
      <x:c r="C109" s="76" t="n">
        <x:v>185</x:v>
      </x:c>
      <x:c r="D109" s="74" t="str">
        <x:v>Clearfield</x:v>
      </x:c>
      <x:c r="E109" s="76" t="n">
        <x:v>45.6</x:v>
      </x:c>
    </x:row>
    <x:row r="110">
      <x:c r="A110" s="74" t="str">
        <x:v>C109</x:v>
      </x:c>
      <x:c r="B110" s="76" t="n">
        <x:v>106.5</x:v>
      </x:c>
      <x:c r="C110" s="76" t="n">
        <x:v>190.3</x:v>
      </x:c>
      <x:c r="D110" s="74" t="str">
        <x:v>DEKALB</x:v>
      </x:c>
      <x:c r="E110" s="76" t="n">
        <x:v>49.3</x:v>
      </x:c>
    </x:row>
    <x:row r="111">
      <x:c r="A111" s="74" t="str">
        <x:v>C110</x:v>
      </x:c>
      <x:c r="B111" s="76" t="n">
        <x:v>146.8</x:v>
      </x:c>
      <x:c r="C111" s="76" t="n">
        <x:v>201.8</x:v>
      </x:c>
      <x:c r="D111" s="74" t="str">
        <x:v>DEKALB</x:v>
      </x:c>
      <x:c r="E111" s="76" t="n">
        <x:v>58.4</x:v>
      </x:c>
    </x:row>
    <x:row r="112">
      <x:c r="A112" s="74" t="str">
        <x:v>C111</x:v>
      </x:c>
      <x:c r="B112" s="76" t="n">
        <x:v>120</x:v>
      </x:c>
      <x:c r="C112" s="76" t="n">
        <x:v>283.3</x:v>
      </x:c>
      <x:c r="D112" s="74" t="str">
        <x:v>InVigor</x:v>
      </x:c>
      <x:c r="E112" s="76" t="n">
        <x:v>57.8</x:v>
      </x:c>
    </x:row>
    <x:row r="113">
      <x:c r="A113" s="74" t="str">
        <x:v>C112</x:v>
      </x:c>
      <x:c r="B113" s="76" t="n">
        <x:v>151</x:v>
      </x:c>
      <x:c r="C113" s="76" t="n">
        <x:v>279.4</x:v>
      </x:c>
      <x:c r="D113" s="74" t="str">
        <x:v>InVigor</x:v>
      </x:c>
      <x:c r="E113" s="76" t="n">
        <x:v>70.4</x:v>
      </x:c>
    </x:row>
    <x:row r="114">
      <x:c r="A114" s="74" t="str">
        <x:v>C113</x:v>
      </x:c>
      <x:c r="B114" s="76" t="n">
        <x:v>82.1</x:v>
      </x:c>
      <x:c r="C114" s="76" t="n">
        <x:v>200.3</x:v>
      </x:c>
      <x:c r="D114" s="74" t="str">
        <x:v>InVigor</x:v>
      </x:c>
      <x:c r="E114" s="76" t="n">
        <x:v>50.3</x:v>
      </x:c>
    </x:row>
    <x:row r="115">
      <x:c r="A115" s="74" t="str">
        <x:v>C114</x:v>
      </x:c>
      <x:c r="B115" s="76" t="n">
        <x:v>115.1</x:v>
      </x:c>
      <x:c r="C115" s="76" t="n">
        <x:v>223.1</x:v>
      </x:c>
      <x:c r="D115" s="74" t="str">
        <x:v>Clearfield</x:v>
      </x:c>
      <x:c r="E115" s="76" t="n">
        <x:v>52.3</x:v>
      </x:c>
    </x:row>
    <x:row r="116">
      <x:c r="A116" s="74" t="str">
        <x:v>C115</x:v>
      </x:c>
      <x:c r="B116" s="76" t="n">
        <x:v>58.3</x:v>
      </x:c>
      <x:c r="C116" s="76" t="n">
        <x:v>192</x:v>
      </x:c>
      <x:c r="D116" s="74" t="str">
        <x:v>DEKALB</x:v>
      </x:c>
      <x:c r="E116" s="76" t="n">
        <x:v>46.8</x:v>
      </x:c>
    </x:row>
    <x:row r="117">
      <x:c r="A117" s="74" t="str">
        <x:v>C116</x:v>
      </x:c>
      <x:c r="B117" s="76" t="n">
        <x:v>121.4</x:v>
      </x:c>
      <x:c r="C117" s="76" t="n">
        <x:v>258.6</x:v>
      </x:c>
      <x:c r="D117" s="74" t="str">
        <x:v>InVigor</x:v>
      </x:c>
      <x:c r="E117" s="76" t="n">
        <x:v>51.6</x:v>
      </x:c>
    </x:row>
    <x:row r="118">
      <x:c r="A118" s="74" t="str">
        <x:v>C117</x:v>
      </x:c>
      <x:c r="B118" s="76" t="n">
        <x:v>85.9</x:v>
      </x:c>
      <x:c r="C118" s="76" t="n">
        <x:v>173.7</x:v>
      </x:c>
      <x:c r="D118" s="74" t="str">
        <x:v>DEKALB</x:v>
      </x:c>
      <x:c r="E118" s="76" t="n">
        <x:v>45</x:v>
      </x:c>
    </x:row>
    <x:row r="119">
      <x:c r="A119" s="74" t="str">
        <x:v>C118</x:v>
      </x:c>
      <x:c r="B119" s="76" t="n">
        <x:v>100.7</x:v>
      </x:c>
      <x:c r="C119" s="76" t="n">
        <x:v>181.7</x:v>
      </x:c>
      <x:c r="D119" s="74" t="str">
        <x:v>DEKALB</x:v>
      </x:c>
      <x:c r="E119" s="76" t="n">
        <x:v>56.7</x:v>
      </x:c>
    </x:row>
    <x:row r="120">
      <x:c r="A120" s="74" t="str">
        <x:v>C119</x:v>
      </x:c>
      <x:c r="B120" s="76" t="n">
        <x:v>151.4</x:v>
      </x:c>
      <x:c r="C120" s="76" t="n">
        <x:v>266.6</x:v>
      </x:c>
      <x:c r="D120" s="74" t="str">
        <x:v>InVigor</x:v>
      </x:c>
      <x:c r="E120" s="76" t="n">
        <x:v>60</x:v>
      </x:c>
    </x:row>
    <x:row r="121">
      <x:c r="A121" s="74" t="str">
        <x:v>C120</x:v>
      </x:c>
      <x:c r="B121" s="76" t="n">
        <x:v>133.3</x:v>
      </x:c>
      <x:c r="C121" s="76" t="n">
        <x:v>221.5</x:v>
      </x:c>
      <x:c r="D121" s="74" t="str">
        <x:v>InVigor</x:v>
      </x:c>
      <x:c r="E121" s="76" t="n">
        <x:v>60.1</x:v>
      </x:c>
    </x:row>
  </x:sheetData>
  <x:pageMargins left="0.7" right="0.7" top="0.75" bottom="0.75" header="0.3" footer="0.3"/>
  <x:tableParts count="1">
    <x:tablePart xmlns:r="http://schemas.openxmlformats.org/officeDocument/2006/relationships" r:id="Rdf12b3b4e9a0467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4" customHeight="1">
      <x:c r="A1" s="46" t="str">
        <x:v>Relationships in the canola trial</x:v>
      </x:c>
      <x:c r="B1" s="47"/>
      <x:c r="C1" s="47"/>
      <x:c r="D1" s="47"/>
      <x:c r="E1" s="47"/>
      <x:c r="F1" s="47"/>
    </x:row>
    <x:row r="2" ht="32" customHeight="1">
      <x:c r="A2" s="48" t="str">
        <x:v>One workbook for scatter plots, correlation and a simple linear model</x:v>
      </x:c>
      <x:c r="B2" s="47"/>
      <x:c r="C2" s="47"/>
      <x:c r="D2" s="47"/>
      <x:c r="E2" s="47"/>
      <x:c r="F2" s="47"/>
    </x:row>
    <x:row r="3">
      <x:c r="A3" s="47"/>
      <x:c r="B3" s="47"/>
      <x:c r="C3" s="47"/>
      <x:c r="D3" s="47"/>
      <x:c r="E3" s="47"/>
      <x:c r="F3" s="47"/>
    </x:row>
    <x:row r="4">
      <x:c r="A4" s="49" t="str">
        <x:v>How to use this workbook</x:v>
      </x:c>
      <x:c r="B4" s="50"/>
      <x:c r="C4" s="50"/>
      <x:c r="D4" s="50"/>
      <x:c r="E4" s="50"/>
      <x:c r="F4" s="51"/>
    </x:row>
    <x:row r="5">
      <x:c r="A5" s="52" t="str">
        <x:v>Start with Scatter plots. Then use Correlation to put a number on each linear relationship. The Linear model sheet estimates the fertilizer-yield line and predicts the average yield at a fertilizer rate you choose. The green input cell is the one intended for editing.</x:v>
      </x:c>
      <x:c r="B5" s="52"/>
      <x:c r="C5" s="52"/>
      <x:c r="D5" s="52"/>
      <x:c r="E5" s="52"/>
      <x:c r="F5" s="52"/>
    </x:row>
    <x:row r="6">
      <x:c r="A6" s="52"/>
      <x:c r="B6" s="52"/>
      <x:c r="C6" s="52"/>
      <x:c r="D6" s="52"/>
      <x:c r="E6" s="52"/>
      <x:c r="F6" s="52"/>
    </x:row>
    <x:row r="7">
      <x:c r="A7" s="52"/>
      <x:c r="B7" s="52"/>
      <x:c r="C7" s="52"/>
      <x:c r="D7" s="52"/>
      <x:c r="E7" s="52"/>
      <x:c r="F7" s="52"/>
    </x:row>
    <x:row r="8">
      <x:c r="A8" s="47"/>
      <x:c r="B8" s="47"/>
      <x:c r="C8" s="47"/>
      <x:c r="D8" s="47"/>
      <x:c r="E8" s="47"/>
      <x:c r="F8" s="47"/>
    </x:row>
    <x:row r="9">
      <x:c r="A9" s="53" t="str">
        <x:v>Sheet</x:v>
      </x:c>
      <x:c r="B9" s="53" t="str">
        <x:v>Purpose</x:v>
      </x:c>
      <x:c r="C9" s="47"/>
      <x:c r="D9" s="47"/>
      <x:c r="E9" s="47"/>
      <x:c r="F9" s="47"/>
    </x:row>
    <x:row r="10">
      <x:c r="A10" s="54" t="str">
        <x:v>Data</x:v>
      </x:c>
      <x:c r="B10" s="54" t="str">
        <x:v>120 canola fields used throughout Module 7</x:v>
      </x:c>
      <x:c r="C10" s="47"/>
      <x:c r="D10" s="47"/>
      <x:c r="E10" s="47"/>
      <x:c r="F10" s="47"/>
    </x:row>
    <x:row r="11">
      <x:c r="A11" s="54" t="str">
        <x:v>Scatter plots</x:v>
      </x:c>
      <x:c r="B11" s="54" t="str">
        <x:v>Look at the point cloud before calculating</x:v>
      </x:c>
      <x:c r="C11" s="47"/>
      <x:c r="D11" s="47"/>
      <x:c r="E11" s="47"/>
      <x:c r="F11" s="47"/>
    </x:row>
    <x:row r="12">
      <x:c r="A12" s="54" t="str">
        <x:v>Correlation</x:v>
      </x:c>
      <x:c r="B12" s="54" t="str">
        <x:v>Compare three Pearson correlations</x:v>
      </x:c>
      <x:c r="C12" s="47"/>
      <x:c r="D12" s="47"/>
      <x:c r="E12" s="47"/>
      <x:c r="F12" s="47"/>
    </x:row>
    <x:row r="13">
      <x:c r="A13" s="54" t="str">
        <x:v>Linear model</x:v>
      </x:c>
      <x:c r="B13" s="54" t="str">
        <x:v>Estimate and use the fertilizer-yield line</x:v>
      </x:c>
      <x:c r="C13" s="47"/>
      <x:c r="D13" s="47"/>
      <x:c r="E13" s="47"/>
      <x:c r="F13" s="47"/>
    </x:row>
    <x:row r="14">
      <x:c r="A14" s="47"/>
      <x:c r="B14" s="47"/>
      <x:c r="C14" s="47"/>
      <x:c r="D14" s="47"/>
      <x:c r="E14" s="47"/>
      <x:c r="F14" s="47"/>
    </x:row>
    <x:row r="15" ht="34" customHeight="1">
      <x:c r="A15" s="55" t="str">
        <x:v>Source: practice/data/canola_trial.csv. Three rainfall values are missing; Excel's CORREL calculation uses the complete pairs available for each relationship.</x:v>
      </x:c>
      <x:c r="B15" s="55"/>
      <x:c r="C15" s="55"/>
      <x:c r="D15" s="55"/>
      <x:c r="E15" s="55"/>
      <x:c r="F15" s="55"/>
    </x:row>
    <x:row r="16">
      <x:c r="A16" s="47"/>
      <x:c r="B16" s="47"/>
      <x:c r="C16" s="47"/>
      <x:c r="D16" s="47"/>
      <x:c r="E16" s="47"/>
      <x:c r="F16" s="47"/>
    </x:row>
    <x:row r="17">
      <x:c r="A17" s="47"/>
      <x:c r="B17" s="47"/>
      <x:c r="C17" s="47"/>
      <x:c r="D17" s="47"/>
      <x:c r="E17" s="47"/>
      <x:c r="F17" s="47"/>
    </x:row>
    <x:row r="18">
      <x:c r="A18" s="47"/>
      <x:c r="B18" s="47"/>
      <x:c r="C18" s="47"/>
      <x:c r="D18" s="47"/>
      <x:c r="E18" s="47"/>
      <x:c r="F18" s="47"/>
    </x:row>
  </x:sheetData>
  <x:mergeCells>
    <x:mergeCell ref="A1:F1"/>
    <x:mergeCell ref="A2:F2"/>
    <x:mergeCell ref="A4:F4"/>
    <x:mergeCell ref="A5:F7"/>
    <x:mergeCell ref="A15:F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3" hidden="0" customWidth="1"/>
  </x:cols>
  <x:sheetData>
    <x:row r="1" ht="34" customHeight="1">
      <x:c r="A1" s="46" t="str">
        <x:v>Look before calculating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</x:row>
    <x:row r="2" ht="32" customHeight="1">
      <x:c r="A2" s="48" t="str">
        <x:v>Yield against fertilizer rate for 120 canola fields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</x:row>
    <x:row r="4">
      <x:c r="A4" s="53" t="str">
        <x:v>Check</x:v>
      </x:c>
      <x:c r="B4" s="53" t="str">
        <x:v>What the plot shows</x:v>
      </x:c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 ht="30" customHeight="1">
      <x:c r="A5" s="84" t="str">
        <x:v>Overall pattern</x:v>
      </x:c>
      <x:c r="B5" s="84" t="str">
        <x:v>Positive and roughly linear, with substantial field-to-field scatter</x:v>
      </x:c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</x:row>
    <x:row r="6">
      <x:c r="A6" s="47"/>
      <x:c r="B6" s="47"/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</x:row>
    <x:row r="7">
      <x:c r="A7" s="53" t="str">
        <x:v>Fertilizer (kg/ha)</x:v>
      </x:c>
      <x:c r="B7" s="53" t="str">
        <x:v>Yield (bu/ac)</x:v>
      </x:c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</x:row>
    <x:row r="8">
      <x:c r="A8" s="85" t="n">
        <x:f>'Data'!B2</x:f>
        <x:v>146.2</x:v>
      </x:c>
      <x:c r="B8" s="85" t="n">
        <x:f>'Data'!E2</x:f>
        <x:v>56.7</x:v>
      </x:c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</x:row>
    <x:row r="9">
      <x:c r="A9" s="85" t="n">
        <x:f>'Data'!B3</x:f>
        <x:v>136.5</x:v>
      </x:c>
      <x:c r="B9" s="85" t="n">
        <x:f>'Data'!E3</x:f>
        <x:v>62</x:v>
      </x:c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</x:row>
    <x:row r="10">
      <x:c r="A10" s="85" t="n">
        <x:f>'Data'!B4</x:f>
        <x:v>113.1</x:v>
      </x:c>
      <x:c r="B10" s="85" t="n">
        <x:f>'Data'!E4</x:f>
        <x:v>53.6</x:v>
      </x:c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</x:row>
    <x:row r="11">
      <x:c r="A11" s="85" t="n">
        <x:f>'Data'!B5</x:f>
        <x:v>111.8</x:v>
      </x:c>
      <x:c r="B11" s="85" t="n">
        <x:f>'Data'!E5</x:f>
        <x:v>51.2</x:v>
      </x:c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</x:row>
    <x:row r="12">
      <x:c r="A12" s="85" t="n">
        <x:f>'Data'!B6</x:f>
        <x:v>102.6</x:v>
      </x:c>
      <x:c r="B12" s="85" t="n">
        <x:f>'Data'!E6</x:f>
        <x:v>49.2</x:v>
      </x:c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</x:row>
    <x:row r="13">
      <x:c r="A13" s="85" t="n">
        <x:f>'Data'!B7</x:f>
        <x:v>140.5</x:v>
      </x:c>
      <x:c r="B13" s="85" t="n">
        <x:f>'Data'!E7</x:f>
        <x:v>51.2</x:v>
      </x:c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</x:row>
    <x:row r="14">
      <x:c r="A14" s="85" t="n">
        <x:f>'Data'!B8</x:f>
        <x:v>102</x:v>
      </x:c>
      <x:c r="B14" s="85" t="n">
        <x:f>'Data'!E8</x:f>
        <x:v>49</x:v>
      </x:c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</x:row>
    <x:row r="15">
      <x:c r="A15" s="85" t="n">
        <x:f>'Data'!B9</x:f>
        <x:v>136.8</x:v>
      </x:c>
      <x:c r="B15" s="85" t="n">
        <x:f>'Data'!E9</x:f>
        <x:v>56.8</x:v>
      </x:c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</x:row>
    <x:row r="16">
      <x:c r="A16" s="85" t="n">
        <x:f>'Data'!B10</x:f>
        <x:v>141.6</x:v>
      </x:c>
      <x:c r="B16" s="85" t="n">
        <x:f>'Data'!E10</x:f>
        <x:v>61</x:v>
      </x:c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</x:row>
    <x:row r="17">
      <x:c r="A17" s="85" t="n">
        <x:f>'Data'!B11</x:f>
        <x:v>97.9</x:v>
      </x:c>
      <x:c r="B17" s="85" t="n">
        <x:f>'Data'!E11</x:f>
        <x:v>48.2</x:v>
      </x:c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</x:row>
    <x:row r="18">
      <x:c r="A18" s="85" t="n">
        <x:f>'Data'!B12</x:f>
        <x:v>154.6</x:v>
      </x:c>
      <x:c r="B18" s="85" t="n">
        <x:f>'Data'!E12</x:f>
        <x:v>59.5</x:v>
      </x:c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</x:row>
    <x:row r="19">
      <x:c r="A19" s="85" t="n">
        <x:f>'Data'!B13</x:f>
        <x:v>139.8</x:v>
      </x:c>
      <x:c r="B19" s="85" t="n">
        <x:f>'Data'!E13</x:f>
        <x:v>55.9</x:v>
      </x:c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</x:row>
    <x:row r="20">
      <x:c r="A20" s="85" t="n">
        <x:f>'Data'!B14</x:f>
        <x:v>111.6</x:v>
      </x:c>
      <x:c r="B20" s="85" t="n">
        <x:f>'Data'!E14</x:f>
        <x:v>55.2</x:v>
      </x:c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</x:row>
    <x:row r="21">
      <x:c r="A21" s="85" t="n">
        <x:f>'Data'!B15</x:f>
        <x:v>120.3</x:v>
      </x:c>
      <x:c r="B21" s="85" t="n">
        <x:f>'Data'!E15</x:f>
        <x:v>51.7</x:v>
      </x:c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</x:row>
    <x:row r="22">
      <x:c r="A22" s="85" t="n">
        <x:f>'Data'!B16</x:f>
        <x:v>147</x:v>
      </x:c>
      <x:c r="B22" s="85" t="n">
        <x:f>'Data'!E16</x:f>
        <x:v>62.1</x:v>
      </x:c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</x:row>
    <x:row r="23">
      <x:c r="A23" s="85" t="n">
        <x:f>'Data'!B17</x:f>
        <x:v>104.6</x:v>
      </x:c>
      <x:c r="B23" s="85" t="n">
        <x:f>'Data'!E17</x:f>
        <x:v>42.5</x:v>
      </x:c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</x:row>
    <x:row r="24">
      <x:c r="A24" s="85" t="n">
        <x:f>'Data'!B18</x:f>
        <x:v>108.6</x:v>
      </x:c>
      <x:c r="B24" s="85" t="n">
        <x:f>'Data'!E18</x:f>
        <x:v>44.9</x:v>
      </x:c>
      <x:c r="C24" s="47"/>
      <x:c r="D24" s="86" t="str">
        <x:v>Read the point cloud before you summarize it. Check its direction, shape, spread, unusual points and possible groups.</x:v>
      </x:c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</x:row>
    <x:row r="25">
      <x:c r="A25" s="85" t="n">
        <x:f>'Data'!B19</x:f>
        <x:v>144.2</x:v>
      </x:c>
      <x:c r="B25" s="85" t="n">
        <x:f>'Data'!E19</x:f>
        <x:v>61</x:v>
      </x:c>
      <x:c r="C25" s="47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</x:row>
    <x:row r="26">
      <x:c r="A26" s="85" t="n">
        <x:f>'Data'!B20</x:f>
        <x:v>60.5</x:v>
      </x:c>
      <x:c r="B26" s="85" t="n">
        <x:f>'Data'!E20</x:f>
        <x:v>40.6</x:v>
      </x:c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</x:row>
    <x:row r="27">
      <x:c r="A27" s="85" t="n">
        <x:f>'Data'!B21</x:f>
        <x:v>138.4</x:v>
      </x:c>
      <x:c r="B27" s="85" t="n">
        <x:f>'Data'!E21</x:f>
        <x:v>58.9</x:v>
      </x:c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</x:row>
    <x:row r="28">
      <x:c r="A28" s="85" t="n">
        <x:f>'Data'!B22</x:f>
        <x:v>158.3</x:v>
      </x:c>
      <x:c r="B28" s="85" t="n">
        <x:f>'Data'!E22</x:f>
        <x:v>56.8</x:v>
      </x:c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</x:row>
    <x:row r="29">
      <x:c r="A29" s="85" t="n">
        <x:f>'Data'!B23</x:f>
        <x:v>144.5</x:v>
      </x:c>
      <x:c r="B29" s="85" t="n">
        <x:f>'Data'!E23</x:f>
        <x:v>54.5</x:v>
      </x:c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</x:row>
    <x:row r="30">
      <x:c r="A30" s="85" t="n">
        <x:f>'Data'!B24</x:f>
        <x:v>113.2</x:v>
      </x:c>
      <x:c r="B30" s="85" t="n">
        <x:f>'Data'!E24</x:f>
        <x:v>51.1</x:v>
      </x:c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</x:row>
    <x:row r="31">
      <x:c r="A31" s="85" t="n">
        <x:f>'Data'!B25</x:f>
        <x:v>116</x:v>
      </x:c>
      <x:c r="B31" s="85" t="n">
        <x:f>'Data'!E25</x:f>
        <x:v>52.1</x:v>
      </x:c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</x:row>
    <x:row r="32">
      <x:c r="A32" s="85" t="n">
        <x:f>'Data'!B26</x:f>
        <x:v>137.9</x:v>
      </x:c>
      <x:c r="B32" s="85" t="n">
        <x:f>'Data'!E26</x:f>
        <x:v>54.8</x:v>
      </x:c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</x:row>
    <x:row r="33">
      <x:c r="A33" s="85" t="n">
        <x:f>'Data'!B27</x:f>
        <x:v>90.7</x:v>
      </x:c>
      <x:c r="B33" s="85" t="n">
        <x:f>'Data'!E27</x:f>
        <x:v>47.3</x:v>
      </x:c>
      <x:c r="C33" s="47"/>
      <x:c r="D33" s="47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</x:row>
    <x:row r="34">
      <x:c r="A34" s="85" t="n">
        <x:f>'Data'!B28</x:f>
        <x:v>125.5</x:v>
      </x:c>
      <x:c r="B34" s="85" t="n">
        <x:f>'Data'!E28</x:f>
        <x:v>48.2</x:v>
      </x:c>
      <x:c r="C34" s="47"/>
      <x:c r="D34" s="47"/>
      <x:c r="E34" s="47"/>
      <x:c r="F34" s="47"/>
      <x:c r="G34" s="47"/>
      <x:c r="H34" s="47"/>
      <x:c r="I34" s="47"/>
      <x:c r="J34" s="47"/>
      <x:c r="K34" s="47"/>
      <x:c r="L34" s="47"/>
      <x:c r="M34" s="47"/>
      <x:c r="N34" s="47"/>
    </x:row>
    <x:row r="35">
      <x:c r="A35" s="85" t="n">
        <x:f>'Data'!B29</x:f>
        <x:v>112.1</x:v>
      </x:c>
      <x:c r="B35" s="85" t="n">
        <x:f>'Data'!E29</x:f>
        <x:v>52.3</x:v>
      </x:c>
      <x:c r="C35" s="47"/>
      <x:c r="D35" s="47"/>
      <x:c r="E35" s="47"/>
      <x:c r="F35" s="47"/>
      <x:c r="G35" s="47"/>
      <x:c r="H35" s="47"/>
      <x:c r="I35" s="47"/>
      <x:c r="J35" s="47"/>
      <x:c r="K35" s="47"/>
      <x:c r="L35" s="47"/>
      <x:c r="M35" s="47"/>
      <x:c r="N35" s="47"/>
    </x:row>
    <x:row r="36">
      <x:c r="A36" s="85" t="n">
        <x:f>'Data'!B30</x:f>
        <x:v>105</x:v>
      </x:c>
      <x:c r="B36" s="85" t="n">
        <x:f>'Data'!E30</x:f>
        <x:v>51.6</x:v>
      </x:c>
      <x:c r="C36" s="47"/>
      <x:c r="D36" s="47"/>
      <x:c r="E36" s="47"/>
      <x:c r="F36" s="47"/>
      <x:c r="G36" s="47"/>
      <x:c r="H36" s="47"/>
      <x:c r="I36" s="47"/>
      <x:c r="J36" s="47"/>
      <x:c r="K36" s="47"/>
      <x:c r="L36" s="47"/>
      <x:c r="M36" s="47"/>
      <x:c r="N36" s="47"/>
    </x:row>
    <x:row r="37">
      <x:c r="A37" s="85" t="n">
        <x:f>'Data'!B31</x:f>
        <x:v>132.2</x:v>
      </x:c>
      <x:c r="B37" s="85" t="n">
        <x:f>'Data'!E31</x:f>
        <x:v>49</x:v>
      </x:c>
      <x:c r="C37" s="47"/>
      <x:c r="D37" s="47"/>
      <x:c r="E37" s="47"/>
      <x:c r="F37" s="47"/>
      <x:c r="G37" s="47"/>
      <x:c r="H37" s="47"/>
      <x:c r="I37" s="47"/>
      <x:c r="J37" s="47"/>
      <x:c r="K37" s="47"/>
      <x:c r="L37" s="47"/>
      <x:c r="M37" s="47"/>
      <x:c r="N37" s="47"/>
    </x:row>
    <x:row r="38">
      <x:c r="A38" s="85" t="n">
        <x:f>'Data'!B32</x:f>
        <x:v>140.1</x:v>
      </x:c>
      <x:c r="B38" s="85" t="n">
        <x:f>'Data'!E32</x:f>
        <x:v>56.5</x:v>
      </x:c>
      <x:c r="C38" s="47"/>
      <x:c r="D38" s="47"/>
      <x:c r="E38" s="47"/>
      <x:c r="F38" s="47"/>
      <x:c r="G38" s="47"/>
      <x:c r="H38" s="47"/>
      <x:c r="I38" s="47"/>
      <x:c r="J38" s="47"/>
      <x:c r="K38" s="47"/>
      <x:c r="L38" s="47"/>
      <x:c r="M38" s="47"/>
      <x:c r="N38" s="47"/>
    </x:row>
    <x:row r="39">
      <x:c r="A39" s="85" t="n">
        <x:f>'Data'!B33</x:f>
        <x:v>134.7</x:v>
      </x:c>
      <x:c r="B39" s="85" t="n">
        <x:f>'Data'!E33</x:f>
        <x:v>56.6</x:v>
      </x:c>
      <x:c r="C39" s="47"/>
      <x:c r="D39" s="47"/>
      <x:c r="E39" s="47"/>
      <x:c r="F39" s="47"/>
      <x:c r="G39" s="47"/>
      <x:c r="H39" s="47"/>
      <x:c r="I39" s="47"/>
      <x:c r="J39" s="47"/>
      <x:c r="K39" s="47"/>
      <x:c r="L39" s="47"/>
      <x:c r="M39" s="47"/>
      <x:c r="N39" s="47"/>
    </x:row>
    <x:row r="40">
      <x:c r="A40" s="85" t="n">
        <x:f>'Data'!B34</x:f>
        <x:v>171.1</x:v>
      </x:c>
      <x:c r="B40" s="85" t="n">
        <x:f>'Data'!E34</x:f>
        <x:v>62.5</x:v>
      </x:c>
      <x:c r="C40" s="47"/>
      <x:c r="D40" s="47"/>
      <x:c r="E40" s="47"/>
      <x:c r="F40" s="47"/>
      <x:c r="G40" s="47"/>
      <x:c r="H40" s="47"/>
      <x:c r="I40" s="47"/>
      <x:c r="J40" s="47"/>
      <x:c r="K40" s="47"/>
      <x:c r="L40" s="47"/>
      <x:c r="M40" s="47"/>
      <x:c r="N40" s="47"/>
    </x:row>
    <x:row r="41">
      <x:c r="A41" s="85" t="n">
        <x:f>'Data'!B35</x:f>
        <x:v>108.1</x:v>
      </x:c>
      <x:c r="B41" s="85" t="n">
        <x:f>'Data'!E35</x:f>
        <x:v>47.9</x:v>
      </x:c>
      <x:c r="C41" s="47"/>
      <x:c r="D41" s="47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</x:row>
    <x:row r="42">
      <x:c r="A42" s="85" t="n">
        <x:f>'Data'!B36</x:f>
        <x:v>137.1</x:v>
      </x:c>
      <x:c r="B42" s="85" t="n">
        <x:f>'Data'!E36</x:f>
        <x:v>49.3</x:v>
      </x:c>
      <x:c r="C42" s="47"/>
      <x:c r="D42" s="47"/>
      <x:c r="E42" s="47"/>
      <x:c r="F42" s="47"/>
      <x:c r="G42" s="47"/>
      <x:c r="H42" s="47"/>
      <x:c r="I42" s="47"/>
      <x:c r="J42" s="47"/>
      <x:c r="K42" s="47"/>
      <x:c r="L42" s="47"/>
      <x:c r="M42" s="47"/>
      <x:c r="N42" s="47"/>
    </x:row>
    <x:row r="43">
      <x:c r="A43" s="85" t="n">
        <x:f>'Data'!B37</x:f>
        <x:v>135.6</x:v>
      </x:c>
      <x:c r="B43" s="85" t="n">
        <x:f>'Data'!E37</x:f>
        <x:v>51.8</x:v>
      </x:c>
      <x:c r="C43" s="47"/>
      <x:c r="D43" s="47"/>
      <x:c r="E43" s="47"/>
      <x:c r="F43" s="47"/>
      <x:c r="G43" s="47"/>
      <x:c r="H43" s="47"/>
      <x:c r="I43" s="47"/>
      <x:c r="J43" s="47"/>
      <x:c r="K43" s="47"/>
      <x:c r="L43" s="47"/>
      <x:c r="M43" s="47"/>
      <x:c r="N43" s="47"/>
    </x:row>
    <x:row r="44">
      <x:c r="A44" s="85" t="n">
        <x:f>'Data'!B38</x:f>
        <x:v>94</x:v>
      </x:c>
      <x:c r="B44" s="85" t="n">
        <x:f>'Data'!E38</x:f>
        <x:v>50.3</x:v>
      </x:c>
      <x:c r="C44" s="47"/>
      <x:c r="D44" s="47"/>
      <x:c r="E44" s="47"/>
      <x:c r="F44" s="47"/>
      <x:c r="G44" s="47"/>
      <x:c r="H44" s="47"/>
      <x:c r="I44" s="47"/>
      <x:c r="J44" s="47"/>
      <x:c r="K44" s="47"/>
      <x:c r="L44" s="47"/>
      <x:c r="M44" s="47"/>
      <x:c r="N44" s="47"/>
    </x:row>
    <x:row r="45">
      <x:c r="A45" s="85" t="n">
        <x:f>'Data'!B39</x:f>
        <x:v>130</x:v>
      </x:c>
      <x:c r="B45" s="85" t="n">
        <x:f>'Data'!E39</x:f>
        <x:v>52.1</x:v>
      </x:c>
      <x:c r="C45" s="47"/>
      <x:c r="D45" s="47"/>
      <x:c r="E45" s="47"/>
      <x:c r="F45" s="47"/>
      <x:c r="G45" s="47"/>
      <x:c r="H45" s="47"/>
      <x:c r="I45" s="47"/>
      <x:c r="J45" s="47"/>
      <x:c r="K45" s="47"/>
      <x:c r="L45" s="47"/>
      <x:c r="M45" s="47"/>
      <x:c r="N45" s="47"/>
    </x:row>
    <x:row r="46">
      <x:c r="A46" s="85" t="n">
        <x:f>'Data'!B40</x:f>
        <x:v>161.5</x:v>
      </x:c>
      <x:c r="B46" s="85" t="n">
        <x:f>'Data'!E40</x:f>
        <x:v>50.2</x:v>
      </x:c>
      <x:c r="C46" s="47"/>
      <x:c r="D46" s="47"/>
      <x:c r="E46" s="47"/>
      <x:c r="F46" s="47"/>
      <x:c r="G46" s="47"/>
      <x:c r="H46" s="47"/>
      <x:c r="I46" s="47"/>
      <x:c r="J46" s="47"/>
      <x:c r="K46" s="47"/>
      <x:c r="L46" s="47"/>
      <x:c r="M46" s="47"/>
      <x:c r="N46" s="47"/>
    </x:row>
    <x:row r="47">
      <x:c r="A47" s="85" t="n">
        <x:f>'Data'!B41</x:f>
        <x:v>88.2</x:v>
      </x:c>
      <x:c r="B47" s="85" t="n">
        <x:f>'Data'!E41</x:f>
        <x:v>50.3</x:v>
      </x:c>
      <x:c r="C47" s="47"/>
      <x:c r="D47" s="47"/>
      <x:c r="E47" s="47"/>
      <x:c r="F47" s="47"/>
      <x:c r="G47" s="47"/>
      <x:c r="H47" s="47"/>
      <x:c r="I47" s="47"/>
      <x:c r="J47" s="47"/>
      <x:c r="K47" s="47"/>
      <x:c r="L47" s="47"/>
      <x:c r="M47" s="47"/>
      <x:c r="N47" s="47"/>
    </x:row>
    <x:row r="48">
      <x:c r="A48" s="85" t="n">
        <x:f>'Data'!B42</x:f>
        <x:v>132.8</x:v>
      </x:c>
      <x:c r="B48" s="85" t="n">
        <x:f>'Data'!E42</x:f>
        <x:v>51.8</x:v>
      </x:c>
      <x:c r="C48" s="47"/>
      <x:c r="D48" s="47"/>
      <x:c r="E48" s="47"/>
      <x:c r="F48" s="47"/>
      <x:c r="G48" s="47"/>
      <x:c r="H48" s="47"/>
      <x:c r="I48" s="47"/>
      <x:c r="J48" s="47"/>
      <x:c r="K48" s="47"/>
      <x:c r="L48" s="47"/>
      <x:c r="M48" s="47"/>
      <x:c r="N48" s="47"/>
    </x:row>
    <x:row r="49">
      <x:c r="A49" s="85" t="n">
        <x:f>'Data'!B43</x:f>
        <x:v>129.9</x:v>
      </x:c>
      <x:c r="B49" s="85" t="n">
        <x:f>'Data'!E43</x:f>
        <x:v>58</x:v>
      </x:c>
      <x:c r="C49" s="47"/>
      <x:c r="D49" s="47"/>
      <x:c r="E49" s="47"/>
      <x:c r="F49" s="47"/>
      <x:c r="G49" s="47"/>
      <x:c r="H49" s="47"/>
      <x:c r="I49" s="47"/>
      <x:c r="J49" s="47"/>
      <x:c r="K49" s="47"/>
      <x:c r="L49" s="47"/>
      <x:c r="M49" s="47"/>
      <x:c r="N49" s="47"/>
    </x:row>
    <x:row r="50">
      <x:c r="A50" s="85" t="n">
        <x:f>'Data'!B44</x:f>
        <x:v>115.3</x:v>
      </x:c>
      <x:c r="B50" s="85" t="n">
        <x:f>'Data'!E44</x:f>
        <x:v>51.9</x:v>
      </x:c>
      <x:c r="C50" s="47"/>
      <x:c r="D50" s="47"/>
      <x:c r="E50" s="47"/>
      <x:c r="F50" s="47"/>
      <x:c r="G50" s="47"/>
      <x:c r="H50" s="47"/>
      <x:c r="I50" s="47"/>
      <x:c r="J50" s="47"/>
      <x:c r="K50" s="47"/>
      <x:c r="L50" s="47"/>
      <x:c r="M50" s="47"/>
      <x:c r="N50" s="47"/>
    </x:row>
    <x:row r="51">
      <x:c r="A51" s="85" t="n">
        <x:f>'Data'!B45</x:f>
        <x:v>128.3</x:v>
      </x:c>
      <x:c r="B51" s="85" t="n">
        <x:f>'Data'!E45</x:f>
        <x:v>55.3</x:v>
      </x:c>
      <x:c r="C51" s="47"/>
      <x:c r="D51" s="47"/>
      <x:c r="E51" s="47"/>
      <x:c r="F51" s="47"/>
      <x:c r="G51" s="47"/>
      <x:c r="H51" s="47"/>
      <x:c r="I51" s="47"/>
      <x:c r="J51" s="47"/>
      <x:c r="K51" s="47"/>
      <x:c r="L51" s="47"/>
      <x:c r="M51" s="47"/>
      <x:c r="N51" s="47"/>
    </x:row>
    <x:row r="52">
      <x:c r="A52" s="85" t="n">
        <x:f>'Data'!B46</x:f>
        <x:v>141.8</x:v>
      </x:c>
      <x:c r="B52" s="85" t="n">
        <x:f>'Data'!E46</x:f>
        <x:v>62.8</x:v>
      </x:c>
      <x:c r="C52" s="47"/>
      <x:c r="D52" s="47"/>
      <x:c r="E52" s="47"/>
      <x:c r="F52" s="47"/>
      <x:c r="G52" s="47"/>
      <x:c r="H52" s="47"/>
      <x:c r="I52" s="47"/>
      <x:c r="J52" s="47"/>
      <x:c r="K52" s="47"/>
      <x:c r="L52" s="47"/>
      <x:c r="M52" s="47"/>
      <x:c r="N52" s="47"/>
    </x:row>
    <x:row r="53">
      <x:c r="A53" s="85" t="n">
        <x:f>'Data'!B47</x:f>
        <x:v>109.1</x:v>
      </x:c>
      <x:c r="B53" s="85" t="n">
        <x:f>'Data'!E47</x:f>
        <x:v>45.3</x:v>
      </x:c>
      <x:c r="C53" s="47"/>
      <x:c r="D53" s="47"/>
      <x:c r="E53" s="47"/>
      <x:c r="F53" s="47"/>
      <x:c r="G53" s="47"/>
      <x:c r="H53" s="47"/>
      <x:c r="I53" s="47"/>
      <x:c r="J53" s="47"/>
      <x:c r="K53" s="47"/>
      <x:c r="L53" s="47"/>
      <x:c r="M53" s="47"/>
      <x:c r="N53" s="47"/>
    </x:row>
    <x:row r="54">
      <x:c r="A54" s="85" t="n">
        <x:f>'Data'!B48</x:f>
        <x:v>63.4</x:v>
      </x:c>
      <x:c r="B54" s="85" t="n">
        <x:f>'Data'!E48</x:f>
        <x:v>39.7</x:v>
      </x:c>
      <x:c r="C54" s="47"/>
      <x:c r="D54" s="47"/>
      <x:c r="E54" s="47"/>
      <x:c r="F54" s="47"/>
      <x:c r="G54" s="47"/>
      <x:c r="H54" s="47"/>
      <x:c r="I54" s="47"/>
      <x:c r="J54" s="47"/>
      <x:c r="K54" s="47"/>
      <x:c r="L54" s="47"/>
      <x:c r="M54" s="47"/>
      <x:c r="N54" s="47"/>
    </x:row>
    <x:row r="55">
      <x:c r="A55" s="85" t="n">
        <x:f>'Data'!B49</x:f>
        <x:v>125.9</x:v>
      </x:c>
      <x:c r="B55" s="85" t="n">
        <x:f>'Data'!E49</x:f>
        <x:v>55.6</x:v>
      </x:c>
      <x:c r="C55" s="47"/>
      <x:c r="D55" s="47"/>
      <x:c r="E55" s="47"/>
      <x:c r="F55" s="47"/>
      <x:c r="G55" s="47"/>
      <x:c r="H55" s="47"/>
      <x:c r="I55" s="47"/>
      <x:c r="J55" s="47"/>
      <x:c r="K55" s="47"/>
      <x:c r="L55" s="47"/>
      <x:c r="M55" s="47"/>
      <x:c r="N55" s="47"/>
    </x:row>
    <x:row r="56">
      <x:c r="A56" s="85" t="n">
        <x:f>'Data'!B50</x:f>
        <x:v>104.1</x:v>
      </x:c>
      <x:c r="B56" s="85" t="n">
        <x:f>'Data'!E50</x:f>
        <x:v>44.9</x:v>
      </x:c>
      <x:c r="C56" s="47"/>
      <x:c r="D56" s="47"/>
      <x:c r="E56" s="47"/>
      <x:c r="F56" s="47"/>
      <x:c r="G56" s="47"/>
      <x:c r="H56" s="47"/>
      <x:c r="I56" s="47"/>
      <x:c r="J56" s="47"/>
      <x:c r="K56" s="47"/>
      <x:c r="L56" s="47"/>
      <x:c r="M56" s="47"/>
      <x:c r="N56" s="47"/>
    </x:row>
    <x:row r="57">
      <x:c r="A57" s="85" t="n">
        <x:f>'Data'!B51</x:f>
        <x:v>139.3</x:v>
      </x:c>
      <x:c r="B57" s="85" t="n">
        <x:f>'Data'!E51</x:f>
        <x:v>53.4</x:v>
      </x:c>
      <x:c r="C57" s="47"/>
      <x:c r="D57" s="47"/>
      <x:c r="E57" s="47"/>
      <x:c r="F57" s="47"/>
      <x:c r="G57" s="47"/>
      <x:c r="H57" s="47"/>
      <x:c r="I57" s="47"/>
      <x:c r="J57" s="47"/>
      <x:c r="K57" s="47"/>
      <x:c r="L57" s="47"/>
      <x:c r="M57" s="47"/>
      <x:c r="N57" s="47"/>
    </x:row>
    <x:row r="58">
      <x:c r="A58" s="85" t="n">
        <x:f>'Data'!B52</x:f>
        <x:v>139.1</x:v>
      </x:c>
      <x:c r="B58" s="85" t="n">
        <x:f>'Data'!E52</x:f>
        <x:v>57.2</x:v>
      </x:c>
      <x:c r="C58" s="47"/>
      <x:c r="D58" s="47"/>
      <x:c r="E58" s="47"/>
      <x:c r="F58" s="47"/>
      <x:c r="G58" s="47"/>
      <x:c r="H58" s="47"/>
      <x:c r="I58" s="47"/>
      <x:c r="J58" s="47"/>
      <x:c r="K58" s="47"/>
      <x:c r="L58" s="47"/>
      <x:c r="M58" s="47"/>
      <x:c r="N58" s="47"/>
    </x:row>
    <x:row r="59">
      <x:c r="A59" s="85" t="n">
        <x:f>'Data'!B53</x:f>
        <x:v>145.2</x:v>
      </x:c>
      <x:c r="B59" s="85" t="n">
        <x:f>'Data'!E53</x:f>
        <x:v>59.5</x:v>
      </x:c>
      <x:c r="C59" s="47"/>
      <x:c r="D59" s="47"/>
      <x:c r="E59" s="47"/>
      <x:c r="F59" s="47"/>
      <x:c r="G59" s="47"/>
      <x:c r="H59" s="47"/>
      <x:c r="I59" s="47"/>
      <x:c r="J59" s="47"/>
      <x:c r="K59" s="47"/>
      <x:c r="L59" s="47"/>
      <x:c r="M59" s="47"/>
      <x:c r="N59" s="47"/>
    </x:row>
    <x:row r="60">
      <x:c r="A60" s="85" t="n">
        <x:f>'Data'!B54</x:f>
        <x:v>133.8</x:v>
      </x:c>
      <x:c r="B60" s="85" t="n">
        <x:f>'Data'!E54</x:f>
        <x:v>51.8</x:v>
      </x:c>
      <x:c r="C60" s="47"/>
      <x:c r="D60" s="47"/>
      <x:c r="E60" s="47"/>
      <x:c r="F60" s="47"/>
      <x:c r="G60" s="47"/>
      <x:c r="H60" s="47"/>
      <x:c r="I60" s="47"/>
      <x:c r="J60" s="47"/>
      <x:c r="K60" s="47"/>
      <x:c r="L60" s="47"/>
      <x:c r="M60" s="47"/>
      <x:c r="N60" s="47"/>
    </x:row>
    <x:row r="61">
      <x:c r="A61" s="85" t="n">
        <x:f>'Data'!B55</x:f>
        <x:v>109.5</x:v>
      </x:c>
      <x:c r="B61" s="85" t="n">
        <x:f>'Data'!E55</x:f>
        <x:v>50</x:v>
      </x:c>
      <x:c r="C61" s="47"/>
      <x:c r="D61" s="47"/>
      <x:c r="E61" s="47"/>
      <x:c r="F61" s="47"/>
      <x:c r="G61" s="47"/>
      <x:c r="H61" s="47"/>
      <x:c r="I61" s="47"/>
      <x:c r="J61" s="47"/>
      <x:c r="K61" s="47"/>
      <x:c r="L61" s="47"/>
      <x:c r="M61" s="47"/>
      <x:c r="N61" s="47"/>
    </x:row>
    <x:row r="62">
      <x:c r="A62" s="85" t="n">
        <x:f>'Data'!B56</x:f>
        <x:v>105.2</x:v>
      </x:c>
      <x:c r="B62" s="85" t="n">
        <x:f>'Data'!E56</x:f>
        <x:v>52</x:v>
      </x:c>
      <x:c r="C62" s="47"/>
      <x:c r="D62" s="47"/>
      <x:c r="E62" s="47"/>
      <x:c r="F62" s="47"/>
      <x:c r="G62" s="47"/>
      <x:c r="H62" s="47"/>
      <x:c r="I62" s="47"/>
      <x:c r="J62" s="47"/>
      <x:c r="K62" s="47"/>
      <x:c r="L62" s="47"/>
      <x:c r="M62" s="47"/>
      <x:c r="N62" s="47"/>
    </x:row>
    <x:row r="63">
      <x:c r="A63" s="85" t="n">
        <x:f>'Data'!B57</x:f>
        <x:v>123</x:v>
      </x:c>
      <x:c r="B63" s="85" t="n">
        <x:f>'Data'!E57</x:f>
        <x:v>49.3</x:v>
      </x:c>
      <x:c r="C63" s="47"/>
      <x:c r="D63" s="47"/>
      <x:c r="E63" s="47"/>
      <x:c r="F63" s="47"/>
      <x:c r="G63" s="47"/>
      <x:c r="H63" s="47"/>
      <x:c r="I63" s="47"/>
      <x:c r="J63" s="47"/>
      <x:c r="K63" s="47"/>
      <x:c r="L63" s="47"/>
      <x:c r="M63" s="47"/>
      <x:c r="N63" s="47"/>
    </x:row>
    <x:row r="64">
      <x:c r="A64" s="85" t="n">
        <x:f>'Data'!B58</x:f>
        <x:v>116.3</x:v>
      </x:c>
      <x:c r="B64" s="85" t="n">
        <x:f>'Data'!E58</x:f>
        <x:v>51.6</x:v>
      </x:c>
      <x:c r="C64" s="47"/>
      <x:c r="D64" s="47"/>
      <x:c r="E64" s="47"/>
      <x:c r="F64" s="47"/>
      <x:c r="G64" s="47"/>
      <x:c r="H64" s="47"/>
      <x:c r="I64" s="47"/>
      <x:c r="J64" s="47"/>
      <x:c r="K64" s="47"/>
      <x:c r="L64" s="47"/>
      <x:c r="M64" s="47"/>
      <x:c r="N64" s="47"/>
    </x:row>
    <x:row r="65">
      <x:c r="A65" s="85" t="n">
        <x:f>'Data'!B59</x:f>
        <x:v>143.4</x:v>
      </x:c>
      <x:c r="B65" s="85" t="n">
        <x:f>'Data'!E59</x:f>
        <x:v>51.5</x:v>
      </x:c>
      <x:c r="C65" s="47"/>
      <x:c r="D65" s="47"/>
      <x:c r="E65" s="47"/>
      <x:c r="F65" s="47"/>
      <x:c r="G65" s="47"/>
      <x:c r="H65" s="47"/>
      <x:c r="I65" s="47"/>
      <x:c r="J65" s="47"/>
      <x:c r="K65" s="47"/>
      <x:c r="L65" s="47"/>
      <x:c r="M65" s="47"/>
      <x:c r="N65" s="47"/>
    </x:row>
    <x:row r="66">
      <x:c r="A66" s="85" t="n">
        <x:f>'Data'!B60</x:f>
        <x:v>142.4</x:v>
      </x:c>
      <x:c r="B66" s="85" t="n">
        <x:f>'Data'!E60</x:f>
        <x:v>58.4</x:v>
      </x:c>
      <x:c r="C66" s="47"/>
      <x:c r="D66" s="47"/>
      <x:c r="E66" s="47"/>
      <x:c r="F66" s="47"/>
      <x:c r="G66" s="47"/>
      <x:c r="H66" s="47"/>
      <x:c r="I66" s="47"/>
      <x:c r="J66" s="47"/>
      <x:c r="K66" s="47"/>
      <x:c r="L66" s="47"/>
      <x:c r="M66" s="47"/>
      <x:c r="N66" s="47"/>
    </x:row>
    <x:row r="67">
      <x:c r="A67" s="85" t="n">
        <x:f>'Data'!B61</x:f>
        <x:v>119.5</x:v>
      </x:c>
      <x:c r="B67" s="85" t="n">
        <x:f>'Data'!E61</x:f>
        <x:v>56.5</x:v>
      </x:c>
      <x:c r="C67" s="47"/>
      <x:c r="D67" s="47"/>
      <x:c r="E67" s="47"/>
      <x:c r="F67" s="47"/>
      <x:c r="G67" s="47"/>
      <x:c r="H67" s="47"/>
      <x:c r="I67" s="47"/>
      <x:c r="J67" s="47"/>
      <x:c r="K67" s="47"/>
      <x:c r="L67" s="47"/>
      <x:c r="M67" s="47"/>
      <x:c r="N67" s="47"/>
    </x:row>
    <x:row r="68">
      <x:c r="A68" s="85" t="n">
        <x:f>'Data'!B62</x:f>
        <x:v>128.1</x:v>
      </x:c>
      <x:c r="B68" s="85" t="n">
        <x:f>'Data'!E62</x:f>
        <x:v>51.6</x:v>
      </x:c>
      <x:c r="C68" s="47"/>
      <x:c r="D68" s="47"/>
      <x:c r="E68" s="47"/>
      <x:c r="F68" s="47"/>
      <x:c r="G68" s="47"/>
      <x:c r="H68" s="47"/>
      <x:c r="I68" s="47"/>
      <x:c r="J68" s="47"/>
      <x:c r="K68" s="47"/>
      <x:c r="L68" s="47"/>
      <x:c r="M68" s="47"/>
      <x:c r="N68" s="47"/>
    </x:row>
    <x:row r="69">
      <x:c r="A69" s="85" t="n">
        <x:f>'Data'!B63</x:f>
        <x:v>124.3</x:v>
      </x:c>
      <x:c r="B69" s="85" t="n">
        <x:f>'Data'!E63</x:f>
        <x:v>58.1</x:v>
      </x:c>
      <x:c r="C69" s="47"/>
      <x:c r="D69" s="47"/>
      <x:c r="E69" s="47"/>
      <x:c r="F69" s="47"/>
      <x:c r="G69" s="47"/>
      <x:c r="H69" s="47"/>
      <x:c r="I69" s="47"/>
      <x:c r="J69" s="47"/>
      <x:c r="K69" s="47"/>
      <x:c r="L69" s="47"/>
      <x:c r="M69" s="47"/>
      <x:c r="N69" s="47"/>
    </x:row>
    <x:row r="70">
      <x:c r="A70" s="85" t="n">
        <x:f>'Data'!B64</x:f>
        <x:v>141.1</x:v>
      </x:c>
      <x:c r="B70" s="85" t="n">
        <x:f>'Data'!E64</x:f>
        <x:v>53.3</x:v>
      </x:c>
      <x:c r="C70" s="47"/>
      <x:c r="D70" s="47"/>
      <x:c r="E70" s="47"/>
      <x:c r="F70" s="47"/>
      <x:c r="G70" s="47"/>
      <x:c r="H70" s="47"/>
      <x:c r="I70" s="47"/>
      <x:c r="J70" s="47"/>
      <x:c r="K70" s="47"/>
      <x:c r="L70" s="47"/>
      <x:c r="M70" s="47"/>
      <x:c r="N70" s="47"/>
    </x:row>
    <x:row r="71">
      <x:c r="A71" s="85" t="n">
        <x:f>'Data'!B65</x:f>
        <x:v>186</x:v>
      </x:c>
      <x:c r="B71" s="85" t="n">
        <x:f>'Data'!E65</x:f>
        <x:v>62.9</x:v>
      </x:c>
      <x:c r="C71" s="47"/>
      <x:c r="D71" s="47"/>
      <x:c r="E71" s="47"/>
      <x:c r="F71" s="47"/>
      <x:c r="G71" s="47"/>
      <x:c r="H71" s="47"/>
      <x:c r="I71" s="47"/>
      <x:c r="J71" s="47"/>
      <x:c r="K71" s="47"/>
      <x:c r="L71" s="47"/>
      <x:c r="M71" s="47"/>
      <x:c r="N71" s="47"/>
    </x:row>
    <x:row r="72">
      <x:c r="A72" s="85" t="n">
        <x:f>'Data'!B66</x:f>
        <x:v>94.3</x:v>
      </x:c>
      <x:c r="B72" s="85" t="n">
        <x:f>'Data'!E66</x:f>
        <x:v>47.2</x:v>
      </x:c>
      <x:c r="C72" s="47"/>
      <x:c r="D72" s="47"/>
      <x:c r="E72" s="47"/>
      <x:c r="F72" s="47"/>
      <x:c r="G72" s="47"/>
      <x:c r="H72" s="47"/>
      <x:c r="I72" s="47"/>
      <x:c r="J72" s="47"/>
      <x:c r="K72" s="47"/>
      <x:c r="L72" s="47"/>
      <x:c r="M72" s="47"/>
      <x:c r="N72" s="47"/>
    </x:row>
    <x:row r="73">
      <x:c r="A73" s="85" t="n">
        <x:f>'Data'!B67</x:f>
        <x:v>102.9</x:v>
      </x:c>
      <x:c r="B73" s="85" t="n">
        <x:f>'Data'!E67</x:f>
        <x:v>45.6</x:v>
      </x:c>
      <x:c r="C73" s="47"/>
      <x:c r="D73" s="47"/>
      <x:c r="E73" s="47"/>
      <x:c r="F73" s="47"/>
      <x:c r="G73" s="47"/>
      <x:c r="H73" s="47"/>
      <x:c r="I73" s="47"/>
      <x:c r="J73" s="47"/>
      <x:c r="K73" s="47"/>
      <x:c r="L73" s="47"/>
      <x:c r="M73" s="47"/>
      <x:c r="N73" s="47"/>
    </x:row>
    <x:row r="74">
      <x:c r="A74" s="85" t="n">
        <x:f>'Data'!B68</x:f>
        <x:v>186.9</x:v>
      </x:c>
      <x:c r="B74" s="85" t="n">
        <x:f>'Data'!E68</x:f>
        <x:v>59.2</x:v>
      </x:c>
      <x:c r="C74" s="47"/>
      <x:c r="D74" s="47"/>
      <x:c r="E74" s="47"/>
      <x:c r="F74" s="47"/>
      <x:c r="G74" s="47"/>
      <x:c r="H74" s="47"/>
      <x:c r="I74" s="47"/>
      <x:c r="J74" s="47"/>
      <x:c r="K74" s="47"/>
      <x:c r="L74" s="47"/>
      <x:c r="M74" s="47"/>
      <x:c r="N74" s="47"/>
    </x:row>
    <x:row r="75">
      <x:c r="A75" s="85" t="n">
        <x:f>'Data'!B69</x:f>
        <x:v>120.3</x:v>
      </x:c>
      <x:c r="B75" s="85" t="n">
        <x:f>'Data'!E69</x:f>
        <x:v>56.3</x:v>
      </x:c>
      <x:c r="C75" s="47"/>
      <x:c r="D75" s="47"/>
      <x:c r="E75" s="47"/>
      <x:c r="F75" s="47"/>
      <x:c r="G75" s="47"/>
      <x:c r="H75" s="47"/>
      <x:c r="I75" s="47"/>
      <x:c r="J75" s="47"/>
      <x:c r="K75" s="47"/>
      <x:c r="L75" s="47"/>
      <x:c r="M75" s="47"/>
      <x:c r="N75" s="47"/>
    </x:row>
    <x:row r="76">
      <x:c r="A76" s="85" t="n">
        <x:f>'Data'!B70</x:f>
        <x:v>128.8</x:v>
      </x:c>
      <x:c r="B76" s="85" t="n">
        <x:f>'Data'!E70</x:f>
        <x:v>51.5</x:v>
      </x:c>
      <x:c r="C76" s="47"/>
      <x:c r="D76" s="47"/>
      <x:c r="E76" s="47"/>
      <x:c r="F76" s="47"/>
      <x:c r="G76" s="47"/>
      <x:c r="H76" s="47"/>
      <x:c r="I76" s="47"/>
      <x:c r="J76" s="47"/>
      <x:c r="K76" s="47"/>
      <x:c r="L76" s="47"/>
      <x:c r="M76" s="47"/>
      <x:c r="N76" s="47"/>
    </x:row>
    <x:row r="77">
      <x:c r="A77" s="85" t="n">
        <x:f>'Data'!B71</x:f>
        <x:v>158.2</x:v>
      </x:c>
      <x:c r="B77" s="85" t="n">
        <x:f>'Data'!E71</x:f>
        <x:v>63.2</x:v>
      </x:c>
      <x:c r="C77" s="47"/>
      <x:c r="D77" s="47"/>
      <x:c r="E77" s="47"/>
      <x:c r="F77" s="47"/>
      <x:c r="G77" s="47"/>
      <x:c r="H77" s="47"/>
      <x:c r="I77" s="47"/>
      <x:c r="J77" s="47"/>
      <x:c r="K77" s="47"/>
      <x:c r="L77" s="47"/>
      <x:c r="M77" s="47"/>
      <x:c r="N77" s="47"/>
    </x:row>
    <x:row r="78">
      <x:c r="A78" s="85" t="n">
        <x:f>'Data'!B72</x:f>
        <x:v>114.6</x:v>
      </x:c>
      <x:c r="B78" s="85" t="n">
        <x:f>'Data'!E72</x:f>
        <x:v>51.3</x:v>
      </x:c>
      <x:c r="C78" s="47"/>
      <x:c r="D78" s="47"/>
      <x:c r="E78" s="47"/>
      <x:c r="F78" s="47"/>
      <x:c r="G78" s="47"/>
      <x:c r="H78" s="47"/>
      <x:c r="I78" s="47"/>
      <x:c r="J78" s="47"/>
      <x:c r="K78" s="47"/>
      <x:c r="L78" s="47"/>
      <x:c r="M78" s="47"/>
      <x:c r="N78" s="47"/>
    </x:row>
    <x:row r="79">
      <x:c r="A79" s="85" t="n">
        <x:f>'Data'!B73</x:f>
        <x:v>141</x:v>
      </x:c>
      <x:c r="B79" s="85" t="n">
        <x:f>'Data'!E73</x:f>
        <x:v>54.3</x:v>
      </x:c>
      <x:c r="C79" s="47"/>
      <x:c r="D79" s="47"/>
      <x:c r="E79" s="47"/>
      <x:c r="F79" s="47"/>
      <x:c r="G79" s="47"/>
      <x:c r="H79" s="47"/>
      <x:c r="I79" s="47"/>
      <x:c r="J79" s="47"/>
      <x:c r="K79" s="47"/>
      <x:c r="L79" s="47"/>
      <x:c r="M79" s="47"/>
      <x:c r="N79" s="47"/>
    </x:row>
    <x:row r="80">
      <x:c r="A80" s="85" t="n">
        <x:f>'Data'!B74</x:f>
        <x:v>110.8</x:v>
      </x:c>
      <x:c r="B80" s="85" t="n">
        <x:f>'Data'!E74</x:f>
        <x:v>50.9</x:v>
      </x:c>
      <x:c r="C80" s="47"/>
      <x:c r="D80" s="47"/>
      <x:c r="E80" s="47"/>
      <x:c r="F80" s="47"/>
      <x:c r="G80" s="47"/>
      <x:c r="H80" s="47"/>
      <x:c r="I80" s="47"/>
      <x:c r="J80" s="47"/>
      <x:c r="K80" s="47"/>
      <x:c r="L80" s="47"/>
      <x:c r="M80" s="47"/>
      <x:c r="N80" s="47"/>
    </x:row>
    <x:row r="81">
      <x:c r="A81" s="85" t="n">
        <x:f>'Data'!B75</x:f>
        <x:v>120.9</x:v>
      </x:c>
      <x:c r="B81" s="85" t="n">
        <x:f>'Data'!E75</x:f>
        <x:v>50.2</x:v>
      </x:c>
      <x:c r="C81" s="47"/>
      <x:c r="D81" s="47"/>
      <x:c r="E81" s="47"/>
      <x:c r="F81" s="47"/>
      <x:c r="G81" s="47"/>
      <x:c r="H81" s="47"/>
      <x:c r="I81" s="47"/>
      <x:c r="J81" s="47"/>
      <x:c r="K81" s="47"/>
      <x:c r="L81" s="47"/>
      <x:c r="M81" s="47"/>
      <x:c r="N81" s="47"/>
    </x:row>
    <x:row r="82">
      <x:c r="A82" s="85" t="n">
        <x:f>'Data'!B76</x:f>
        <x:v>97.6</x:v>
      </x:c>
      <x:c r="B82" s="85" t="n">
        <x:f>'Data'!E76</x:f>
        <x:v>48.4</x:v>
      </x:c>
      <x:c r="C82" s="47"/>
      <x:c r="D82" s="47"/>
      <x:c r="E82" s="47"/>
      <x:c r="F82" s="47"/>
      <x:c r="G82" s="47"/>
      <x:c r="H82" s="47"/>
      <x:c r="I82" s="47"/>
      <x:c r="J82" s="47"/>
      <x:c r="K82" s="47"/>
      <x:c r="L82" s="47"/>
      <x:c r="M82" s="47"/>
      <x:c r="N82" s="47"/>
    </x:row>
    <x:row r="83">
      <x:c r="A83" s="85" t="n">
        <x:f>'Data'!B77</x:f>
        <x:v>153.1</x:v>
      </x:c>
      <x:c r="B83" s="85" t="n">
        <x:f>'Data'!E77</x:f>
        <x:v>59.2</x:v>
      </x:c>
      <x:c r="C83" s="47"/>
      <x:c r="D83" s="47"/>
      <x:c r="E83" s="47"/>
      <x:c r="F83" s="47"/>
      <x:c r="G83" s="47"/>
      <x:c r="H83" s="47"/>
      <x:c r="I83" s="47"/>
      <x:c r="J83" s="47"/>
      <x:c r="K83" s="47"/>
      <x:c r="L83" s="47"/>
      <x:c r="M83" s="47"/>
      <x:c r="N83" s="47"/>
    </x:row>
    <x:row r="84">
      <x:c r="A84" s="85" t="n">
        <x:f>'Data'!B78</x:f>
        <x:v>126.5</x:v>
      </x:c>
      <x:c r="B84" s="85" t="n">
        <x:f>'Data'!E78</x:f>
        <x:v>52</x:v>
      </x:c>
      <x:c r="C84" s="47"/>
      <x:c r="D84" s="47"/>
      <x:c r="E84" s="47"/>
      <x:c r="F84" s="47"/>
      <x:c r="G84" s="47"/>
      <x:c r="H84" s="47"/>
      <x:c r="I84" s="47"/>
      <x:c r="J84" s="47"/>
      <x:c r="K84" s="47"/>
      <x:c r="L84" s="47"/>
      <x:c r="M84" s="47"/>
      <x:c r="N84" s="47"/>
    </x:row>
    <x:row r="85">
      <x:c r="A85" s="85" t="n">
        <x:f>'Data'!B79</x:f>
        <x:v>160.2</x:v>
      </x:c>
      <x:c r="B85" s="85" t="n">
        <x:f>'Data'!E79</x:f>
        <x:v>59</x:v>
      </x:c>
      <x:c r="C85" s="47"/>
      <x:c r="D85" s="47"/>
      <x:c r="E85" s="47"/>
      <x:c r="F85" s="47"/>
      <x:c r="G85" s="47"/>
      <x:c r="H85" s="47"/>
      <x:c r="I85" s="47"/>
      <x:c r="J85" s="47"/>
      <x:c r="K85" s="47"/>
      <x:c r="L85" s="47"/>
      <x:c r="M85" s="47"/>
      <x:c r="N85" s="47"/>
    </x:row>
    <x:row r="86">
      <x:c r="A86" s="85" t="n">
        <x:f>'Data'!B80</x:f>
        <x:v>179.1</x:v>
      </x:c>
      <x:c r="B86" s="85" t="n">
        <x:f>'Data'!E80</x:f>
        <x:v>63.2</x:v>
      </x:c>
      <x:c r="C86" s="47"/>
      <x:c r="D86" s="47"/>
      <x:c r="E86" s="47"/>
      <x:c r="F86" s="47"/>
      <x:c r="G86" s="47"/>
      <x:c r="H86" s="47"/>
      <x:c r="I86" s="47"/>
      <x:c r="J86" s="47"/>
      <x:c r="K86" s="47"/>
      <x:c r="L86" s="47"/>
      <x:c r="M86" s="47"/>
      <x:c r="N86" s="47"/>
    </x:row>
    <x:row r="87">
      <x:c r="A87" s="85" t="n">
        <x:f>'Data'!B81</x:f>
        <x:v>116.7</x:v>
      </x:c>
      <x:c r="B87" s="85" t="n">
        <x:f>'Data'!E81</x:f>
        <x:v>54.2</x:v>
      </x:c>
      <x:c r="C87" s="47"/>
      <x:c r="D87" s="47"/>
      <x:c r="E87" s="47"/>
      <x:c r="F87" s="47"/>
      <x:c r="G87" s="47"/>
      <x:c r="H87" s="47"/>
      <x:c r="I87" s="47"/>
      <x:c r="J87" s="47"/>
      <x:c r="K87" s="47"/>
      <x:c r="L87" s="47"/>
      <x:c r="M87" s="47"/>
      <x:c r="N87" s="47"/>
    </x:row>
    <x:row r="88">
      <x:c r="A88" s="85" t="n">
        <x:f>'Data'!B82</x:f>
        <x:v>132.2</x:v>
      </x:c>
      <x:c r="B88" s="85" t="n">
        <x:f>'Data'!E82</x:f>
        <x:v>59.3</x:v>
      </x:c>
      <x:c r="C88" s="47"/>
      <x:c r="D88" s="47"/>
      <x:c r="E88" s="47"/>
      <x:c r="F88" s="47"/>
      <x:c r="G88" s="47"/>
      <x:c r="H88" s="47"/>
      <x:c r="I88" s="47"/>
      <x:c r="J88" s="47"/>
      <x:c r="K88" s="47"/>
      <x:c r="L88" s="47"/>
      <x:c r="M88" s="47"/>
      <x:c r="N88" s="47"/>
    </x:row>
    <x:row r="89">
      <x:c r="A89" s="85" t="n">
        <x:f>'Data'!B83</x:f>
        <x:v>111</x:v>
      </x:c>
      <x:c r="B89" s="85" t="n">
        <x:f>'Data'!E83</x:f>
        <x:v>53.1</x:v>
      </x:c>
      <x:c r="C89" s="47"/>
      <x:c r="D89" s="47"/>
      <x:c r="E89" s="47"/>
      <x:c r="F89" s="47"/>
      <x:c r="G89" s="47"/>
      <x:c r="H89" s="47"/>
      <x:c r="I89" s="47"/>
      <x:c r="J89" s="47"/>
      <x:c r="K89" s="47"/>
      <x:c r="L89" s="47"/>
      <x:c r="M89" s="47"/>
      <x:c r="N89" s="47"/>
    </x:row>
    <x:row r="90">
      <x:c r="A90" s="85" t="n">
        <x:f>'Data'!B84</x:f>
        <x:v>116.3</x:v>
      </x:c>
      <x:c r="B90" s="85" t="n">
        <x:f>'Data'!E84</x:f>
        <x:v>49.6</x:v>
      </x:c>
      <x:c r="C90" s="47"/>
      <x:c r="D90" s="47"/>
      <x:c r="E90" s="47"/>
      <x:c r="F90" s="47"/>
      <x:c r="G90" s="47"/>
      <x:c r="H90" s="47"/>
      <x:c r="I90" s="47"/>
      <x:c r="J90" s="47"/>
      <x:c r="K90" s="47"/>
      <x:c r="L90" s="47"/>
      <x:c r="M90" s="47"/>
      <x:c r="N90" s="47"/>
    </x:row>
    <x:row r="91">
      <x:c r="A91" s="85" t="n">
        <x:f>'Data'!B85</x:f>
        <x:v>120.8</x:v>
      </x:c>
      <x:c r="B91" s="85" t="n">
        <x:f>'Data'!E85</x:f>
        <x:v>53.3</x:v>
      </x:c>
      <x:c r="C91" s="47"/>
      <x:c r="D91" s="47"/>
      <x:c r="E91" s="47"/>
      <x:c r="F91" s="47"/>
      <x:c r="G91" s="47"/>
      <x:c r="H91" s="47"/>
      <x:c r="I91" s="47"/>
      <x:c r="J91" s="47"/>
      <x:c r="K91" s="47"/>
      <x:c r="L91" s="47"/>
      <x:c r="M91" s="47"/>
      <x:c r="N91" s="47"/>
    </x:row>
    <x:row r="92">
      <x:c r="A92" s="85" t="n">
        <x:f>'Data'!B86</x:f>
        <x:v>126.1</x:v>
      </x:c>
      <x:c r="B92" s="85" t="n">
        <x:f>'Data'!E86</x:f>
        <x:v>58.4</x:v>
      </x:c>
      <x:c r="C92" s="47"/>
      <x:c r="D92" s="47"/>
      <x:c r="E92" s="47"/>
      <x:c r="F92" s="47"/>
      <x:c r="G92" s="47"/>
      <x:c r="H92" s="47"/>
      <x:c r="I92" s="47"/>
      <x:c r="J92" s="47"/>
      <x:c r="K92" s="47"/>
      <x:c r="L92" s="47"/>
      <x:c r="M92" s="47"/>
      <x:c r="N92" s="47"/>
    </x:row>
    <x:row r="93">
      <x:c r="A93" s="85" t="n">
        <x:f>'Data'!B87</x:f>
        <x:v>141.8</x:v>
      </x:c>
      <x:c r="B93" s="85" t="n">
        <x:f>'Data'!E87</x:f>
        <x:v>57.4</x:v>
      </x:c>
      <x:c r="C93" s="47"/>
      <x:c r="D93" s="47"/>
      <x:c r="E93" s="47"/>
      <x:c r="F93" s="47"/>
      <x:c r="G93" s="47"/>
      <x:c r="H93" s="47"/>
      <x:c r="I93" s="47"/>
      <x:c r="J93" s="47"/>
      <x:c r="K93" s="47"/>
      <x:c r="L93" s="47"/>
      <x:c r="M93" s="47"/>
      <x:c r="N93" s="47"/>
    </x:row>
    <x:row r="94">
      <x:c r="A94" s="85" t="n">
        <x:f>'Data'!B88</x:f>
        <x:v>137.9</x:v>
      </x:c>
      <x:c r="B94" s="85" t="n">
        <x:f>'Data'!E88</x:f>
        <x:v>52.8</x:v>
      </x:c>
      <x:c r="C94" s="47"/>
      <x:c r="D94" s="47"/>
      <x:c r="E94" s="47"/>
      <x:c r="F94" s="47"/>
      <x:c r="G94" s="47"/>
      <x:c r="H94" s="47"/>
      <x:c r="I94" s="47"/>
      <x:c r="J94" s="47"/>
      <x:c r="K94" s="47"/>
      <x:c r="L94" s="47"/>
      <x:c r="M94" s="47"/>
      <x:c r="N94" s="47"/>
    </x:row>
    <x:row r="95">
      <x:c r="A95" s="85" t="n">
        <x:f>'Data'!B89</x:f>
        <x:v>105.8</x:v>
      </x:c>
      <x:c r="B95" s="85" t="n">
        <x:f>'Data'!E89</x:f>
        <x:v>46.6</x:v>
      </x:c>
      <x:c r="C95" s="47"/>
      <x:c r="D95" s="47"/>
      <x:c r="E95" s="47"/>
      <x:c r="F95" s="47"/>
      <x:c r="G95" s="47"/>
      <x:c r="H95" s="47"/>
      <x:c r="I95" s="47"/>
      <x:c r="J95" s="47"/>
      <x:c r="K95" s="47"/>
      <x:c r="L95" s="47"/>
      <x:c r="M95" s="47"/>
      <x:c r="N95" s="47"/>
    </x:row>
    <x:row r="96">
      <x:c r="A96" s="85" t="n">
        <x:f>'Data'!B90</x:f>
        <x:v>114.4</x:v>
      </x:c>
      <x:c r="B96" s="85" t="n">
        <x:f>'Data'!E90</x:f>
        <x:v>42.4</x:v>
      </x:c>
      <x:c r="C96" s="47"/>
      <x:c r="D96" s="47"/>
      <x:c r="E96" s="47"/>
      <x:c r="F96" s="47"/>
      <x:c r="G96" s="47"/>
      <x:c r="H96" s="47"/>
      <x:c r="I96" s="47"/>
      <x:c r="J96" s="47"/>
      <x:c r="K96" s="47"/>
      <x:c r="L96" s="47"/>
      <x:c r="M96" s="47"/>
      <x:c r="N96" s="47"/>
    </x:row>
    <x:row r="97">
      <x:c r="A97" s="85" t="n">
        <x:f>'Data'!B91</x:f>
        <x:v>115.2</x:v>
      </x:c>
      <x:c r="B97" s="85" t="n">
        <x:f>'Data'!E91</x:f>
        <x:v>51.3</x:v>
      </x:c>
      <x:c r="C97" s="47"/>
      <x:c r="D97" s="47"/>
      <x:c r="E97" s="47"/>
      <x:c r="F97" s="47"/>
      <x:c r="G97" s="47"/>
      <x:c r="H97" s="47"/>
      <x:c r="I97" s="47"/>
      <x:c r="J97" s="47"/>
      <x:c r="K97" s="47"/>
      <x:c r="L97" s="47"/>
      <x:c r="M97" s="47"/>
      <x:c r="N97" s="47"/>
    </x:row>
    <x:row r="98">
      <x:c r="A98" s="85" t="n">
        <x:f>'Data'!B92</x:f>
        <x:v>111.6</x:v>
      </x:c>
      <x:c r="B98" s="85" t="n">
        <x:f>'Data'!E92</x:f>
        <x:v>56.6</x:v>
      </x:c>
      <x:c r="C98" s="47"/>
      <x:c r="D98" s="47"/>
      <x:c r="E98" s="47"/>
      <x:c r="F98" s="47"/>
      <x:c r="G98" s="47"/>
      <x:c r="H98" s="47"/>
      <x:c r="I98" s="47"/>
      <x:c r="J98" s="47"/>
      <x:c r="K98" s="47"/>
      <x:c r="L98" s="47"/>
      <x:c r="M98" s="47"/>
      <x:c r="N98" s="47"/>
    </x:row>
    <x:row r="99">
      <x:c r="A99" s="85" t="n">
        <x:f>'Data'!B93</x:f>
        <x:v>98</x:v>
      </x:c>
      <x:c r="B99" s="85" t="n">
        <x:f>'Data'!E93</x:f>
        <x:v>42.2</x:v>
      </x:c>
      <x:c r="C99" s="47"/>
      <x:c r="D99" s="47"/>
      <x:c r="E99" s="47"/>
      <x:c r="F99" s="47"/>
      <x:c r="G99" s="47"/>
      <x:c r="H99" s="47"/>
      <x:c r="I99" s="47"/>
      <x:c r="J99" s="47"/>
      <x:c r="K99" s="47"/>
      <x:c r="L99" s="47"/>
      <x:c r="M99" s="47"/>
      <x:c r="N99" s="47"/>
    </x:row>
    <x:row r="100">
      <x:c r="A100" s="85" t="n">
        <x:f>'Data'!B94</x:f>
        <x:v>149.2</x:v>
      </x:c>
      <x:c r="B100" s="85" t="n">
        <x:f>'Data'!E94</x:f>
        <x:v>60</x:v>
      </x:c>
      <x:c r="C100" s="47"/>
      <x:c r="D100" s="47"/>
      <x:c r="E100" s="47"/>
      <x:c r="F100" s="47"/>
      <x:c r="G100" s="47"/>
      <x:c r="H100" s="47"/>
      <x:c r="I100" s="47"/>
      <x:c r="J100" s="47"/>
      <x:c r="K100" s="47"/>
      <x:c r="L100" s="47"/>
      <x:c r="M100" s="47"/>
      <x:c r="N100" s="47"/>
    </x:row>
    <x:row r="101">
      <x:c r="A101" s="85" t="n">
        <x:f>'Data'!B95</x:f>
        <x:v>107.4</x:v>
      </x:c>
      <x:c r="B101" s="85" t="n">
        <x:f>'Data'!E95</x:f>
        <x:v>54.6</x:v>
      </x:c>
      <x:c r="C101" s="47"/>
      <x:c r="D101" s="47"/>
      <x:c r="E101" s="47"/>
      <x:c r="F101" s="47"/>
      <x:c r="G101" s="47"/>
      <x:c r="H101" s="47"/>
      <x:c r="I101" s="47"/>
      <x:c r="J101" s="47"/>
      <x:c r="K101" s="47"/>
      <x:c r="L101" s="47"/>
      <x:c r="M101" s="47"/>
      <x:c r="N101" s="47"/>
    </x:row>
    <x:row r="102">
      <x:c r="A102" s="85" t="n">
        <x:f>'Data'!B96</x:f>
        <x:v>116.9</x:v>
      </x:c>
      <x:c r="B102" s="85" t="n">
        <x:f>'Data'!E96</x:f>
        <x:v>49.3</x:v>
      </x:c>
      <x:c r="C102" s="47"/>
      <x:c r="D102" s="47"/>
      <x:c r="E102" s="47"/>
      <x:c r="F102" s="47"/>
      <x:c r="G102" s="47"/>
      <x:c r="H102" s="47"/>
      <x:c r="I102" s="47"/>
      <x:c r="J102" s="47"/>
      <x:c r="K102" s="47"/>
      <x:c r="L102" s="47"/>
      <x:c r="M102" s="47"/>
      <x:c r="N102" s="47"/>
    </x:row>
    <x:row r="103">
      <x:c r="A103" s="85" t="n">
        <x:f>'Data'!B97</x:f>
        <x:v>146.6</x:v>
      </x:c>
      <x:c r="B103" s="85" t="n">
        <x:f>'Data'!E97</x:f>
        <x:v>66</x:v>
      </x:c>
      <x:c r="C103" s="47"/>
      <x:c r="D103" s="47"/>
      <x:c r="E103" s="47"/>
      <x:c r="F103" s="47"/>
      <x:c r="G103" s="47"/>
      <x:c r="H103" s="47"/>
      <x:c r="I103" s="47"/>
      <x:c r="J103" s="47"/>
      <x:c r="K103" s="47"/>
      <x:c r="L103" s="47"/>
      <x:c r="M103" s="47"/>
      <x:c r="N103" s="47"/>
    </x:row>
    <x:row r="104">
      <x:c r="A104" s="85" t="n">
        <x:f>'Data'!B98</x:f>
        <x:v>121.6</x:v>
      </x:c>
      <x:c r="B104" s="85" t="n">
        <x:f>'Data'!E98</x:f>
        <x:v>46.8</x:v>
      </x:c>
      <x:c r="C104" s="47"/>
      <x:c r="D104" s="47"/>
      <x:c r="E104" s="47"/>
      <x:c r="F104" s="47"/>
      <x:c r="G104" s="47"/>
      <x:c r="H104" s="47"/>
      <x:c r="I104" s="47"/>
      <x:c r="J104" s="47"/>
      <x:c r="K104" s="47"/>
      <x:c r="L104" s="47"/>
      <x:c r="M104" s="47"/>
      <x:c r="N104" s="47"/>
    </x:row>
    <x:row r="105">
      <x:c r="A105" s="85" t="n">
        <x:f>'Data'!B99</x:f>
        <x:v>163.4</x:v>
      </x:c>
      <x:c r="B105" s="85" t="n">
        <x:f>'Data'!E99</x:f>
        <x:v>63.6</x:v>
      </x:c>
      <x:c r="C105" s="47"/>
      <x:c r="D105" s="47"/>
      <x:c r="E105" s="47"/>
      <x:c r="F105" s="47"/>
      <x:c r="G105" s="47"/>
      <x:c r="H105" s="47"/>
      <x:c r="I105" s="47"/>
      <x:c r="J105" s="47"/>
      <x:c r="K105" s="47"/>
      <x:c r="L105" s="47"/>
      <x:c r="M105" s="47"/>
      <x:c r="N105" s="47"/>
    </x:row>
    <x:row r="106">
      <x:c r="A106" s="85" t="n">
        <x:f>'Data'!B100</x:f>
        <x:v>106.2</x:v>
      </x:c>
      <x:c r="B106" s="85" t="n">
        <x:f>'Data'!E100</x:f>
        <x:v>48.4</x:v>
      </x:c>
      <x:c r="C106" s="47"/>
      <x:c r="D106" s="47"/>
      <x:c r="E106" s="47"/>
      <x:c r="F106" s="47"/>
      <x:c r="G106" s="47"/>
      <x:c r="H106" s="47"/>
      <x:c r="I106" s="47"/>
      <x:c r="J106" s="47"/>
      <x:c r="K106" s="47"/>
      <x:c r="L106" s="47"/>
      <x:c r="M106" s="47"/>
      <x:c r="N106" s="47"/>
    </x:row>
    <x:row r="107">
      <x:c r="A107" s="85" t="n">
        <x:f>'Data'!B101</x:f>
        <x:v>142.7</x:v>
      </x:c>
      <x:c r="B107" s="85" t="n">
        <x:f>'Data'!E101</x:f>
        <x:v>57.9</x:v>
      </x:c>
      <x:c r="C107" s="47"/>
      <x:c r="D107" s="47"/>
      <x:c r="E107" s="47"/>
      <x:c r="F107" s="47"/>
      <x:c r="G107" s="47"/>
      <x:c r="H107" s="47"/>
      <x:c r="I107" s="47"/>
      <x:c r="J107" s="47"/>
      <x:c r="K107" s="47"/>
      <x:c r="L107" s="47"/>
      <x:c r="M107" s="47"/>
      <x:c r="N107" s="47"/>
    </x:row>
    <x:row r="108">
      <x:c r="A108" s="85" t="n">
        <x:f>'Data'!B102</x:f>
        <x:v>131</x:v>
      </x:c>
      <x:c r="B108" s="85" t="n">
        <x:f>'Data'!E102</x:f>
        <x:v>56.4</x:v>
      </x:c>
      <x:c r="C108" s="47"/>
      <x:c r="D108" s="47"/>
      <x:c r="E108" s="47"/>
      <x:c r="F108" s="47"/>
      <x:c r="G108" s="47"/>
      <x:c r="H108" s="47"/>
      <x:c r="I108" s="47"/>
      <x:c r="J108" s="47"/>
      <x:c r="K108" s="47"/>
      <x:c r="L108" s="47"/>
      <x:c r="M108" s="47"/>
      <x:c r="N108" s="47"/>
    </x:row>
    <x:row r="109">
      <x:c r="A109" s="85" t="n">
        <x:f>'Data'!B103</x:f>
        <x:v>151.4</x:v>
      </x:c>
      <x:c r="B109" s="85" t="n">
        <x:f>'Data'!E103</x:f>
        <x:v>54.9</x:v>
      </x:c>
      <x:c r="C109" s="47"/>
      <x:c r="D109" s="47"/>
      <x:c r="E109" s="47"/>
      <x:c r="F109" s="47"/>
      <x:c r="G109" s="47"/>
      <x:c r="H109" s="47"/>
      <x:c r="I109" s="47"/>
      <x:c r="J109" s="47"/>
      <x:c r="K109" s="47"/>
      <x:c r="L109" s="47"/>
      <x:c r="M109" s="47"/>
      <x:c r="N109" s="47"/>
    </x:row>
    <x:row r="110">
      <x:c r="A110" s="85" t="n">
        <x:f>'Data'!B104</x:f>
        <x:v>163.4</x:v>
      </x:c>
      <x:c r="B110" s="85" t="n">
        <x:f>'Data'!E104</x:f>
        <x:v>58.9</x:v>
      </x:c>
      <x:c r="C110" s="47"/>
      <x:c r="D110" s="47"/>
      <x:c r="E110" s="47"/>
      <x:c r="F110" s="47"/>
      <x:c r="G110" s="47"/>
      <x:c r="H110" s="47"/>
      <x:c r="I110" s="47"/>
      <x:c r="J110" s="47"/>
      <x:c r="K110" s="47"/>
      <x:c r="L110" s="47"/>
      <x:c r="M110" s="47"/>
      <x:c r="N110" s="47"/>
    </x:row>
    <x:row r="111">
      <x:c r="A111" s="85" t="n">
        <x:f>'Data'!B105</x:f>
        <x:v>72.3</x:v>
      </x:c>
      <x:c r="B111" s="85" t="n">
        <x:f>'Data'!E105</x:f>
        <x:v>39.3</x:v>
      </x:c>
      <x:c r="C111" s="47"/>
      <x:c r="D111" s="47"/>
      <x:c r="E111" s="47"/>
      <x:c r="F111" s="47"/>
      <x:c r="G111" s="47"/>
      <x:c r="H111" s="47"/>
      <x:c r="I111" s="47"/>
      <x:c r="J111" s="47"/>
      <x:c r="K111" s="47"/>
      <x:c r="L111" s="47"/>
      <x:c r="M111" s="47"/>
      <x:c r="N111" s="47"/>
    </x:row>
    <x:row r="112">
      <x:c r="A112" s="85" t="n">
        <x:f>'Data'!B106</x:f>
        <x:v>85.4</x:v>
      </x:c>
      <x:c r="B112" s="85" t="n">
        <x:f>'Data'!E106</x:f>
        <x:v>49</x:v>
      </x:c>
      <x:c r="C112" s="47"/>
      <x:c r="D112" s="47"/>
      <x:c r="E112" s="47"/>
      <x:c r="F112" s="47"/>
      <x:c r="G112" s="47"/>
      <x:c r="H112" s="47"/>
      <x:c r="I112" s="47"/>
      <x:c r="J112" s="47"/>
      <x:c r="K112" s="47"/>
      <x:c r="L112" s="47"/>
      <x:c r="M112" s="47"/>
      <x:c r="N112" s="47"/>
    </x:row>
    <x:row r="113">
      <x:c r="A113" s="85" t="n">
        <x:f>'Data'!B107</x:f>
        <x:v>129.6</x:v>
      </x:c>
      <x:c r="B113" s="85" t="n">
        <x:f>'Data'!E107</x:f>
        <x:v>53.3</x:v>
      </x:c>
      <x:c r="C113" s="47"/>
      <x:c r="D113" s="47"/>
      <x:c r="E113" s="47"/>
      <x:c r="F113" s="47"/>
      <x:c r="G113" s="47"/>
      <x:c r="H113" s="47"/>
      <x:c r="I113" s="47"/>
      <x:c r="J113" s="47"/>
      <x:c r="K113" s="47"/>
      <x:c r="L113" s="47"/>
      <x:c r="M113" s="47"/>
      <x:c r="N113" s="47"/>
    </x:row>
    <x:row r="114">
      <x:c r="A114" s="85" t="n">
        <x:f>'Data'!B108</x:f>
        <x:v>139.1</x:v>
      </x:c>
      <x:c r="B114" s="85" t="n">
        <x:f>'Data'!E108</x:f>
        <x:v>57.7</x:v>
      </x:c>
      <x:c r="C114" s="47"/>
      <x:c r="D114" s="47"/>
      <x:c r="E114" s="47"/>
      <x:c r="F114" s="47"/>
      <x:c r="G114" s="47"/>
      <x:c r="H114" s="47"/>
      <x:c r="I114" s="47"/>
      <x:c r="J114" s="47"/>
      <x:c r="K114" s="47"/>
      <x:c r="L114" s="47"/>
      <x:c r="M114" s="47"/>
      <x:c r="N114" s="47"/>
    </x:row>
    <x:row r="115">
      <x:c r="A115" s="85" t="n">
        <x:f>'Data'!B109</x:f>
        <x:v>133.3</x:v>
      </x:c>
      <x:c r="B115" s="85" t="n">
        <x:f>'Data'!E109</x:f>
        <x:v>45.6</x:v>
      </x:c>
      <x:c r="C115" s="47"/>
      <x:c r="D115" s="47"/>
      <x:c r="E115" s="47"/>
      <x:c r="F115" s="47"/>
      <x:c r="G115" s="47"/>
      <x:c r="H115" s="47"/>
      <x:c r="I115" s="47"/>
      <x:c r="J115" s="47"/>
      <x:c r="K115" s="47"/>
      <x:c r="L115" s="47"/>
      <x:c r="M115" s="47"/>
      <x:c r="N115" s="47"/>
    </x:row>
    <x:row r="116">
      <x:c r="A116" s="85" t="n">
        <x:f>'Data'!B110</x:f>
        <x:v>106.5</x:v>
      </x:c>
      <x:c r="B116" s="85" t="n">
        <x:f>'Data'!E110</x:f>
        <x:v>49.3</x:v>
      </x:c>
      <x:c r="C116" s="47"/>
      <x:c r="D116" s="47"/>
      <x:c r="E116" s="47"/>
      <x:c r="F116" s="47"/>
      <x:c r="G116" s="47"/>
      <x:c r="H116" s="47"/>
      <x:c r="I116" s="47"/>
      <x:c r="J116" s="47"/>
      <x:c r="K116" s="47"/>
      <x:c r="L116" s="47"/>
      <x:c r="M116" s="47"/>
      <x:c r="N116" s="47"/>
    </x:row>
    <x:row r="117">
      <x:c r="A117" s="85" t="n">
        <x:f>'Data'!B111</x:f>
        <x:v>146.8</x:v>
      </x:c>
      <x:c r="B117" s="85" t="n">
        <x:f>'Data'!E111</x:f>
        <x:v>58.4</x:v>
      </x:c>
      <x:c r="C117" s="47"/>
      <x:c r="D117" s="47"/>
      <x:c r="E117" s="47"/>
      <x:c r="F117" s="47"/>
      <x:c r="G117" s="47"/>
      <x:c r="H117" s="47"/>
      <x:c r="I117" s="47"/>
      <x:c r="J117" s="47"/>
      <x:c r="K117" s="47"/>
      <x:c r="L117" s="47"/>
      <x:c r="M117" s="47"/>
      <x:c r="N117" s="47"/>
    </x:row>
    <x:row r="118">
      <x:c r="A118" s="85" t="n">
        <x:f>'Data'!B112</x:f>
        <x:v>120</x:v>
      </x:c>
      <x:c r="B118" s="85" t="n">
        <x:f>'Data'!E112</x:f>
        <x:v>57.8</x:v>
      </x:c>
      <x:c r="C118" s="47"/>
      <x:c r="D118" s="47"/>
      <x:c r="E118" s="47"/>
      <x:c r="F118" s="47"/>
      <x:c r="G118" s="47"/>
      <x:c r="H118" s="47"/>
      <x:c r="I118" s="47"/>
      <x:c r="J118" s="47"/>
      <x:c r="K118" s="47"/>
      <x:c r="L118" s="47"/>
      <x:c r="M118" s="47"/>
      <x:c r="N118" s="47"/>
    </x:row>
    <x:row r="119">
      <x:c r="A119" s="85" t="n">
        <x:f>'Data'!B113</x:f>
        <x:v>151</x:v>
      </x:c>
      <x:c r="B119" s="85" t="n">
        <x:f>'Data'!E113</x:f>
        <x:v>70.4</x:v>
      </x:c>
      <x:c r="C119" s="47"/>
      <x:c r="D119" s="47"/>
      <x:c r="E119" s="47"/>
      <x:c r="F119" s="47"/>
      <x:c r="G119" s="47"/>
      <x:c r="H119" s="47"/>
      <x:c r="I119" s="47"/>
      <x:c r="J119" s="47"/>
      <x:c r="K119" s="47"/>
      <x:c r="L119" s="47"/>
      <x:c r="M119" s="47"/>
      <x:c r="N119" s="47"/>
    </x:row>
    <x:row r="120">
      <x:c r="A120" s="85" t="n">
        <x:f>'Data'!B114</x:f>
        <x:v>82.1</x:v>
      </x:c>
      <x:c r="B120" s="85" t="n">
        <x:f>'Data'!E114</x:f>
        <x:v>50.3</x:v>
      </x:c>
      <x:c r="C120" s="47"/>
      <x:c r="D120" s="47"/>
      <x:c r="E120" s="47"/>
      <x:c r="F120" s="47"/>
      <x:c r="G120" s="47"/>
      <x:c r="H120" s="47"/>
      <x:c r="I120" s="47"/>
      <x:c r="J120" s="47"/>
      <x:c r="K120" s="47"/>
      <x:c r="L120" s="47"/>
      <x:c r="M120" s="47"/>
      <x:c r="N120" s="47"/>
    </x:row>
    <x:row r="121">
      <x:c r="A121" s="85" t="n">
        <x:f>'Data'!B115</x:f>
        <x:v>115.1</x:v>
      </x:c>
      <x:c r="B121" s="85" t="n">
        <x:f>'Data'!E115</x:f>
        <x:v>52.3</x:v>
      </x:c>
      <x:c r="C121" s="47"/>
      <x:c r="D121" s="47"/>
      <x:c r="E121" s="47"/>
      <x:c r="F121" s="47"/>
      <x:c r="G121" s="47"/>
      <x:c r="H121" s="47"/>
      <x:c r="I121" s="47"/>
      <x:c r="J121" s="47"/>
      <x:c r="K121" s="47"/>
      <x:c r="L121" s="47"/>
      <x:c r="M121" s="47"/>
      <x:c r="N121" s="47"/>
    </x:row>
    <x:row r="122">
      <x:c r="A122" s="85" t="n">
        <x:f>'Data'!B116</x:f>
        <x:v>58.3</x:v>
      </x:c>
      <x:c r="B122" s="85" t="n">
        <x:f>'Data'!E116</x:f>
        <x:v>46.8</x:v>
      </x:c>
      <x:c r="C122" s="47"/>
      <x:c r="D122" s="47"/>
      <x:c r="E122" s="47"/>
      <x:c r="F122" s="47"/>
      <x:c r="G122" s="47"/>
      <x:c r="H122" s="47"/>
      <x:c r="I122" s="47"/>
      <x:c r="J122" s="47"/>
      <x:c r="K122" s="47"/>
      <x:c r="L122" s="47"/>
      <x:c r="M122" s="47"/>
      <x:c r="N122" s="47"/>
    </x:row>
    <x:row r="123">
      <x:c r="A123" s="85" t="n">
        <x:f>'Data'!B117</x:f>
        <x:v>121.4</x:v>
      </x:c>
      <x:c r="B123" s="85" t="n">
        <x:f>'Data'!E117</x:f>
        <x:v>51.6</x:v>
      </x:c>
      <x:c r="C123" s="47"/>
      <x:c r="D123" s="47"/>
      <x:c r="E123" s="47"/>
      <x:c r="F123" s="47"/>
      <x:c r="G123" s="47"/>
      <x:c r="H123" s="47"/>
      <x:c r="I123" s="47"/>
      <x:c r="J123" s="47"/>
      <x:c r="K123" s="47"/>
      <x:c r="L123" s="47"/>
      <x:c r="M123" s="47"/>
      <x:c r="N123" s="47"/>
    </x:row>
    <x:row r="124">
      <x:c r="A124" s="85" t="n">
        <x:f>'Data'!B118</x:f>
        <x:v>85.9</x:v>
      </x:c>
      <x:c r="B124" s="85" t="n">
        <x:f>'Data'!E118</x:f>
        <x:v>45</x:v>
      </x:c>
      <x:c r="C124" s="47"/>
      <x:c r="D124" s="47"/>
      <x:c r="E124" s="47"/>
      <x:c r="F124" s="47"/>
      <x:c r="G124" s="47"/>
      <x:c r="H124" s="47"/>
      <x:c r="I124" s="47"/>
      <x:c r="J124" s="47"/>
      <x:c r="K124" s="47"/>
      <x:c r="L124" s="47"/>
      <x:c r="M124" s="47"/>
      <x:c r="N124" s="47"/>
    </x:row>
    <x:row r="125">
      <x:c r="A125" s="85" t="n">
        <x:f>'Data'!B119</x:f>
        <x:v>100.7</x:v>
      </x:c>
      <x:c r="B125" s="85" t="n">
        <x:f>'Data'!E119</x:f>
        <x:v>56.7</x:v>
      </x:c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</x:row>
    <x:row r="126">
      <x:c r="A126" s="85" t="n">
        <x:f>'Data'!B120</x:f>
        <x:v>151.4</x:v>
      </x:c>
      <x:c r="B126" s="85" t="n">
        <x:f>'Data'!E120</x:f>
        <x:v>60</x:v>
      </x:c>
      <x:c r="C126" s="47"/>
      <x:c r="D126" s="47"/>
      <x:c r="E126" s="47"/>
      <x:c r="F126" s="47"/>
      <x:c r="G126" s="47"/>
      <x:c r="H126" s="47"/>
      <x:c r="I126" s="47"/>
      <x:c r="J126" s="47"/>
      <x:c r="K126" s="47"/>
      <x:c r="L126" s="47"/>
      <x:c r="M126" s="47"/>
      <x:c r="N126" s="47"/>
    </x:row>
    <x:row r="127">
      <x:c r="A127" s="85" t="n">
        <x:f>'Data'!B121</x:f>
        <x:v>133.3</x:v>
      </x:c>
      <x:c r="B127" s="85" t="n">
        <x:f>'Data'!E121</x:f>
        <x:v>60.1</x:v>
      </x:c>
      <x:c r="C127" s="47"/>
      <x:c r="D127" s="47"/>
      <x:c r="E127" s="47"/>
      <x:c r="F127" s="47"/>
      <x:c r="G127" s="47"/>
      <x:c r="H127" s="47"/>
      <x:c r="I127" s="47"/>
      <x:c r="J127" s="47"/>
      <x:c r="K127" s="47"/>
      <x:c r="L127" s="47"/>
      <x:c r="M127" s="47"/>
      <x:c r="N127" s="47"/>
    </x:row>
    <x:row r="128">
      <x:c r="A128" s="47"/>
      <x:c r="B128" s="47"/>
      <x:c r="C128" s="47"/>
      <x:c r="D128" s="47"/>
      <x:c r="E128" s="47"/>
      <x:c r="F128" s="47"/>
      <x:c r="G128" s="47"/>
      <x:c r="H128" s="47"/>
      <x:c r="I128" s="47"/>
      <x:c r="J128" s="47"/>
      <x:c r="K128" s="47"/>
      <x:c r="L128" s="47"/>
      <x:c r="M128" s="47"/>
      <x:c r="N128" s="47"/>
    </x:row>
  </x:sheetData>
  <x:mergeCells>
    <x:mergeCell ref="A1:N1"/>
    <x:mergeCell ref="A2:N2"/>
    <x:mergeCell ref="D24:N25"/>
  </x:mergeCells>
  <x:pageMargins left="0.7" right="0.7" top="0.75" bottom="0.75" header="0.3" footer="0.3"/>
  <x:drawing xmlns:r="http://schemas.openxmlformats.org/officeDocument/2006/relationships" r:id="R128e4cd788ab4b57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46" hidden="0" customWidth="1"/>
    <x:col min="4" max="4" width="2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46" t="str">
        <x:v>Correlation</x:v>
      </x:c>
      <x:c r="B1" s="47"/>
      <x:c r="C1" s="47"/>
      <x:c r="D1" s="47"/>
      <x:c r="E1" s="47"/>
      <x:c r="F1" s="47"/>
      <x:c r="G1" s="47"/>
      <x:c r="H1" s="47"/>
    </x:row>
    <x:row r="2" ht="32" customHeight="1">
      <x:c r="A2" s="48" t="str">
        <x:v>Pearson's r measures the direction and strength of a linear relationship</x:v>
      </x:c>
      <x:c r="B2" s="47"/>
      <x:c r="C2" s="47"/>
      <x:c r="D2" s="47"/>
      <x:c r="E2" s="47"/>
      <x:c r="F2" s="47"/>
      <x:c r="G2" s="47"/>
      <x:c r="H2" s="47"/>
    </x:row>
    <x:row r="3">
      <x:c r="A3" s="47"/>
      <x:c r="B3" s="47"/>
      <x:c r="C3" s="47"/>
      <x:c r="D3" s="47"/>
      <x:c r="E3" s="47"/>
      <x:c r="F3" s="47"/>
      <x:c r="G3" s="47"/>
      <x:c r="H3" s="47"/>
    </x:row>
    <x:row r="4">
      <x:c r="A4" s="53" t="str">
        <x:v>Relationship</x:v>
      </x:c>
      <x:c r="B4" s="53" t="str">
        <x:v>Correlation (r)</x:v>
      </x:c>
      <x:c r="C4" s="53" t="str">
        <x:v>Excel formula</x:v>
      </x:c>
      <x:c r="D4" s="53" t="str">
        <x:v>Reading</x:v>
      </x:c>
      <x:c r="E4" s="47"/>
      <x:c r="F4" s="47"/>
      <x:c r="G4" s="47"/>
      <x:c r="H4" s="47"/>
    </x:row>
    <x:row r="5">
      <x:c r="A5" s="54" t="str">
        <x:v>Fertilizer and yield</x:v>
      </x:c>
      <x:c r="B5" s="100" t="n">
        <x:f>CORREL('Data'!$B$2:$B$121,'Data'!$E$2:$E$121)</x:f>
        <x:v>0.7535759068170546</x:v>
      </x:c>
      <x:c r="C5" s="54" t="str">
        <x:v>=CORREL(Data!B2:B121,Data!E2:E121)</x:v>
      </x:c>
      <x:c r="D5" s="54" t="str">
        <x:f>IF(B5&gt;0,"Positive",IF(B5&lt;0,"Negative","No linear relationship"))</x:f>
        <x:v>Positive</x:v>
      </x:c>
      <x:c r="E5" s="47"/>
      <x:c r="F5" s="47"/>
      <x:c r="G5" s="47"/>
      <x:c r="H5" s="47"/>
    </x:row>
    <x:row r="6">
      <x:c r="A6" s="54" t="str">
        <x:v>Rainfall and yield</x:v>
      </x:c>
      <x:c r="B6" s="100" t="n">
        <x:f>CORREL('Data'!$C$2:$C$121,'Data'!$E$2:$E$121)</x:f>
        <x:v>0.6479804591460415</x:v>
      </x:c>
      <x:c r="C6" s="54" t="str">
        <x:v>=CORREL(Data!C2:C121,Data!E2:E121)</x:v>
      </x:c>
      <x:c r="D6" s="54" t="str">
        <x:f>IF(B6&gt;0,"Positive",IF(B6&lt;0,"Negative","No linear relationship"))</x:f>
        <x:v>Positive</x:v>
      </x:c>
      <x:c r="E6" s="47"/>
      <x:c r="F6" s="47"/>
      <x:c r="G6" s="47"/>
      <x:c r="H6" s="47"/>
    </x:row>
    <x:row r="7">
      <x:c r="A7" s="54" t="str">
        <x:v>Fertilizer and rainfall</x:v>
      </x:c>
      <x:c r="B7" s="100" t="n">
        <x:f>CORREL('Data'!$B$2:$B$121,'Data'!$C$2:$C$121)</x:f>
        <x:v>0.46145454785747836</x:v>
      </x:c>
      <x:c r="C7" s="54" t="str">
        <x:v>=CORREL(Data!B2:B121,Data!C2:C121)</x:v>
      </x:c>
      <x:c r="D7" s="54" t="str">
        <x:f>IF(B7&gt;0,"Positive",IF(B7&lt;0,"Negative","No linear relationship"))</x:f>
        <x:v>Positive</x:v>
      </x:c>
      <x:c r="E7" s="47"/>
      <x:c r="F7" s="47"/>
      <x:c r="G7" s="47"/>
      <x:c r="H7" s="47"/>
    </x:row>
    <x:row r="8">
      <x:c r="A8" s="47"/>
      <x:c r="B8" s="47"/>
      <x:c r="C8" s="47"/>
      <x:c r="D8" s="47"/>
      <x:c r="E8" s="47"/>
      <x:c r="F8" s="47"/>
      <x:c r="G8" s="47"/>
      <x:c r="H8" s="47"/>
    </x:row>
    <x:row r="9">
      <x:c r="A9" s="47"/>
      <x:c r="B9" s="47"/>
      <x:c r="C9" s="47"/>
      <x:c r="D9" s="47"/>
      <x:c r="E9" s="47"/>
      <x:c r="F9" s="47"/>
      <x:c r="G9" s="47"/>
      <x:c r="H9" s="47"/>
    </x:row>
    <x:row r="10" ht="34" customHeight="1">
      <x:c r="A10" s="101" t="str">
        <x:v>Correlation describes a linear pattern. It does not show causation, and it can miss a strong curved relationship. Plot first.</x:v>
      </x:c>
      <x:c r="B10" s="101"/>
      <x:c r="C10" s="101"/>
      <x:c r="D10" s="101"/>
      <x:c r="E10" s="101"/>
      <x:c r="F10" s="101"/>
      <x:c r="G10" s="101"/>
      <x:c r="H10" s="101"/>
    </x:row>
    <x:row r="11">
      <x:c r="A11" s="47"/>
      <x:c r="B11" s="47"/>
      <x:c r="C11" s="47"/>
      <x:c r="D11" s="47"/>
      <x:c r="E11" s="47"/>
      <x:c r="F11" s="47"/>
      <x:c r="G11" s="47"/>
      <x:c r="H11" s="47"/>
    </x:row>
    <x:row r="12" ht="30" customHeight="1">
      <x:c r="A12" s="102" t="str">
        <x:v>The fertilizer-yield correlation is about 0.754. Its square is the R² for the simple linear model on the next sheet.</x:v>
      </x:c>
      <x:c r="B12" s="102"/>
      <x:c r="C12" s="102"/>
      <x:c r="D12" s="102"/>
      <x:c r="E12" s="102"/>
      <x:c r="F12" s="102"/>
      <x:c r="G12" s="102"/>
      <x:c r="H12" s="102"/>
    </x:row>
    <x:row r="13">
      <x:c r="A13" s="47"/>
      <x:c r="B13" s="47"/>
      <x:c r="C13" s="47"/>
      <x:c r="D13" s="47"/>
      <x:c r="E13" s="47"/>
      <x:c r="F13" s="47"/>
      <x:c r="G13" s="47"/>
      <x:c r="H13" s="47"/>
    </x:row>
    <x:row r="14">
      <x:c r="A14" s="47"/>
      <x:c r="B14" s="47"/>
      <x:c r="C14" s="47"/>
      <x:c r="D14" s="47"/>
      <x:c r="E14" s="47"/>
      <x:c r="F14" s="47"/>
      <x:c r="G14" s="47"/>
      <x:c r="H14" s="47"/>
    </x:row>
    <x:row r="15">
      <x:c r="A15" s="47"/>
      <x:c r="B15" s="47"/>
      <x:c r="C15" s="47"/>
      <x:c r="D15" s="47"/>
      <x:c r="E15" s="47"/>
      <x:c r="F15" s="47"/>
      <x:c r="G15" s="47"/>
      <x:c r="H15" s="47"/>
    </x:row>
  </x:sheetData>
  <x:mergeCells>
    <x:mergeCell ref="A1:H1"/>
    <x:mergeCell ref="A2:H2"/>
    <x:mergeCell ref="A10:H10"/>
    <x:mergeCell ref="A12:H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43" hidden="0" customWidth="1"/>
    <x:col min="4" max="4" width="3" hidden="0" customWidth="1"/>
    <x:col min="5" max="5" width="18" hidden="0" customWidth="1"/>
    <x:col min="6" max="6" width="18" hidden="0" customWidth="1"/>
    <x:col min="7" max="7" width="3" hidden="0" customWidth="1"/>
  </x:cols>
  <x:sheetData>
    <x:row r="1" ht="34" customHeight="1">
      <x:c r="A1" s="46" t="str">
        <x:v>A simple linear model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</x:row>
    <x:row r="2" ht="32" customHeight="1">
      <x:c r="A2" s="48" t="str">
        <x:v>Estimate yield from fertilizer rate, then check whether the prediction stays inside the observed range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</x:row>
    <x:row r="4">
      <x:c r="A4" s="53" t="str">
        <x:v>Quantity</x:v>
      </x:c>
      <x:c r="B4" s="53" t="str">
        <x:v>Value</x:v>
      </x:c>
      <x:c r="C4" s="53" t="str">
        <x:v>Excel formula</x:v>
      </x:c>
      <x:c r="D4" s="47"/>
      <x:c r="E4" s="53" t="str">
        <x:v>Fertilizer (kg/ha)</x:v>
      </x:c>
      <x:c r="F4" s="53" t="str">
        <x:v>Yield (bu/ac)</x:v>
      </x:c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</x:row>
    <x:row r="5">
      <x:c r="A5" s="54" t="str">
        <x:v>Slope (bu/ac per kg/ha)</x:v>
      </x:c>
      <x:c r="B5" s="100" t="n">
        <x:f>SLOPE('Data'!$E$2:$E$121,'Data'!$B$2:$B$121)</x:f>
        <x:v>0.18141239358803132</x:v>
      </x:c>
      <x:c r="C5" s="54" t="str">
        <x:v>=SLOPE(Data!E2:E121,Data!B2:B121)</x:v>
      </x:c>
      <x:c r="D5" s="47"/>
      <x:c r="E5" s="85" t="n">
        <x:f>'Data'!B2</x:f>
        <x:v>146.2</x:v>
      </x:c>
      <x:c r="F5" s="85" t="n">
        <x:f>'Data'!E2</x:f>
        <x:v>56.7</x:v>
      </x:c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</x:row>
    <x:row r="6">
      <x:c r="A6" s="54" t="str">
        <x:v>Intercept (bu/ac)</x:v>
      </x:c>
      <x:c r="B6" s="100" t="n">
        <x:f>INTERCEPT('Data'!$E$2:$E$121,'Data'!$B$2:$B$121)</x:f>
        <x:v>30.698126795028376</x:v>
      </x:c>
      <x:c r="C6" s="54" t="str">
        <x:v>=INTERCEPT(Data!E2:E121,Data!B2:B121)</x:v>
      </x:c>
      <x:c r="D6" s="47"/>
      <x:c r="E6" s="85" t="n">
        <x:f>'Data'!B3</x:f>
        <x:v>136.5</x:v>
      </x:c>
      <x:c r="F6" s="85" t="n">
        <x:f>'Data'!E3</x:f>
        <x:v>62</x:v>
      </x:c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</x:row>
    <x:row r="7">
      <x:c r="A7" s="54" t="str">
        <x:v>R²</x:v>
      </x:c>
      <x:c r="B7" s="100" t="n">
        <x:f>RSQ('Data'!$E$2:$E$121,'Data'!$B$2:$B$121)</x:f>
        <x:v>0.5678766473351454</x:v>
      </x:c>
      <x:c r="C7" s="54" t="str">
        <x:v>=RSQ(Data!E2:E121,Data!B2:B121)</x:v>
      </x:c>
      <x:c r="D7" s="47"/>
      <x:c r="E7" s="85" t="n">
        <x:f>'Data'!B4</x:f>
        <x:v>113.1</x:v>
      </x:c>
      <x:c r="F7" s="85" t="n">
        <x:f>'Data'!E4</x:f>
        <x:v>53.6</x:v>
      </x:c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</x:row>
    <x:row r="8">
      <x:c r="A8" s="54" t="str">
        <x:v>Minimum fertilizer (kg/ha)</x:v>
      </x:c>
      <x:c r="B8" s="85" t="n">
        <x:f>MIN('Data'!$B$2:$B$121)</x:f>
        <x:v>58.3</x:v>
      </x:c>
      <x:c r="C8" s="54" t="str">
        <x:v>=MIN(Data!B2:B121)</x:v>
      </x:c>
      <x:c r="D8" s="47"/>
      <x:c r="E8" s="85" t="n">
        <x:f>'Data'!B5</x:f>
        <x:v>111.8</x:v>
      </x:c>
      <x:c r="F8" s="85" t="n">
        <x:f>'Data'!E5</x:f>
        <x:v>51.2</x:v>
      </x:c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</x:row>
    <x:row r="9">
      <x:c r="A9" s="54" t="str">
        <x:v>Maximum fertilizer (kg/ha)</x:v>
      </x:c>
      <x:c r="B9" s="85" t="n">
        <x:f>MAX('Data'!$B$2:$B$121)</x:f>
        <x:v>186.9</x:v>
      </x:c>
      <x:c r="C9" s="54" t="str">
        <x:v>=MAX(Data!B2:B121)</x:v>
      </x:c>
      <x:c r="D9" s="47"/>
      <x:c r="E9" s="85" t="n">
        <x:f>'Data'!B6</x:f>
        <x:v>102.6</x:v>
      </x:c>
      <x:c r="F9" s="85" t="n">
        <x:f>'Data'!E6</x:f>
        <x:v>49.2</x:v>
      </x:c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</x:row>
    <x:row r="10">
      <x:c r="A10" s="47"/>
      <x:c r="B10" s="47"/>
      <x:c r="C10" s="47"/>
      <x:c r="D10" s="47"/>
      <x:c r="E10" s="85" t="n">
        <x:f>'Data'!B7</x:f>
        <x:v>140.5</x:v>
      </x:c>
      <x:c r="F10" s="85" t="n">
        <x:f>'Data'!E7</x:f>
        <x:v>51.2</x:v>
      </x:c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</x:row>
    <x:row r="11">
      <x:c r="A11" s="47"/>
      <x:c r="B11" s="47"/>
      <x:c r="C11" s="47"/>
      <x:c r="D11" s="47"/>
      <x:c r="E11" s="85" t="n">
        <x:f>'Data'!B8</x:f>
        <x:v>102</x:v>
      </x:c>
      <x:c r="F11" s="85" t="n">
        <x:f>'Data'!E8</x:f>
        <x:v>49</x:v>
      </x:c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</x:row>
    <x:row r="12">
      <x:c r="A12" s="53" t="str">
        <x:v>Prediction</x:v>
      </x:c>
      <x:c r="B12" s="53" t="str">
        <x:v>Value</x:v>
      </x:c>
      <x:c r="C12" s="53" t="str">
        <x:v>How it is calculated</x:v>
      </x:c>
      <x:c r="D12" s="47"/>
      <x:c r="E12" s="85" t="n">
        <x:f>'Data'!B9</x:f>
        <x:v>136.8</x:v>
      </x:c>
      <x:c r="F12" s="85" t="n">
        <x:f>'Data'!E9</x:f>
        <x:v>56.8</x:v>
      </x:c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</x:row>
    <x:row r="13">
      <x:c r="A13" s="54" t="str">
        <x:v>Fertilizer rate (kg/ha)</x:v>
      </x:c>
      <x:c r="B13" s="114" t="n">
        <x:v>120</x:v>
      </x:c>
      <x:c r="C13" s="54" t="str">
        <x:v>Edit the green cell</x:v>
      </x:c>
      <x:c r="D13" s="47"/>
      <x:c r="E13" s="85" t="n">
        <x:f>'Data'!B10</x:f>
        <x:v>141.6</x:v>
      </x:c>
      <x:c r="F13" s="85" t="n">
        <x:f>'Data'!E10</x:f>
        <x:v>61</x:v>
      </x:c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</x:row>
    <x:row r="14">
      <x:c r="A14" s="54" t="str">
        <x:v>Predicted average yield (bu/ac)</x:v>
      </x:c>
      <x:c r="B14" s="85" t="n">
        <x:f>$B$6+$B$5*$B$13</x:f>
        <x:v>52.467614025592134</x:v>
      </x:c>
      <x:c r="C14" s="54" t="str">
        <x:v>=intercept + slope × fertilizer rate</x:v>
      </x:c>
      <x:c r="D14" s="47"/>
      <x:c r="E14" s="85" t="n">
        <x:f>'Data'!B11</x:f>
        <x:v>97.9</x:v>
      </x:c>
      <x:c r="F14" s="85" t="n">
        <x:f>'Data'!E11</x:f>
        <x:v>48.2</x:v>
      </x:c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</x:row>
    <x:row r="15">
      <x:c r="A15" s="47"/>
      <x:c r="B15" s="47"/>
      <x:c r="C15" s="47"/>
      <x:c r="D15" s="47"/>
      <x:c r="E15" s="85" t="n">
        <x:f>'Data'!B12</x:f>
        <x:v>154.6</x:v>
      </x:c>
      <x:c r="F15" s="85" t="n">
        <x:f>'Data'!E12</x:f>
        <x:v>59.5</x:v>
      </x:c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</x:row>
    <x:row r="16">
      <x:c r="A16" s="47"/>
      <x:c r="B16" s="47"/>
      <x:c r="C16" s="47"/>
      <x:c r="D16" s="47"/>
      <x:c r="E16" s="85" t="n">
        <x:f>'Data'!B13</x:f>
        <x:v>139.8</x:v>
      </x:c>
      <x:c r="F16" s="85" t="n">
        <x:f>'Data'!E13</x:f>
        <x:v>55.9</x:v>
      </x:c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</x:row>
    <x:row r="17">
      <x:c r="A17" s="86" t="str">
        <x:v>The slope is an association, not automatically a causal effect. Predictions outside the observed fertilizer range are extrapolations, even though Excel will still calculate them.</x:v>
      </x:c>
      <x:c r="B17" s="86"/>
      <x:c r="C17" s="86"/>
      <x:c r="D17" s="47"/>
      <x:c r="E17" s="85" t="n">
        <x:f>'Data'!B14</x:f>
        <x:v>111.6</x:v>
      </x:c>
      <x:c r="F17" s="85" t="n">
        <x:f>'Data'!E14</x:f>
        <x:v>55.2</x:v>
      </x:c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</x:row>
    <x:row r="18">
      <x:c r="A18" s="86"/>
      <x:c r="B18" s="86"/>
      <x:c r="C18" s="86"/>
      <x:c r="D18" s="47"/>
      <x:c r="E18" s="85" t="n">
        <x:f>'Data'!B15</x:f>
        <x:v>120.3</x:v>
      </x:c>
      <x:c r="F18" s="85" t="n">
        <x:f>'Data'!E15</x:f>
        <x:v>51.7</x:v>
      </x:c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</x:row>
    <x:row r="19">
      <x:c r="A19" s="86"/>
      <x:c r="B19" s="86"/>
      <x:c r="C19" s="86"/>
      <x:c r="D19" s="47"/>
      <x:c r="E19" s="85" t="n">
        <x:f>'Data'!B16</x:f>
        <x:v>147</x:v>
      </x:c>
      <x:c r="F19" s="85" t="n">
        <x:f>'Data'!E16</x:f>
        <x:v>62.1</x:v>
      </x:c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</x:row>
    <x:row r="20">
      <x:c r="A20" s="47"/>
      <x:c r="B20" s="47"/>
      <x:c r="C20" s="47"/>
      <x:c r="D20" s="47"/>
      <x:c r="E20" s="85" t="n">
        <x:f>'Data'!B17</x:f>
        <x:v>104.6</x:v>
      </x:c>
      <x:c r="F20" s="85" t="n">
        <x:f>'Data'!E17</x:f>
        <x:v>42.5</x:v>
      </x:c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</x:row>
    <x:row r="21">
      <x:c r="A21" s="47"/>
      <x:c r="B21" s="47"/>
      <x:c r="C21" s="47"/>
      <x:c r="D21" s="47"/>
      <x:c r="E21" s="85" t="n">
        <x:f>'Data'!B18</x:f>
        <x:v>108.6</x:v>
      </x:c>
      <x:c r="F21" s="85" t="n">
        <x:f>'Data'!E18</x:f>
        <x:v>44.9</x:v>
      </x:c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</x:row>
    <x:row r="22">
      <x:c r="A22" s="47"/>
      <x:c r="B22" s="47"/>
      <x:c r="C22" s="47"/>
      <x:c r="D22" s="47"/>
      <x:c r="E22" s="85" t="n">
        <x:f>'Data'!B19</x:f>
        <x:v>144.2</x:v>
      </x:c>
      <x:c r="F22" s="85" t="n">
        <x:f>'Data'!E19</x:f>
        <x:v>61</x:v>
      </x:c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</x:row>
    <x:row r="23">
      <x:c r="A23" s="47"/>
      <x:c r="B23" s="47"/>
      <x:c r="C23" s="47"/>
      <x:c r="D23" s="47"/>
      <x:c r="E23" s="85" t="n">
        <x:f>'Data'!B20</x:f>
        <x:v>60.5</x:v>
      </x:c>
      <x:c r="F23" s="85" t="n">
        <x:f>'Data'!E20</x:f>
        <x:v>40.6</x:v>
      </x:c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</x:row>
    <x:row r="24">
      <x:c r="A24" s="47"/>
      <x:c r="B24" s="47"/>
      <x:c r="C24" s="47"/>
      <x:c r="D24" s="47"/>
      <x:c r="E24" s="85" t="n">
        <x:f>'Data'!B21</x:f>
        <x:v>138.4</x:v>
      </x:c>
      <x:c r="F24" s="85" t="n">
        <x:f>'Data'!E21</x:f>
        <x:v>58.9</x:v>
      </x:c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</x:row>
    <x:row r="25">
      <x:c r="A25" s="47"/>
      <x:c r="B25" s="47"/>
      <x:c r="C25" s="47"/>
      <x:c r="D25" s="47"/>
      <x:c r="E25" s="85" t="n">
        <x:f>'Data'!B22</x:f>
        <x:v>158.3</x:v>
      </x:c>
      <x:c r="F25" s="85" t="n">
        <x:f>'Data'!E22</x:f>
        <x:v>56.8</x:v>
      </x:c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</x:row>
    <x:row r="26">
      <x:c r="A26" s="47"/>
      <x:c r="B26" s="47"/>
      <x:c r="C26" s="47"/>
      <x:c r="D26" s="47"/>
      <x:c r="E26" s="85" t="n">
        <x:f>'Data'!B23</x:f>
        <x:v>144.5</x:v>
      </x:c>
      <x:c r="F26" s="85" t="n">
        <x:f>'Data'!E23</x:f>
        <x:v>54.5</x:v>
      </x:c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</x:row>
    <x:row r="27">
      <x:c r="A27" s="47"/>
      <x:c r="B27" s="47"/>
      <x:c r="C27" s="47"/>
      <x:c r="D27" s="47"/>
      <x:c r="E27" s="85" t="n">
        <x:f>'Data'!B24</x:f>
        <x:v>113.2</x:v>
      </x:c>
      <x:c r="F27" s="85" t="n">
        <x:f>'Data'!E24</x:f>
        <x:v>51.1</x:v>
      </x:c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</x:row>
    <x:row r="28">
      <x:c r="A28" s="47"/>
      <x:c r="B28" s="47"/>
      <x:c r="C28" s="47"/>
      <x:c r="D28" s="47"/>
      <x:c r="E28" s="85" t="n">
        <x:f>'Data'!B25</x:f>
        <x:v>116</x:v>
      </x:c>
      <x:c r="F28" s="85" t="n">
        <x:f>'Data'!E25</x:f>
        <x:v>52.1</x:v>
      </x:c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</x:row>
    <x:row r="29">
      <x:c r="A29" s="47"/>
      <x:c r="B29" s="47"/>
      <x:c r="C29" s="47"/>
      <x:c r="D29" s="47"/>
      <x:c r="E29" s="85" t="n">
        <x:f>'Data'!B26</x:f>
        <x:v>137.9</x:v>
      </x:c>
      <x:c r="F29" s="85" t="n">
        <x:f>'Data'!E26</x:f>
        <x:v>54.8</x:v>
      </x:c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</x:row>
    <x:row r="30">
      <x:c r="A30" s="47"/>
      <x:c r="B30" s="47"/>
      <x:c r="C30" s="47"/>
      <x:c r="D30" s="47"/>
      <x:c r="E30" s="85" t="n">
        <x:f>'Data'!B27</x:f>
        <x:v>90.7</x:v>
      </x:c>
      <x:c r="F30" s="85" t="n">
        <x:f>'Data'!E27</x:f>
        <x:v>47.3</x:v>
      </x:c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</x:row>
    <x:row r="31">
      <x:c r="A31" s="47"/>
      <x:c r="B31" s="47"/>
      <x:c r="C31" s="47"/>
      <x:c r="D31" s="47"/>
      <x:c r="E31" s="85" t="n">
        <x:f>'Data'!B28</x:f>
        <x:v>125.5</x:v>
      </x:c>
      <x:c r="F31" s="85" t="n">
        <x:f>'Data'!E28</x:f>
        <x:v>48.2</x:v>
      </x:c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</x:row>
    <x:row r="32">
      <x:c r="A32" s="47"/>
      <x:c r="B32" s="47"/>
      <x:c r="C32" s="47"/>
      <x:c r="D32" s="47"/>
      <x:c r="E32" s="85" t="n">
        <x:f>'Data'!B29</x:f>
        <x:v>112.1</x:v>
      </x:c>
      <x:c r="F32" s="85" t="n">
        <x:f>'Data'!E29</x:f>
        <x:v>52.3</x:v>
      </x:c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</x:row>
    <x:row r="33">
      <x:c r="A33" s="47"/>
      <x:c r="B33" s="47"/>
      <x:c r="C33" s="47"/>
      <x:c r="D33" s="47"/>
      <x:c r="E33" s="85" t="n">
        <x:f>'Data'!B30</x:f>
        <x:v>105</x:v>
      </x:c>
      <x:c r="F33" s="85" t="n">
        <x:f>'Data'!E30</x:f>
        <x:v>51.6</x:v>
      </x:c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</x:row>
    <x:row r="34">
      <x:c r="A34" s="47"/>
      <x:c r="B34" s="47"/>
      <x:c r="C34" s="47"/>
      <x:c r="D34" s="47"/>
      <x:c r="E34" s="85" t="n">
        <x:f>'Data'!B31</x:f>
        <x:v>132.2</x:v>
      </x:c>
      <x:c r="F34" s="85" t="n">
        <x:f>'Data'!E31</x:f>
        <x:v>49</x:v>
      </x:c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</x:row>
    <x:row r="35">
      <x:c r="A35" s="47"/>
      <x:c r="B35" s="47"/>
      <x:c r="C35" s="47"/>
      <x:c r="D35" s="47"/>
      <x:c r="E35" s="85" t="n">
        <x:f>'Data'!B32</x:f>
        <x:v>140.1</x:v>
      </x:c>
      <x:c r="F35" s="85" t="n">
        <x:f>'Data'!E32</x:f>
        <x:v>56.5</x:v>
      </x:c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</x:row>
    <x:row r="36">
      <x:c r="A36" s="47"/>
      <x:c r="B36" s="47"/>
      <x:c r="C36" s="47"/>
      <x:c r="D36" s="47"/>
      <x:c r="E36" s="85" t="n">
        <x:f>'Data'!B33</x:f>
        <x:v>134.7</x:v>
      </x:c>
      <x:c r="F36" s="85" t="n">
        <x:f>'Data'!E33</x:f>
        <x:v>56.6</x:v>
      </x:c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</x:row>
    <x:row r="37">
      <x:c r="A37" s="47"/>
      <x:c r="B37" s="47"/>
      <x:c r="C37" s="47"/>
      <x:c r="D37" s="47"/>
      <x:c r="E37" s="85" t="n">
        <x:f>'Data'!B34</x:f>
        <x:v>171.1</x:v>
      </x:c>
      <x:c r="F37" s="85" t="n">
        <x:f>'Data'!E34</x:f>
        <x:v>62.5</x:v>
      </x:c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</x:row>
    <x:row r="38">
      <x:c r="A38" s="47"/>
      <x:c r="B38" s="47"/>
      <x:c r="C38" s="47"/>
      <x:c r="D38" s="47"/>
      <x:c r="E38" s="85" t="n">
        <x:f>'Data'!B35</x:f>
        <x:v>108.1</x:v>
      </x:c>
      <x:c r="F38" s="85" t="n">
        <x:f>'Data'!E35</x:f>
        <x:v>47.9</x:v>
      </x:c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</x:row>
    <x:row r="39">
      <x:c r="A39" s="47"/>
      <x:c r="B39" s="47"/>
      <x:c r="C39" s="47"/>
      <x:c r="D39" s="47"/>
      <x:c r="E39" s="85" t="n">
        <x:f>'Data'!B36</x:f>
        <x:v>137.1</x:v>
      </x:c>
      <x:c r="F39" s="85" t="n">
        <x:f>'Data'!E36</x:f>
        <x:v>49.3</x:v>
      </x:c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</x:row>
    <x:row r="40">
      <x:c r="A40" s="47"/>
      <x:c r="B40" s="47"/>
      <x:c r="C40" s="47"/>
      <x:c r="D40" s="47"/>
      <x:c r="E40" s="85" t="n">
        <x:f>'Data'!B37</x:f>
        <x:v>135.6</x:v>
      </x:c>
      <x:c r="F40" s="85" t="n">
        <x:f>'Data'!E37</x:f>
        <x:v>51.8</x:v>
      </x:c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</x:row>
    <x:row r="41">
      <x:c r="A41" s="47"/>
      <x:c r="B41" s="47"/>
      <x:c r="C41" s="47"/>
      <x:c r="D41" s="47"/>
      <x:c r="E41" s="85" t="n">
        <x:f>'Data'!B38</x:f>
        <x:v>94</x:v>
      </x:c>
      <x:c r="F41" s="85" t="n">
        <x:f>'Data'!E38</x:f>
        <x:v>50.3</x:v>
      </x:c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</x:row>
    <x:row r="42">
      <x:c r="A42" s="47"/>
      <x:c r="B42" s="47"/>
      <x:c r="C42" s="47"/>
      <x:c r="D42" s="47"/>
      <x:c r="E42" s="85" t="n">
        <x:f>'Data'!B39</x:f>
        <x:v>130</x:v>
      </x:c>
      <x:c r="F42" s="85" t="n">
        <x:f>'Data'!E39</x:f>
        <x:v>52.1</x:v>
      </x:c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</x:row>
    <x:row r="43">
      <x:c r="A43" s="47"/>
      <x:c r="B43" s="47"/>
      <x:c r="C43" s="47"/>
      <x:c r="D43" s="47"/>
      <x:c r="E43" s="85" t="n">
        <x:f>'Data'!B40</x:f>
        <x:v>161.5</x:v>
      </x:c>
      <x:c r="F43" s="85" t="n">
        <x:f>'Data'!E40</x:f>
        <x:v>50.2</x:v>
      </x:c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</x:row>
    <x:row r="44">
      <x:c r="A44" s="47"/>
      <x:c r="B44" s="47"/>
      <x:c r="C44" s="47"/>
      <x:c r="D44" s="47"/>
      <x:c r="E44" s="85" t="n">
        <x:f>'Data'!B41</x:f>
        <x:v>88.2</x:v>
      </x:c>
      <x:c r="F44" s="85" t="n">
        <x:f>'Data'!E41</x:f>
        <x:v>50.3</x:v>
      </x:c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</x:row>
    <x:row r="45">
      <x:c r="A45" s="47"/>
      <x:c r="B45" s="47"/>
      <x:c r="C45" s="47"/>
      <x:c r="D45" s="47"/>
      <x:c r="E45" s="85" t="n">
        <x:f>'Data'!B42</x:f>
        <x:v>132.8</x:v>
      </x:c>
      <x:c r="F45" s="85" t="n">
        <x:f>'Data'!E42</x:f>
        <x:v>51.8</x:v>
      </x:c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</x:row>
    <x:row r="46">
      <x:c r="A46" s="47"/>
      <x:c r="B46" s="47"/>
      <x:c r="C46" s="47"/>
      <x:c r="D46" s="47"/>
      <x:c r="E46" s="85" t="n">
        <x:f>'Data'!B43</x:f>
        <x:v>129.9</x:v>
      </x:c>
      <x:c r="F46" s="85" t="n">
        <x:f>'Data'!E43</x:f>
        <x:v>58</x:v>
      </x:c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</x:row>
    <x:row r="47">
      <x:c r="A47" s="47"/>
      <x:c r="B47" s="47"/>
      <x:c r="C47" s="47"/>
      <x:c r="D47" s="47"/>
      <x:c r="E47" s="85" t="n">
        <x:f>'Data'!B44</x:f>
        <x:v>115.3</x:v>
      </x:c>
      <x:c r="F47" s="85" t="n">
        <x:f>'Data'!E44</x:f>
        <x:v>51.9</x:v>
      </x:c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</x:row>
    <x:row r="48">
      <x:c r="A48" s="47"/>
      <x:c r="B48" s="47"/>
      <x:c r="C48" s="47"/>
      <x:c r="D48" s="47"/>
      <x:c r="E48" s="85" t="n">
        <x:f>'Data'!B45</x:f>
        <x:v>128.3</x:v>
      </x:c>
      <x:c r="F48" s="85" t="n">
        <x:f>'Data'!E45</x:f>
        <x:v>55.3</x:v>
      </x:c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</x:row>
    <x:row r="49">
      <x:c r="A49" s="47"/>
      <x:c r="B49" s="47"/>
      <x:c r="C49" s="47"/>
      <x:c r="D49" s="47"/>
      <x:c r="E49" s="85" t="n">
        <x:f>'Data'!B46</x:f>
        <x:v>141.8</x:v>
      </x:c>
      <x:c r="F49" s="85" t="n">
        <x:f>'Data'!E46</x:f>
        <x:v>62.8</x:v>
      </x:c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</x:row>
    <x:row r="50">
      <x:c r="A50" s="47"/>
      <x:c r="B50" s="47"/>
      <x:c r="C50" s="47"/>
      <x:c r="D50" s="47"/>
      <x:c r="E50" s="85" t="n">
        <x:f>'Data'!B47</x:f>
        <x:v>109.1</x:v>
      </x:c>
      <x:c r="F50" s="85" t="n">
        <x:f>'Data'!E47</x:f>
        <x:v>45.3</x:v>
      </x:c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</x:row>
    <x:row r="51">
      <x:c r="A51" s="47"/>
      <x:c r="B51" s="47"/>
      <x:c r="C51" s="47"/>
      <x:c r="D51" s="47"/>
      <x:c r="E51" s="85" t="n">
        <x:f>'Data'!B48</x:f>
        <x:v>63.4</x:v>
      </x:c>
      <x:c r="F51" s="85" t="n">
        <x:f>'Data'!E48</x:f>
        <x:v>39.7</x:v>
      </x:c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</x:row>
    <x:row r="52">
      <x:c r="A52" s="47"/>
      <x:c r="B52" s="47"/>
      <x:c r="C52" s="47"/>
      <x:c r="D52" s="47"/>
      <x:c r="E52" s="85" t="n">
        <x:f>'Data'!B49</x:f>
        <x:v>125.9</x:v>
      </x:c>
      <x:c r="F52" s="85" t="n">
        <x:f>'Data'!E49</x:f>
        <x:v>55.6</x:v>
      </x:c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</x:row>
    <x:row r="53">
      <x:c r="A53" s="47"/>
      <x:c r="B53" s="47"/>
      <x:c r="C53" s="47"/>
      <x:c r="D53" s="47"/>
      <x:c r="E53" s="85" t="n">
        <x:f>'Data'!B50</x:f>
        <x:v>104.1</x:v>
      </x:c>
      <x:c r="F53" s="85" t="n">
        <x:f>'Data'!E50</x:f>
        <x:v>44.9</x:v>
      </x:c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</x:row>
    <x:row r="54">
      <x:c r="A54" s="47"/>
      <x:c r="B54" s="47"/>
      <x:c r="C54" s="47"/>
      <x:c r="D54" s="47"/>
      <x:c r="E54" s="85" t="n">
        <x:f>'Data'!B51</x:f>
        <x:v>139.3</x:v>
      </x:c>
      <x:c r="F54" s="85" t="n">
        <x:f>'Data'!E51</x:f>
        <x:v>53.4</x:v>
      </x:c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</x:row>
    <x:row r="55">
      <x:c r="A55" s="47"/>
      <x:c r="B55" s="47"/>
      <x:c r="C55" s="47"/>
      <x:c r="D55" s="47"/>
      <x:c r="E55" s="85" t="n">
        <x:f>'Data'!B52</x:f>
        <x:v>139.1</x:v>
      </x:c>
      <x:c r="F55" s="85" t="n">
        <x:f>'Data'!E52</x:f>
        <x:v>57.2</x:v>
      </x:c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</x:row>
    <x:row r="56">
      <x:c r="A56" s="47"/>
      <x:c r="B56" s="47"/>
      <x:c r="C56" s="47"/>
      <x:c r="D56" s="47"/>
      <x:c r="E56" s="85" t="n">
        <x:f>'Data'!B53</x:f>
        <x:v>145.2</x:v>
      </x:c>
      <x:c r="F56" s="85" t="n">
        <x:f>'Data'!E53</x:f>
        <x:v>59.5</x:v>
      </x:c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</x:row>
    <x:row r="57">
      <x:c r="A57" s="47"/>
      <x:c r="B57" s="47"/>
      <x:c r="C57" s="47"/>
      <x:c r="D57" s="47"/>
      <x:c r="E57" s="85" t="n">
        <x:f>'Data'!B54</x:f>
        <x:v>133.8</x:v>
      </x:c>
      <x:c r="F57" s="85" t="n">
        <x:f>'Data'!E54</x:f>
        <x:v>51.8</x:v>
      </x:c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</x:row>
    <x:row r="58">
      <x:c r="A58" s="47"/>
      <x:c r="B58" s="47"/>
      <x:c r="C58" s="47"/>
      <x:c r="D58" s="47"/>
      <x:c r="E58" s="85" t="n">
        <x:f>'Data'!B55</x:f>
        <x:v>109.5</x:v>
      </x:c>
      <x:c r="F58" s="85" t="n">
        <x:f>'Data'!E55</x:f>
        <x:v>50</x:v>
      </x:c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</x:row>
    <x:row r="59">
      <x:c r="A59" s="47"/>
      <x:c r="B59" s="47"/>
      <x:c r="C59" s="47"/>
      <x:c r="D59" s="47"/>
      <x:c r="E59" s="85" t="n">
        <x:f>'Data'!B56</x:f>
        <x:v>105.2</x:v>
      </x:c>
      <x:c r="F59" s="85" t="n">
        <x:f>'Data'!E56</x:f>
        <x:v>52</x:v>
      </x:c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</x:row>
    <x:row r="60">
      <x:c r="A60" s="47"/>
      <x:c r="B60" s="47"/>
      <x:c r="C60" s="47"/>
      <x:c r="D60" s="47"/>
      <x:c r="E60" s="85" t="n">
        <x:f>'Data'!B57</x:f>
        <x:v>123</x:v>
      </x:c>
      <x:c r="F60" s="85" t="n">
        <x:f>'Data'!E57</x:f>
        <x:v>49.3</x:v>
      </x:c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</x:row>
    <x:row r="61">
      <x:c r="A61" s="47"/>
      <x:c r="B61" s="47"/>
      <x:c r="C61" s="47"/>
      <x:c r="D61" s="47"/>
      <x:c r="E61" s="85" t="n">
        <x:f>'Data'!B58</x:f>
        <x:v>116.3</x:v>
      </x:c>
      <x:c r="F61" s="85" t="n">
        <x:f>'Data'!E58</x:f>
        <x:v>51.6</x:v>
      </x:c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</x:row>
    <x:row r="62">
      <x:c r="A62" s="47"/>
      <x:c r="B62" s="47"/>
      <x:c r="C62" s="47"/>
      <x:c r="D62" s="47"/>
      <x:c r="E62" s="85" t="n">
        <x:f>'Data'!B59</x:f>
        <x:v>143.4</x:v>
      </x:c>
      <x:c r="F62" s="85" t="n">
        <x:f>'Data'!E59</x:f>
        <x:v>51.5</x:v>
      </x:c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</x:row>
    <x:row r="63">
      <x:c r="A63" s="47"/>
      <x:c r="B63" s="47"/>
      <x:c r="C63" s="47"/>
      <x:c r="D63" s="47"/>
      <x:c r="E63" s="85" t="n">
        <x:f>'Data'!B60</x:f>
        <x:v>142.4</x:v>
      </x:c>
      <x:c r="F63" s="85" t="n">
        <x:f>'Data'!E60</x:f>
        <x:v>58.4</x:v>
      </x:c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</x:row>
    <x:row r="64">
      <x:c r="A64" s="47"/>
      <x:c r="B64" s="47"/>
      <x:c r="C64" s="47"/>
      <x:c r="D64" s="47"/>
      <x:c r="E64" s="85" t="n">
        <x:f>'Data'!B61</x:f>
        <x:v>119.5</x:v>
      </x:c>
      <x:c r="F64" s="85" t="n">
        <x:f>'Data'!E61</x:f>
        <x:v>56.5</x:v>
      </x:c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</x:row>
    <x:row r="65">
      <x:c r="A65" s="47"/>
      <x:c r="B65" s="47"/>
      <x:c r="C65" s="47"/>
      <x:c r="D65" s="47"/>
      <x:c r="E65" s="85" t="n">
        <x:f>'Data'!B62</x:f>
        <x:v>128.1</x:v>
      </x:c>
      <x:c r="F65" s="85" t="n">
        <x:f>'Data'!E62</x:f>
        <x:v>51.6</x:v>
      </x:c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</x:row>
    <x:row r="66">
      <x:c r="A66" s="47"/>
      <x:c r="B66" s="47"/>
      <x:c r="C66" s="47"/>
      <x:c r="D66" s="47"/>
      <x:c r="E66" s="85" t="n">
        <x:f>'Data'!B63</x:f>
        <x:v>124.3</x:v>
      </x:c>
      <x:c r="F66" s="85" t="n">
        <x:f>'Data'!E63</x:f>
        <x:v>58.1</x:v>
      </x:c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</x:row>
    <x:row r="67">
      <x:c r="A67" s="47"/>
      <x:c r="B67" s="47"/>
      <x:c r="C67" s="47"/>
      <x:c r="D67" s="47"/>
      <x:c r="E67" s="85" t="n">
        <x:f>'Data'!B64</x:f>
        <x:v>141.1</x:v>
      </x:c>
      <x:c r="F67" s="85" t="n">
        <x:f>'Data'!E64</x:f>
        <x:v>53.3</x:v>
      </x:c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</x:row>
    <x:row r="68">
      <x:c r="A68" s="47"/>
      <x:c r="B68" s="47"/>
      <x:c r="C68" s="47"/>
      <x:c r="D68" s="47"/>
      <x:c r="E68" s="85" t="n">
        <x:f>'Data'!B65</x:f>
        <x:v>186</x:v>
      </x:c>
      <x:c r="F68" s="85" t="n">
        <x:f>'Data'!E65</x:f>
        <x:v>62.9</x:v>
      </x:c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</x:row>
    <x:row r="69">
      <x:c r="A69" s="47"/>
      <x:c r="B69" s="47"/>
      <x:c r="C69" s="47"/>
      <x:c r="D69" s="47"/>
      <x:c r="E69" s="85" t="n">
        <x:f>'Data'!B66</x:f>
        <x:v>94.3</x:v>
      </x:c>
      <x:c r="F69" s="85" t="n">
        <x:f>'Data'!E66</x:f>
        <x:v>47.2</x:v>
      </x:c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</x:row>
    <x:row r="70">
      <x:c r="A70" s="47"/>
      <x:c r="B70" s="47"/>
      <x:c r="C70" s="47"/>
      <x:c r="D70" s="47"/>
      <x:c r="E70" s="85" t="n">
        <x:f>'Data'!B67</x:f>
        <x:v>102.9</x:v>
      </x:c>
      <x:c r="F70" s="85" t="n">
        <x:f>'Data'!E67</x:f>
        <x:v>45.6</x:v>
      </x:c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</x:row>
    <x:row r="71">
      <x:c r="A71" s="47"/>
      <x:c r="B71" s="47"/>
      <x:c r="C71" s="47"/>
      <x:c r="D71" s="47"/>
      <x:c r="E71" s="85" t="n">
        <x:f>'Data'!B68</x:f>
        <x:v>186.9</x:v>
      </x:c>
      <x:c r="F71" s="85" t="n">
        <x:f>'Data'!E68</x:f>
        <x:v>59.2</x:v>
      </x:c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</x:row>
    <x:row r="72">
      <x:c r="A72" s="47"/>
      <x:c r="B72" s="47"/>
      <x:c r="C72" s="47"/>
      <x:c r="D72" s="47"/>
      <x:c r="E72" s="85" t="n">
        <x:f>'Data'!B69</x:f>
        <x:v>120.3</x:v>
      </x:c>
      <x:c r="F72" s="85" t="n">
        <x:f>'Data'!E69</x:f>
        <x:v>56.3</x:v>
      </x:c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</x:row>
    <x:row r="73">
      <x:c r="A73" s="47"/>
      <x:c r="B73" s="47"/>
      <x:c r="C73" s="47"/>
      <x:c r="D73" s="47"/>
      <x:c r="E73" s="85" t="n">
        <x:f>'Data'!B70</x:f>
        <x:v>128.8</x:v>
      </x:c>
      <x:c r="F73" s="85" t="n">
        <x:f>'Data'!E70</x:f>
        <x:v>51.5</x:v>
      </x:c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</x:row>
    <x:row r="74">
      <x:c r="A74" s="47"/>
      <x:c r="B74" s="47"/>
      <x:c r="C74" s="47"/>
      <x:c r="D74" s="47"/>
      <x:c r="E74" s="85" t="n">
        <x:f>'Data'!B71</x:f>
        <x:v>158.2</x:v>
      </x:c>
      <x:c r="F74" s="85" t="n">
        <x:f>'Data'!E71</x:f>
        <x:v>63.2</x:v>
      </x:c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</x:row>
    <x:row r="75">
      <x:c r="A75" s="47"/>
      <x:c r="B75" s="47"/>
      <x:c r="C75" s="47"/>
      <x:c r="D75" s="47"/>
      <x:c r="E75" s="85" t="n">
        <x:f>'Data'!B72</x:f>
        <x:v>114.6</x:v>
      </x:c>
      <x:c r="F75" s="85" t="n">
        <x:f>'Data'!E72</x:f>
        <x:v>51.3</x:v>
      </x:c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</x:row>
    <x:row r="76">
      <x:c r="A76" s="47"/>
      <x:c r="B76" s="47"/>
      <x:c r="C76" s="47"/>
      <x:c r="D76" s="47"/>
      <x:c r="E76" s="85" t="n">
        <x:f>'Data'!B73</x:f>
        <x:v>141</x:v>
      </x:c>
      <x:c r="F76" s="85" t="n">
        <x:f>'Data'!E73</x:f>
        <x:v>54.3</x:v>
      </x:c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</x:row>
    <x:row r="77">
      <x:c r="A77" s="47"/>
      <x:c r="B77" s="47"/>
      <x:c r="C77" s="47"/>
      <x:c r="D77" s="47"/>
      <x:c r="E77" s="85" t="n">
        <x:f>'Data'!B74</x:f>
        <x:v>110.8</x:v>
      </x:c>
      <x:c r="F77" s="85" t="n">
        <x:f>'Data'!E74</x:f>
        <x:v>50.9</x:v>
      </x:c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</x:row>
    <x:row r="78">
      <x:c r="A78" s="47"/>
      <x:c r="B78" s="47"/>
      <x:c r="C78" s="47"/>
      <x:c r="D78" s="47"/>
      <x:c r="E78" s="85" t="n">
        <x:f>'Data'!B75</x:f>
        <x:v>120.9</x:v>
      </x:c>
      <x:c r="F78" s="85" t="n">
        <x:f>'Data'!E75</x:f>
        <x:v>50.2</x:v>
      </x:c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</x:row>
    <x:row r="79">
      <x:c r="A79" s="47"/>
      <x:c r="B79" s="47"/>
      <x:c r="C79" s="47"/>
      <x:c r="D79" s="47"/>
      <x:c r="E79" s="85" t="n">
        <x:f>'Data'!B76</x:f>
        <x:v>97.6</x:v>
      </x:c>
      <x:c r="F79" s="85" t="n">
        <x:f>'Data'!E76</x:f>
        <x:v>48.4</x:v>
      </x:c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</x:row>
    <x:row r="80">
      <x:c r="A80" s="47"/>
      <x:c r="B80" s="47"/>
      <x:c r="C80" s="47"/>
      <x:c r="D80" s="47"/>
      <x:c r="E80" s="85" t="n">
        <x:f>'Data'!B77</x:f>
        <x:v>153.1</x:v>
      </x:c>
      <x:c r="F80" s="85" t="n">
        <x:f>'Data'!E77</x:f>
        <x:v>59.2</x:v>
      </x:c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</x:row>
    <x:row r="81">
      <x:c r="A81" s="47"/>
      <x:c r="B81" s="47"/>
      <x:c r="C81" s="47"/>
      <x:c r="D81" s="47"/>
      <x:c r="E81" s="85" t="n">
        <x:f>'Data'!B78</x:f>
        <x:v>126.5</x:v>
      </x:c>
      <x:c r="F81" s="85" t="n">
        <x:f>'Data'!E78</x:f>
        <x:v>52</x:v>
      </x:c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</x:row>
    <x:row r="82">
      <x:c r="A82" s="47"/>
      <x:c r="B82" s="47"/>
      <x:c r="C82" s="47"/>
      <x:c r="D82" s="47"/>
      <x:c r="E82" s="85" t="n">
        <x:f>'Data'!B79</x:f>
        <x:v>160.2</x:v>
      </x:c>
      <x:c r="F82" s="85" t="n">
        <x:f>'Data'!E79</x:f>
        <x:v>59</x:v>
      </x:c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</x:row>
    <x:row r="83">
      <x:c r="A83" s="47"/>
      <x:c r="B83" s="47"/>
      <x:c r="C83" s="47"/>
      <x:c r="D83" s="47"/>
      <x:c r="E83" s="85" t="n">
        <x:f>'Data'!B80</x:f>
        <x:v>179.1</x:v>
      </x:c>
      <x:c r="F83" s="85" t="n">
        <x:f>'Data'!E80</x:f>
        <x:v>63.2</x:v>
      </x:c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</x:row>
    <x:row r="84">
      <x:c r="A84" s="47"/>
      <x:c r="B84" s="47"/>
      <x:c r="C84" s="47"/>
      <x:c r="D84" s="47"/>
      <x:c r="E84" s="85" t="n">
        <x:f>'Data'!B81</x:f>
        <x:v>116.7</x:v>
      </x:c>
      <x:c r="F84" s="85" t="n">
        <x:f>'Data'!E81</x:f>
        <x:v>54.2</x:v>
      </x:c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</x:row>
    <x:row r="85">
      <x:c r="A85" s="47"/>
      <x:c r="B85" s="47"/>
      <x:c r="C85" s="47"/>
      <x:c r="D85" s="47"/>
      <x:c r="E85" s="85" t="n">
        <x:f>'Data'!B82</x:f>
        <x:v>132.2</x:v>
      </x:c>
      <x:c r="F85" s="85" t="n">
        <x:f>'Data'!E82</x:f>
        <x:v>59.3</x:v>
      </x:c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</x:row>
    <x:row r="86">
      <x:c r="A86" s="47"/>
      <x:c r="B86" s="47"/>
      <x:c r="C86" s="47"/>
      <x:c r="D86" s="47"/>
      <x:c r="E86" s="85" t="n">
        <x:f>'Data'!B83</x:f>
        <x:v>111</x:v>
      </x:c>
      <x:c r="F86" s="85" t="n">
        <x:f>'Data'!E83</x:f>
        <x:v>53.1</x:v>
      </x:c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</x:row>
    <x:row r="87">
      <x:c r="A87" s="47"/>
      <x:c r="B87" s="47"/>
      <x:c r="C87" s="47"/>
      <x:c r="D87" s="47"/>
      <x:c r="E87" s="85" t="n">
        <x:f>'Data'!B84</x:f>
        <x:v>116.3</x:v>
      </x:c>
      <x:c r="F87" s="85" t="n">
        <x:f>'Data'!E84</x:f>
        <x:v>49.6</x:v>
      </x:c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</x:row>
    <x:row r="88">
      <x:c r="A88" s="47"/>
      <x:c r="B88" s="47"/>
      <x:c r="C88" s="47"/>
      <x:c r="D88" s="47"/>
      <x:c r="E88" s="85" t="n">
        <x:f>'Data'!B85</x:f>
        <x:v>120.8</x:v>
      </x:c>
      <x:c r="F88" s="85" t="n">
        <x:f>'Data'!E85</x:f>
        <x:v>53.3</x:v>
      </x:c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</x:row>
    <x:row r="89">
      <x:c r="A89" s="47"/>
      <x:c r="B89" s="47"/>
      <x:c r="C89" s="47"/>
      <x:c r="D89" s="47"/>
      <x:c r="E89" s="85" t="n">
        <x:f>'Data'!B86</x:f>
        <x:v>126.1</x:v>
      </x:c>
      <x:c r="F89" s="85" t="n">
        <x:f>'Data'!E86</x:f>
        <x:v>58.4</x:v>
      </x:c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</x:row>
    <x:row r="90">
      <x:c r="A90" s="47"/>
      <x:c r="B90" s="47"/>
      <x:c r="C90" s="47"/>
      <x:c r="D90" s="47"/>
      <x:c r="E90" s="85" t="n">
        <x:f>'Data'!B87</x:f>
        <x:v>141.8</x:v>
      </x:c>
      <x:c r="F90" s="85" t="n">
        <x:f>'Data'!E87</x:f>
        <x:v>57.4</x:v>
      </x:c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</x:row>
    <x:row r="91">
      <x:c r="A91" s="47"/>
      <x:c r="B91" s="47"/>
      <x:c r="C91" s="47"/>
      <x:c r="D91" s="47"/>
      <x:c r="E91" s="85" t="n">
        <x:f>'Data'!B88</x:f>
        <x:v>137.9</x:v>
      </x:c>
      <x:c r="F91" s="85" t="n">
        <x:f>'Data'!E88</x:f>
        <x:v>52.8</x:v>
      </x:c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</x:row>
    <x:row r="92">
      <x:c r="A92" s="47"/>
      <x:c r="B92" s="47"/>
      <x:c r="C92" s="47"/>
      <x:c r="D92" s="47"/>
      <x:c r="E92" s="85" t="n">
        <x:f>'Data'!B89</x:f>
        <x:v>105.8</x:v>
      </x:c>
      <x:c r="F92" s="85" t="n">
        <x:f>'Data'!E89</x:f>
        <x:v>46.6</x:v>
      </x:c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</x:row>
    <x:row r="93">
      <x:c r="A93" s="47"/>
      <x:c r="B93" s="47"/>
      <x:c r="C93" s="47"/>
      <x:c r="D93" s="47"/>
      <x:c r="E93" s="85" t="n">
        <x:f>'Data'!B90</x:f>
        <x:v>114.4</x:v>
      </x:c>
      <x:c r="F93" s="85" t="n">
        <x:f>'Data'!E90</x:f>
        <x:v>42.4</x:v>
      </x:c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</x:row>
    <x:row r="94">
      <x:c r="A94" s="47"/>
      <x:c r="B94" s="47"/>
      <x:c r="C94" s="47"/>
      <x:c r="D94" s="47"/>
      <x:c r="E94" s="85" t="n">
        <x:f>'Data'!B91</x:f>
        <x:v>115.2</x:v>
      </x:c>
      <x:c r="F94" s="85" t="n">
        <x:f>'Data'!E91</x:f>
        <x:v>51.3</x:v>
      </x:c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</x:row>
    <x:row r="95">
      <x:c r="A95" s="47"/>
      <x:c r="B95" s="47"/>
      <x:c r="C95" s="47"/>
      <x:c r="D95" s="47"/>
      <x:c r="E95" s="85" t="n">
        <x:f>'Data'!B92</x:f>
        <x:v>111.6</x:v>
      </x:c>
      <x:c r="F95" s="85" t="n">
        <x:f>'Data'!E92</x:f>
        <x:v>56.6</x:v>
      </x:c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</x:row>
    <x:row r="96">
      <x:c r="A96" s="47"/>
      <x:c r="B96" s="47"/>
      <x:c r="C96" s="47"/>
      <x:c r="D96" s="47"/>
      <x:c r="E96" s="85" t="n">
        <x:f>'Data'!B93</x:f>
        <x:v>98</x:v>
      </x:c>
      <x:c r="F96" s="85" t="n">
        <x:f>'Data'!E93</x:f>
        <x:v>42.2</x:v>
      </x:c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</x:row>
    <x:row r="97">
      <x:c r="A97" s="47"/>
      <x:c r="B97" s="47"/>
      <x:c r="C97" s="47"/>
      <x:c r="D97" s="47"/>
      <x:c r="E97" s="85" t="n">
        <x:f>'Data'!B94</x:f>
        <x:v>149.2</x:v>
      </x:c>
      <x:c r="F97" s="85" t="n">
        <x:f>'Data'!E94</x:f>
        <x:v>60</x:v>
      </x:c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</x:row>
    <x:row r="98">
      <x:c r="A98" s="47"/>
      <x:c r="B98" s="47"/>
      <x:c r="C98" s="47"/>
      <x:c r="D98" s="47"/>
      <x:c r="E98" s="85" t="n">
        <x:f>'Data'!B95</x:f>
        <x:v>107.4</x:v>
      </x:c>
      <x:c r="F98" s="85" t="n">
        <x:f>'Data'!E95</x:f>
        <x:v>54.6</x:v>
      </x:c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</x:row>
    <x:row r="99">
      <x:c r="A99" s="47"/>
      <x:c r="B99" s="47"/>
      <x:c r="C99" s="47"/>
      <x:c r="D99" s="47"/>
      <x:c r="E99" s="85" t="n">
        <x:f>'Data'!B96</x:f>
        <x:v>116.9</x:v>
      </x:c>
      <x:c r="F99" s="85" t="n">
        <x:f>'Data'!E96</x:f>
        <x:v>49.3</x:v>
      </x:c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</x:row>
    <x:row r="100">
      <x:c r="A100" s="47"/>
      <x:c r="B100" s="47"/>
      <x:c r="C100" s="47"/>
      <x:c r="D100" s="47"/>
      <x:c r="E100" s="85" t="n">
        <x:f>'Data'!B97</x:f>
        <x:v>146.6</x:v>
      </x:c>
      <x:c r="F100" s="85" t="n">
        <x:f>'Data'!E97</x:f>
        <x:v>66</x:v>
      </x:c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</x:row>
    <x:row r="101">
      <x:c r="A101" s="47"/>
      <x:c r="B101" s="47"/>
      <x:c r="C101" s="47"/>
      <x:c r="D101" s="47"/>
      <x:c r="E101" s="85" t="n">
        <x:f>'Data'!B98</x:f>
        <x:v>121.6</x:v>
      </x:c>
      <x:c r="F101" s="85" t="n">
        <x:f>'Data'!E98</x:f>
        <x:v>46.8</x:v>
      </x:c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</x:row>
    <x:row r="102">
      <x:c r="A102" s="47"/>
      <x:c r="B102" s="47"/>
      <x:c r="C102" s="47"/>
      <x:c r="D102" s="47"/>
      <x:c r="E102" s="85" t="n">
        <x:f>'Data'!B99</x:f>
        <x:v>163.4</x:v>
      </x:c>
      <x:c r="F102" s="85" t="n">
        <x:f>'Data'!E99</x:f>
        <x:v>63.6</x:v>
      </x:c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</x:row>
    <x:row r="103">
      <x:c r="A103" s="47"/>
      <x:c r="B103" s="47"/>
      <x:c r="C103" s="47"/>
      <x:c r="D103" s="47"/>
      <x:c r="E103" s="85" t="n">
        <x:f>'Data'!B100</x:f>
        <x:v>106.2</x:v>
      </x:c>
      <x:c r="F103" s="85" t="n">
        <x:f>'Data'!E100</x:f>
        <x:v>48.4</x:v>
      </x:c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</x:row>
    <x:row r="104">
      <x:c r="A104" s="47"/>
      <x:c r="B104" s="47"/>
      <x:c r="C104" s="47"/>
      <x:c r="D104" s="47"/>
      <x:c r="E104" s="85" t="n">
        <x:f>'Data'!B101</x:f>
        <x:v>142.7</x:v>
      </x:c>
      <x:c r="F104" s="85" t="n">
        <x:f>'Data'!E101</x:f>
        <x:v>57.9</x:v>
      </x:c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</x:row>
    <x:row r="105">
      <x:c r="A105" s="47"/>
      <x:c r="B105" s="47"/>
      <x:c r="C105" s="47"/>
      <x:c r="D105" s="47"/>
      <x:c r="E105" s="85" t="n">
        <x:f>'Data'!B102</x:f>
        <x:v>131</x:v>
      </x:c>
      <x:c r="F105" s="85" t="n">
        <x:f>'Data'!E102</x:f>
        <x:v>56.4</x:v>
      </x:c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</x:row>
    <x:row r="106">
      <x:c r="A106" s="47"/>
      <x:c r="B106" s="47"/>
      <x:c r="C106" s="47"/>
      <x:c r="D106" s="47"/>
      <x:c r="E106" s="85" t="n">
        <x:f>'Data'!B103</x:f>
        <x:v>151.4</x:v>
      </x:c>
      <x:c r="F106" s="85" t="n">
        <x:f>'Data'!E103</x:f>
        <x:v>54.9</x:v>
      </x:c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</x:row>
    <x:row r="107">
      <x:c r="A107" s="47"/>
      <x:c r="B107" s="47"/>
      <x:c r="C107" s="47"/>
      <x:c r="D107" s="47"/>
      <x:c r="E107" s="85" t="n">
        <x:f>'Data'!B104</x:f>
        <x:v>163.4</x:v>
      </x:c>
      <x:c r="F107" s="85" t="n">
        <x:f>'Data'!E104</x:f>
        <x:v>58.9</x:v>
      </x:c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</x:row>
    <x:row r="108">
      <x:c r="A108" s="47"/>
      <x:c r="B108" s="47"/>
      <x:c r="C108" s="47"/>
      <x:c r="D108" s="47"/>
      <x:c r="E108" s="85" t="n">
        <x:f>'Data'!B105</x:f>
        <x:v>72.3</x:v>
      </x:c>
      <x:c r="F108" s="85" t="n">
        <x:f>'Data'!E105</x:f>
        <x:v>39.3</x:v>
      </x:c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</x:row>
    <x:row r="109">
      <x:c r="A109" s="47"/>
      <x:c r="B109" s="47"/>
      <x:c r="C109" s="47"/>
      <x:c r="D109" s="47"/>
      <x:c r="E109" s="85" t="n">
        <x:f>'Data'!B106</x:f>
        <x:v>85.4</x:v>
      </x:c>
      <x:c r="F109" s="85" t="n">
        <x:f>'Data'!E106</x:f>
        <x:v>49</x:v>
      </x:c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</x:row>
    <x:row r="110">
      <x:c r="A110" s="47"/>
      <x:c r="B110" s="47"/>
      <x:c r="C110" s="47"/>
      <x:c r="D110" s="47"/>
      <x:c r="E110" s="85" t="n">
        <x:f>'Data'!B107</x:f>
        <x:v>129.6</x:v>
      </x:c>
      <x:c r="F110" s="85" t="n">
        <x:f>'Data'!E107</x:f>
        <x:v>53.3</x:v>
      </x:c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</x:row>
    <x:row r="111">
      <x:c r="A111" s="47"/>
      <x:c r="B111" s="47"/>
      <x:c r="C111" s="47"/>
      <x:c r="D111" s="47"/>
      <x:c r="E111" s="85" t="n">
        <x:f>'Data'!B108</x:f>
        <x:v>139.1</x:v>
      </x:c>
      <x:c r="F111" s="85" t="n">
        <x:f>'Data'!E108</x:f>
        <x:v>57.7</x:v>
      </x:c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</x:row>
    <x:row r="112">
      <x:c r="A112" s="47"/>
      <x:c r="B112" s="47"/>
      <x:c r="C112" s="47"/>
      <x:c r="D112" s="47"/>
      <x:c r="E112" s="85" t="n">
        <x:f>'Data'!B109</x:f>
        <x:v>133.3</x:v>
      </x:c>
      <x:c r="F112" s="85" t="n">
        <x:f>'Data'!E109</x:f>
        <x:v>45.6</x:v>
      </x:c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</x:row>
    <x:row r="113">
      <x:c r="A113" s="47"/>
      <x:c r="B113" s="47"/>
      <x:c r="C113" s="47"/>
      <x:c r="D113" s="47"/>
      <x:c r="E113" s="85" t="n">
        <x:f>'Data'!B110</x:f>
        <x:v>106.5</x:v>
      </x:c>
      <x:c r="F113" s="85" t="n">
        <x:f>'Data'!E110</x:f>
        <x:v>49.3</x:v>
      </x:c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</x:row>
    <x:row r="114">
      <x:c r="A114" s="47"/>
      <x:c r="B114" s="47"/>
      <x:c r="C114" s="47"/>
      <x:c r="D114" s="47"/>
      <x:c r="E114" s="85" t="n">
        <x:f>'Data'!B111</x:f>
        <x:v>146.8</x:v>
      </x:c>
      <x:c r="F114" s="85" t="n">
        <x:f>'Data'!E111</x:f>
        <x:v>58.4</x:v>
      </x:c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</x:row>
    <x:row r="115">
      <x:c r="A115" s="47"/>
      <x:c r="B115" s="47"/>
      <x:c r="C115" s="47"/>
      <x:c r="D115" s="47"/>
      <x:c r="E115" s="85" t="n">
        <x:f>'Data'!B112</x:f>
        <x:v>120</x:v>
      </x:c>
      <x:c r="F115" s="85" t="n">
        <x:f>'Data'!E112</x:f>
        <x:v>57.8</x:v>
      </x:c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</x:row>
    <x:row r="116">
      <x:c r="A116" s="47"/>
      <x:c r="B116" s="47"/>
      <x:c r="C116" s="47"/>
      <x:c r="D116" s="47"/>
      <x:c r="E116" s="85" t="n">
        <x:f>'Data'!B113</x:f>
        <x:v>151</x:v>
      </x:c>
      <x:c r="F116" s="85" t="n">
        <x:f>'Data'!E113</x:f>
        <x:v>70.4</x:v>
      </x:c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</x:row>
    <x:row r="117">
      <x:c r="A117" s="47"/>
      <x:c r="B117" s="47"/>
      <x:c r="C117" s="47"/>
      <x:c r="D117" s="47"/>
      <x:c r="E117" s="85" t="n">
        <x:f>'Data'!B114</x:f>
        <x:v>82.1</x:v>
      </x:c>
      <x:c r="F117" s="85" t="n">
        <x:f>'Data'!E114</x:f>
        <x:v>50.3</x:v>
      </x:c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</x:row>
    <x:row r="118">
      <x:c r="A118" s="47"/>
      <x:c r="B118" s="47"/>
      <x:c r="C118" s="47"/>
      <x:c r="D118" s="47"/>
      <x:c r="E118" s="85" t="n">
        <x:f>'Data'!B115</x:f>
        <x:v>115.1</x:v>
      </x:c>
      <x:c r="F118" s="85" t="n">
        <x:f>'Data'!E115</x:f>
        <x:v>52.3</x:v>
      </x:c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</x:row>
    <x:row r="119">
      <x:c r="A119" s="47"/>
      <x:c r="B119" s="47"/>
      <x:c r="C119" s="47"/>
      <x:c r="D119" s="47"/>
      <x:c r="E119" s="85" t="n">
        <x:f>'Data'!B116</x:f>
        <x:v>58.3</x:v>
      </x:c>
      <x:c r="F119" s="85" t="n">
        <x:f>'Data'!E116</x:f>
        <x:v>46.8</x:v>
      </x:c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</x:row>
    <x:row r="120">
      <x:c r="A120" s="47"/>
      <x:c r="B120" s="47"/>
      <x:c r="C120" s="47"/>
      <x:c r="D120" s="47"/>
      <x:c r="E120" s="85" t="n">
        <x:f>'Data'!B117</x:f>
        <x:v>121.4</x:v>
      </x:c>
      <x:c r="F120" s="85" t="n">
        <x:f>'Data'!E117</x:f>
        <x:v>51.6</x:v>
      </x:c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</x:row>
    <x:row r="121">
      <x:c r="A121" s="47"/>
      <x:c r="B121" s="47"/>
      <x:c r="C121" s="47"/>
      <x:c r="D121" s="47"/>
      <x:c r="E121" s="85" t="n">
        <x:f>'Data'!B118</x:f>
        <x:v>85.9</x:v>
      </x:c>
      <x:c r="F121" s="85" t="n">
        <x:f>'Data'!E118</x:f>
        <x:v>45</x:v>
      </x:c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</x:row>
    <x:row r="122">
      <x:c r="A122" s="47"/>
      <x:c r="B122" s="47"/>
      <x:c r="C122" s="47"/>
      <x:c r="D122" s="47"/>
      <x:c r="E122" s="85" t="n">
        <x:f>'Data'!B119</x:f>
        <x:v>100.7</x:v>
      </x:c>
      <x:c r="F122" s="85" t="n">
        <x:f>'Data'!E119</x:f>
        <x:v>56.7</x:v>
      </x:c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</x:row>
    <x:row r="123">
      <x:c r="A123" s="47"/>
      <x:c r="B123" s="47"/>
      <x:c r="C123" s="47"/>
      <x:c r="D123" s="47"/>
      <x:c r="E123" s="85" t="n">
        <x:f>'Data'!B120</x:f>
        <x:v>151.4</x:v>
      </x:c>
      <x:c r="F123" s="85" t="n">
        <x:f>'Data'!E120</x:f>
        <x:v>60</x:v>
      </x:c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</x:row>
    <x:row r="124">
      <x:c r="A124" s="47"/>
      <x:c r="B124" s="47"/>
      <x:c r="C124" s="47"/>
      <x:c r="D124" s="47"/>
      <x:c r="E124" s="85" t="n">
        <x:f>'Data'!B121</x:f>
        <x:v>133.3</x:v>
      </x:c>
      <x:c r="F124" s="85" t="n">
        <x:f>'Data'!E121</x:f>
        <x:v>60.1</x:v>
      </x:c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</x:row>
    <x:row r="125">
      <x:c r="A125" s="47"/>
      <x:c r="B125" s="47"/>
      <x:c r="C125" s="47"/>
      <x:c r="D125" s="47"/>
      <x:c r="E125" s="47"/>
      <x:c r="F125" s="47"/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</x:row>
  </x:sheetData>
  <x:mergeCells>
    <x:mergeCell ref="A1:J1"/>
    <x:mergeCell ref="A2:J2"/>
    <x:mergeCell ref="A17:C19"/>
  </x:mergeCells>
  <x:pageMargins left="0.7" right="0.7" top="0.75" bottom="0.75" header="0.3" footer="0.3"/>
  <x:drawing xmlns:r="http://schemas.openxmlformats.org/officeDocument/2006/relationships" r:id="Re8727da7a9fb494a"/>
</x:worksheet>
</file>