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5160eac4f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8ccb6a4e0f472b"/>
    <x:sheet xmlns:r="http://schemas.openxmlformats.org/officeDocument/2006/relationships" name="Bar chart" sheetId="2" r:id="R2e9a0811139340d4"/>
    <x:sheet xmlns:r="http://schemas.openxmlformats.org/officeDocument/2006/relationships" name="Scatter plot" sheetId="3" r:id="R0e27692e548a4a43"/>
    <x:sheet xmlns:r="http://schemas.openxmlformats.org/officeDocument/2006/relationships" name="Histogram" sheetId="4" r:id="R403963f8010e40c0"/>
    <x:sheet xmlns:r="http://schemas.openxmlformats.org/officeDocument/2006/relationships" name="Variety summary" sheetId="5" r:id="Ra78c0b8056744623"/>
    <x:sheet xmlns:r="http://schemas.openxmlformats.org/officeDocument/2006/relationships" name="Canola records" sheetId="6" r:id="Reb7f6adc20a2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"/>
    <x:numFmt numFmtId="202" formatCode="0.0"/>
    <x:numFmt numFmtId="203" formatCode="#,##0.0"/>
    <x:numFmt numFmtId="204" formatCode="#,##0;-#,##0;;"/>
    <x:numFmt numFmtId="205" formatCode="0.00"/>
  </x:numFmts>
  <x:fonts count="16">
    <x:font>
      <x:sz val="11"/>
      <x:name val="Carlito"/>
    </x:font>
    <x:font>
      <x:b/>
      <x:sz val="18"/>
      <x:color rgb="FFFFFFFF"/>
      <x:name val="Carlito"/>
    </x:font>
    <x:font>
      <x:sz val="10"/>
      <x:color rgb="FF24332B"/>
      <x:name val="Carlito"/>
    </x:font>
    <x:font>
      <x:b/>
      <x:sz val="11"/>
      <x:color rgb="FFFFFFFF"/>
      <x:name val="Carlito"/>
    </x:font>
    <x:font>
      <x:sz val="11"/>
      <x:color rgb="FF24332B"/>
      <x:name val="Carlito"/>
    </x:font>
    <x:font>
      <x:b/>
      <x:sz val="9"/>
      <x:color rgb="FF5F6E66"/>
      <x:name val="Carlito"/>
    </x:font>
    <x:font>
      <x:i/>
      <x:sz val="9"/>
      <x:color rgb="FF5F6E66"/>
      <x:name val="Carlito"/>
    </x:font>
    <x:font>
      <x:sz val="9"/>
      <x:color rgb="FF2F5940"/>
      <x:name val="Aptos Narrow"/>
    </x:font>
    <x:font>
      <x:b/>
      <x:sz val="18"/>
      <x:color rgb="FFFFFFFF"/>
      <x:name val="Aptos"/>
    </x:font>
    <x:font>
      <x:sz val="10"/>
      <x:color rgb="FF24332B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332B"/>
      <x:name val="Aptos"/>
    </x:font>
    <x:font>
      <x:sz val="9"/>
      <x:color rgb="FF2F5940"/>
      <x:name val="Aptos"/>
    </x:font>
    <x:font>
      <x:b/>
      <x:sz val="9"/>
      <x:color rgb="FF5F6E66"/>
      <x:name val="Aptos"/>
    </x:font>
    <x:font>
      <x:i/>
      <x:sz val="9"/>
      <x:color rgb="FF5F6E66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3F6F52"/>
      </x:patternFill>
    </x:fill>
    <x:fill>
      <x:patternFill patternType="solid">
        <x:fgColor rgb="FFE4EEE7"/>
      </x:patternFill>
    </x:fill>
    <x:fill>
      <x:patternFill patternType="solid">
        <x:fgColor rgb="FFF5F7F5"/>
      </x:patternFill>
    </x:fill>
  </x:fills>
  <x:borders count="6">
    <x:border/>
    <x:border>
      <x:left style="thin">
        <x:color rgb="FF2F5940"/>
      </x:left>
      <x:top style="thin">
        <x:color rgb="FF2F5940"/>
      </x:top>
      <x:bottom style="thin">
        <x:color rgb="FF2F5940"/>
      </x:bottom>
    </x:border>
    <x:border>
      <x:right style="thin">
        <x:color rgb="FF2F5940"/>
      </x:right>
      <x:top style="thin">
        <x:color rgb="FF2F5940"/>
      </x:top>
      <x:bottom style="thin">
        <x:color rgb="FF2F5940"/>
      </x:bottom>
    </x:border>
    <x:border>
      <x:bottom style="thin">
        <x:color rgb="FFC9D5CD"/>
      </x:bottom>
    </x:border>
    <x:border>
      <x:top style="thin">
        <x:color rgb="FFC9D5CD"/>
      </x:top>
      <x:bottom style="thin">
        <x:color rgb="FFC9D5CD"/>
      </x:bottom>
    </x:border>
    <x:border>
      <x:top style="thin">
        <x:color rgb="FF2F5940"/>
      </x:top>
      <x:bottom style="thin">
        <x:color rgb="FF2F5940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/>
    <x:xf numFmtId="201" fontId="4" fillId="0" borderId="4" xfId="0" applyNumberFormat="1" applyFont="1" applyFill="1" applyBorder="1"/>
    <x:xf numFmtId="202" fontId="4" fillId="0" borderId="3" xfId="0" applyNumberFormat="1" applyFont="1" applyFill="1" applyBorder="1"/>
    <x:xf numFmtId="202" fontId="4" fillId="0" borderId="4" xfId="0" applyNumberFormat="1" applyFont="1" applyFill="1" applyBorder="1"/>
    <x:xf numFmtId="204" fontId="4" fillId="0" borderId="3" xfId="0" applyNumberFormat="1" applyFont="1" applyFill="1" applyBorder="1"/>
    <x:xf numFmtId="204" fontId="4" fillId="0" borderId="4" xfId="0" applyNumberFormat="1" applyFont="1" applyFill="1" applyBorder="1"/>
    <x:xf numFmtId="200" fontId="4" fillId="0" borderId="3" xfId="0" applyNumberFormat="1" applyFont="1" applyFill="1" applyBorder="1"/>
    <x:xf numFmtId="200" fontId="4" fillId="0" borderId="4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205" fontId="4" fillId="0" borderId="4" xfId="0" applyNumberFormat="1" applyFont="1" applyFill="1" applyBorder="1"/>
    <x:xf numFmtId="200" fontId="4" fillId="0" borderId="4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2" borderId="1" xfId="0" applyNumberFormat="1" applyFont="1" applyFill="1" applyBorder="1" applyAlignment="1">
      <x:alignment vertical="center"/>
    </x:xf>
    <x:xf numFmtId="0" fontId="11" fillId="2" borderId="5" xfId="0" applyNumberFormat="1" applyFont="1" applyFill="1" applyBorder="1" applyAlignment="1">
      <x:alignment vertical="center"/>
    </x:xf>
    <x:xf numFmtId="0" fontId="11" fillId="2" borderId="2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/>
    <x:xf numFmtId="202" fontId="12" fillId="0" borderId="3" xfId="0" applyNumberFormat="1" applyFont="1" applyFill="1" applyBorder="1"/>
    <x:xf numFmtId="201" fontId="12" fillId="0" borderId="3" xfId="0" applyNumberFormat="1" applyFont="1" applyFill="1" applyBorder="1"/>
    <x:xf numFmtId="200" fontId="12" fillId="0" borderId="3" xfId="0" applyNumberFormat="1" applyFont="1" applyFill="1" applyBorder="1"/>
    <x:xf numFmtId="0" fontId="13" fillId="0" borderId="3" xfId="0" applyNumberFormat="1" applyFont="1" applyFill="1" applyBorder="1" applyAlignment="1">
      <x:alignment wrapText="1"/>
    </x:xf>
    <x:xf numFmtId="0" fontId="12" fillId="0" borderId="4" xfId="0" applyNumberFormat="1" applyFont="1" applyFill="1" applyBorder="1"/>
    <x:xf numFmtId="202" fontId="12" fillId="0" borderId="4" xfId="0" applyNumberFormat="1" applyFont="1" applyFill="1" applyBorder="1"/>
    <x:xf numFmtId="201" fontId="12" fillId="0" borderId="4" xfId="0" applyNumberFormat="1" applyFont="1" applyFill="1" applyBorder="1"/>
    <x:xf numFmtId="200" fontId="12" fillId="0" borderId="4" xfId="0" applyNumberFormat="1" applyFont="1" applyFill="1" applyBorder="1"/>
    <x:xf numFmtId="0" fontId="13" fillId="0" borderId="4" xfId="0" applyNumberFormat="1" applyFont="1" applyFill="1" applyBorder="1" applyAlignment="1">
      <x:alignment wrapText="1"/>
    </x:xf>
    <x:xf numFmtId="0" fontId="12" fillId="0" borderId="3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205" fontId="12" fillId="0" borderId="4" xfId="0" applyNumberFormat="1" applyFont="1" applyFill="1" applyBorder="1"/>
    <x:xf numFmtId="200" fontId="12" fillId="0" borderId="4" xfId="0" applyNumberFormat="1" applyFont="1" applyFill="1" applyBorder="1" applyAlignment="1">
      <x:alignment wrapText="1"/>
    </x:xf>
    <x:xf numFmtId="204" fontId="12" fillId="0" borderId="3" xfId="0" applyNumberFormat="1" applyFont="1" applyFill="1" applyBorder="1"/>
    <x:xf numFmtId="204" fontId="12" fillId="0" borderId="4" xfId="0" applyNumberFormat="1" applyFont="1" applyFill="1" applyBorder="1"/>
    <x:xf numFmtId="0" fontId="14" fillId="4" borderId="0" xfId="0" applyNumberFormat="1" applyFont="1" applyFill="1" applyBorder="1"/>
    <x:xf numFmtId="0" fontId="15" fillId="4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202" fontId="10" fillId="0" borderId="0" xfId="0" applyNumberFormat="1" applyFont="1" applyFill="1" applyBorder="1"/>
    <x:xf numFmtId="203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83906859242d1" /><Relationship Type="http://schemas.openxmlformats.org/officeDocument/2006/relationships/theme" Target="/xl/theme/theme1.xml" Id="Rec0e6a4e1dff443a" /><Relationship Type="http://schemas.openxmlformats.org/officeDocument/2006/relationships/sharedStrings" Target="/xl/sharedStrings.xml" Id="R9850f422eed14c55" /><Relationship Type="http://schemas.openxmlformats.org/officeDocument/2006/relationships/worksheet" Target="/xl/worksheets/sheet1.xml" Id="Rc08ccb6a4e0f472b" /><Relationship Type="http://schemas.openxmlformats.org/officeDocument/2006/relationships/worksheet" Target="/xl/worksheets/sheet2.xml" Id="R2e9a0811139340d4" /><Relationship Type="http://schemas.openxmlformats.org/officeDocument/2006/relationships/worksheet" Target="/xl/worksheets/sheet3.xml" Id="R0e27692e548a4a43" /><Relationship Type="http://schemas.openxmlformats.org/officeDocument/2006/relationships/worksheet" Target="/xl/worksheets/sheet4.xml" Id="R403963f8010e40c0" /><Relationship Type="http://schemas.openxmlformats.org/officeDocument/2006/relationships/worksheet" Target="/xl/worksheets/sheet5.xml" Id="Ra78c0b8056744623" /><Relationship Type="http://schemas.openxmlformats.org/officeDocument/2006/relationships/worksheet" Target="/xl/worksheets/sheet6.xml" Id="Reb7f6adc20a24d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9bde740ab8437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571ffb7115643c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7f06120f7f84f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2025 yield of leading canola varieties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Weighted yield (bu/ac)</c:v>
          </c:tx>
          <c:spPr>
            <a:solidFill xmlns:a="http://schemas.openxmlformats.org/drawingml/2006/main">
              <a:srgbClr val="3F6F52"/>
            </a:solidFill>
          </c:spPr>
          <c:cat>
            <c:strRef>
              <c:f>'Bar chart'!$A$5:$A$14</c:f>
              <c:strCache>
                <c:ptCount val="0"/>
              </c:strCache>
            </c:strRef>
          </c:cat>
          <c:val>
            <c:numRef>
              <c:f>'Bar chart'!$B$5:$B$14</c:f>
              <c:numCache>
                <c:formatCode>0.0</c:formatCode>
                <c:ptCount val="0"/>
              </c:numCache>
            </c:numRef>
          </c:val>
        </c:ser>
        <c:gapWidth val="4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55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Acre-weighted yield (bu/ac)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Canola variety yield: 2024 versus 2025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Varieties</c:v>
          </c:tx>
          <c:spPr>
            <a:solidFill xmlns:a="http://schemas.openxmlformats.org/drawingml/2006/main">
              <a:srgbClr val="2878A5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'Scatter plot'!$L$42:$L$113</c:f>
              <c:numCache>
                <c:formatCode>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55"/>
          <c:min val="2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2025 acre-weighted yield (bu/ac)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</c:valAx>
      <c:valAx>
        <c:axId val="48650112"/>
        <c:scaling>
          <c:orientation val="minMax"/>
          <c:max val="55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2024 acre-weighted yield (bu/ac)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Reported 2025 canola yields (5 bu/ac bins)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Reported rows</c:v>
          </c:tx>
          <c:spPr>
            <a:solidFill xmlns:a="http://schemas.openxmlformats.org/drawingml/2006/main">
              <a:srgbClr val="D8A940"/>
            </a:solidFill>
          </c:spPr>
          <c:cat>
            <c:strRef>
              <c:f>'Histogram'!$J$28:$J$38</c:f>
              <c:strCache>
                <c:ptCount val="0"/>
              </c:strCache>
            </c:strRef>
          </c:cat>
          <c:val>
            <c:numRef>
              <c:f>'Histogram'!$K$28:$K$38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25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Reported risk-zone-by-variety rows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9bde740ab8437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71ffb7115643c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f06120f7f84f7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olaRecords" displayName="CanolaRecords" ref="A1:G3371" headerRowCount="1" totalsRowCount="0" totalsRowShown="0">
  <x:tableColumns count="7">
    <x:tableColumn id="1" name="Risk_Zone"/>
    <x:tableColumn id="2" name="Crop"/>
    <x:tableColumn id="3" name="Variety"/>
    <x:tableColumn id="4" name="Year"/>
    <x:tableColumn id="5" name="Acres"/>
    <x:tableColumn id="6" name="Yield"/>
    <x:tableColumn id="7" name="Acre-yield tota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1e2a94636144d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086df81673444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7e3ee5939904d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38ae46f1447f4c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 ht="30" customHeight="1">
      <x:c r="A1" s="42" t="str">
        <x:v>Graphing actual Saskatchewan canola variety yields</x:v>
      </x:c>
      <x:c r="B1" s="42"/>
      <x:c r="C1" s="42"/>
      <x:c r="D1" s="42"/>
      <x:c r="E1" s="42"/>
      <x:c r="F1" s="42"/>
      <x:c r="G1" s="42"/>
      <x:c r="H1" s="42"/>
    </x:row>
    <x:row r="2" ht="40" customHeight="1">
      <x:c r="A2" s="43" t="str">
        <x:v>The examples use reported SCIC variety yields by risk zone, 2021 to 2025. Start with the Bar chart sheet and follow its numbered instructions for selecting data, choosing a chart, and changing the title, axes, labels and colour.</x:v>
      </x:c>
      <x:c r="B2" s="43"/>
      <x:c r="C2" s="43"/>
      <x:c r="D2" s="43"/>
      <x:c r="E2" s="43"/>
      <x:c r="F2" s="43"/>
      <x:c r="G2" s="43"/>
      <x:c r="H2" s="43"/>
    </x:row>
    <x:row r="3">
      <x:c r="A3" s="44"/>
      <x:c r="B3" s="44"/>
      <x:c r="C3" s="44"/>
      <x:c r="D3" s="44"/>
      <x:c r="E3" s="44"/>
      <x:c r="F3" s="44"/>
      <x:c r="G3" s="44"/>
      <x:c r="H3" s="44"/>
    </x:row>
    <x:row r="4" ht="15" hidden="0" customHeight="1">
      <x:c r="A4" s="45" t="str">
        <x:v>Sheet</x:v>
      </x:c>
      <x:c r="B4" s="47" t="str">
        <x:v>What to notice</x:v>
      </x:c>
      <x:c r="C4" s="44"/>
      <x:c r="D4" s="44"/>
      <x:c r="E4" s="44"/>
      <x:c r="F4" s="44"/>
      <x:c r="G4" s="44"/>
      <x:c r="H4" s="44"/>
    </x:row>
    <x:row r="5" ht="15" hidden="0" customHeight="1">
      <x:c r="A5" s="48" t="str">
        <x:v>Bar chart</x:v>
      </x:c>
      <x:c r="B5" s="58" t="str">
        <x:v>Acre-weighted 2025 yield for the ten most widely grown canola varieties.</x:v>
      </x:c>
      <x:c r="C5" s="44"/>
      <x:c r="D5" s="44"/>
      <x:c r="E5" s="44"/>
      <x:c r="F5" s="44"/>
      <x:c r="G5" s="44"/>
      <x:c r="H5" s="44"/>
    </x:row>
    <x:row r="6" ht="15" hidden="0" customHeight="1">
      <x:c r="A6" s="53" t="str">
        <x:v>Scatter plot</x:v>
      </x:c>
      <x:c r="B6" s="59" t="str">
        <x:v>Provincial weighted yield in 2024 versus 2025 for varieties reported in both years.</x:v>
      </x:c>
      <x:c r="C6" s="44"/>
      <x:c r="D6" s="44"/>
      <x:c r="E6" s="44"/>
      <x:c r="F6" s="44"/>
      <x:c r="G6" s="44"/>
      <x:c r="H6" s="44"/>
    </x:row>
    <x:row r="7" ht="15" hidden="0" customHeight="1">
      <x:c r="A7" s="53" t="str">
        <x:v>Histogram</x:v>
      </x:c>
      <x:c r="B7" s="59" t="str">
        <x:v>The distribution of 674 reported 2025 risk-zone-by-variety yields.</x:v>
      </x:c>
      <x:c r="C7" s="44"/>
      <x:c r="D7" s="44"/>
      <x:c r="E7" s="44"/>
      <x:c r="F7" s="44"/>
      <x:c r="G7" s="44"/>
      <x:c r="H7" s="44"/>
    </x:row>
    <x:row r="8" ht="15" hidden="0" customHeight="1">
      <x:c r="A8" s="53" t="str">
        <x:v>Variety summary</x:v>
      </x:c>
      <x:c r="B8" s="59" t="str">
        <x:v>Formula-driven acres, weighted yields and reporting-zone counts for all 97 canola varieties.</x:v>
      </x:c>
      <x:c r="C8" s="44"/>
      <x:c r="D8" s="44"/>
      <x:c r="E8" s="44"/>
      <x:c r="F8" s="44"/>
      <x:c r="G8" s="44"/>
      <x:c r="H8" s="44"/>
    </x:row>
    <x:row r="9" ht="15" hidden="0" customHeight="1">
      <x:c r="A9" s="53" t="str">
        <x:v>Canola records</x:v>
      </x:c>
      <x:c r="B9" s="59" t="str">
        <x:v>The 3,370 Canola/Rapeseed rows copied from the 13,625-row source file; suppressed values remain blank.</x:v>
      </x:c>
      <x:c r="C9" s="44"/>
      <x:c r="D9" s="44"/>
      <x:c r="E9" s="44"/>
      <x:c r="F9" s="44"/>
      <x:c r="G9" s="44"/>
      <x:c r="H9" s="44"/>
    </x:row>
    <x:row r="10">
      <x:c r="A10" s="44"/>
      <x:c r="B10" s="44"/>
      <x:c r="C10" s="44"/>
      <x:c r="D10" s="44"/>
      <x:c r="E10" s="44"/>
      <x:c r="F10" s="44"/>
      <x:c r="G10" s="44"/>
      <x:c r="H10" s="44"/>
    </x:row>
    <x:row r="11" ht="28" customHeight="1">
      <x:c r="A11" s="64" t="str">
        <x:v>Source file</x:v>
      </x:c>
      <x:c r="B11" s="65" t="str">
        <x:v>https://agdataanalytics.com/practice/data/sask_variety_yields.csv</x:v>
      </x:c>
      <x:c r="C11" s="65"/>
      <x:c r="D11" s="65"/>
      <x:c r="E11" s="65"/>
      <x:c r="F11" s="65"/>
      <x:c r="G11" s="65"/>
      <x:c r="H11" s="65"/>
    </x:row>
    <x:row r="12" ht="28" customHeight="1">
      <x:c r="A12" s="64" t="str">
        <x:v>Publisher</x:v>
      </x:c>
      <x:c r="B12" s="65" t="str">
        <x:v>https://www.scic.ca/resources/sask-management-plus</x:v>
      </x:c>
      <x:c r="C12" s="65"/>
      <x:c r="D12" s="65"/>
      <x:c r="E12" s="65"/>
      <x:c r="F12" s="65"/>
      <x:c r="G12" s="65"/>
      <x:c r="H12" s="65"/>
    </x:row>
    <x:row r="13" ht="28" customHeight="1">
      <x:c r="A13" s="64" t="str">
        <x:v>Method note</x:v>
      </x:c>
      <x:c r="B13" s="65" t="str">
        <x:v>Provincial variety yields are weighted by reported acres: sum(Acres × Yield) / sum(Acres). Missing acres and yields are not treated as zero.</x:v>
      </x:c>
      <x:c r="C13" s="65"/>
      <x:c r="D13" s="65"/>
      <x:c r="E13" s="65"/>
      <x:c r="F13" s="65"/>
      <x:c r="G13" s="65"/>
      <x:c r="H13" s="65"/>
    </x:row>
    <x:row r="14">
      <x:c r="A14" s="44"/>
      <x:c r="B14" s="44"/>
      <x:c r="C14" s="44"/>
      <x:c r="D14" s="44"/>
      <x:c r="E14" s="44"/>
      <x:c r="F14" s="44"/>
      <x:c r="G14" s="44"/>
      <x:c r="H14" s="44"/>
    </x:row>
  </x:sheetData>
  <x:mergeCells>
    <x:mergeCell ref="A1:H1"/>
    <x:mergeCell ref="A2:H2"/>
    <x:mergeCell ref="B11:H11"/>
    <x:mergeCell ref="B12:H12"/>
    <x:mergeCell ref="B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42" hidden="0" customWidth="1"/>
    <x:col min="4" max="4" width="14" hidden="0" customWidth="1"/>
    <x:col min="5" max="5" width="70" hidden="0" customWidth="1"/>
  </x:cols>
  <x:sheetData>
    <x:row r="1" ht="30" customHeight="1">
      <x:c r="A1" s="42" t="str">
        <x:v>Build a bar chart of 2025 canola variety yields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40" customHeight="1">
      <x:c r="A2" s="43" t="str">
        <x:v>The ten varieties were selected by total 2025 acres, then ordered by acre-weighted yield. Select only Variety and Weighted yield when creating the chart.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</x:row>
    <x:row r="4">
      <x:c r="A4" s="45" t="str">
        <x:v>Variety</x:v>
      </x:c>
      <x:c r="B4" s="46" t="str">
        <x:v>Weighted yield (bu/ac)</x:v>
      </x:c>
      <x:c r="C4" s="46" t="str">
        <x:v>Reported acres</x:v>
      </x:c>
      <x:c r="D4" s="46" t="str">
        <x:v>Risk zones</x:v>
      </x:c>
      <x:c r="E4" s="47" t="str">
        <x:v>Formula in B</x:v>
      </x:c>
      <x:c r="F4" s="44"/>
      <x:c r="G4" s="44"/>
      <x:c r="H4" s="44"/>
      <x:c r="I4" s="44"/>
      <x:c r="J4" s="44"/>
      <x:c r="K4" s="44"/>
      <x:c r="L4" s="44"/>
      <x:c r="M4" s="44"/>
      <x:c r="N4" s="44"/>
    </x:row>
    <x:row r="5">
      <x:c r="A5" s="48" t="str">
        <x:v>L233P</x:v>
      </x:c>
      <x:c r="B5" s="49" t="n">
        <x:f>SUMIFS('Canola records'!$G$2:$G$3371,'Canola records'!$C$2:$C$3371,A5,'Canola records'!$D$2:$D$3371,2025)/SUMIFS('Canola records'!$E$2:$E$3371,'Canola records'!$C$2:$C$3371,A5,'Canola records'!$D$2:$D$3371,2025)</x:f>
        <x:v>44.301725657242265</x:v>
      </x:c>
      <x:c r="C5" s="50" t="n">
        <x:f>SUMIFS('Canola records'!$E$2:$E$3371,'Canola records'!$C$2:$C$3371,A5,'Canola records'!$D$2:$D$3371,2025)</x:f>
        <x:v>307535</x:v>
      </x:c>
      <x:c r="D5" s="51" t="n">
        <x:f>COUNTIFS('Canola records'!$C$2:$C$3371,A5,'Canola records'!$D$2:$D$3371,2025,'Canola records'!$F$2:$F$3371,"&gt;0")</x:f>
        <x:v>21</x:v>
      </x:c>
      <x:c r="E5" s="52" t="str">
        <x:v>=SUMIFS(Acre-yield total,Variety,this variety,Year,2025)/SUMIFS(Acres,Variety,this variety,Year,2025)</x:v>
      </x:c>
      <x:c r="F5" s="44"/>
      <x:c r="G5" s="44"/>
      <x:c r="H5" s="44"/>
      <x:c r="I5" s="44"/>
      <x:c r="J5" s="44"/>
      <x:c r="K5" s="44"/>
      <x:c r="L5" s="44"/>
      <x:c r="M5" s="44"/>
      <x:c r="N5" s="44"/>
    </x:row>
    <x:row r="6">
      <x:c r="A6" s="53" t="str">
        <x:v>L345PC</x:v>
      </x:c>
      <x:c r="B6" s="54" t="n">
        <x:f>SUMIFS('Canola records'!$G$2:$G$3371,'Canola records'!$C$2:$C$3371,A6,'Canola records'!$D$2:$D$3371,2025)/SUMIFS('Canola records'!$E$2:$E$3371,'Canola records'!$C$2:$C$3371,A6,'Canola records'!$D$2:$D$3371,2025)</x:f>
        <x:v>45.1136332601459</x:v>
      </x:c>
      <x:c r="C6" s="55" t="n">
        <x:f>SUMIFS('Canola records'!$E$2:$E$3371,'Canola records'!$C$2:$C$3371,A6,'Canola records'!$D$2:$D$3371,2025)</x:f>
        <x:v>352975</x:v>
      </x:c>
      <x:c r="D6" s="56" t="n">
        <x:f>COUNTIFS('Canola records'!$C$2:$C$3371,A6,'Canola records'!$D$2:$D$3371,2025,'Canola records'!$F$2:$F$3371,"&gt;0")</x:f>
        <x:v>20</x:v>
      </x:c>
      <x:c r="E6" s="57" t="str">
        <x:v>=SUMIFS(Acre-yield total,Variety,this variety,Year,2025)/SUMIFS(Acres,Variety,this variety,Year,2025)</x:v>
      </x:c>
      <x:c r="F6" s="44"/>
      <x:c r="G6" s="44"/>
      <x:c r="H6" s="44"/>
      <x:c r="I6" s="44"/>
      <x:c r="J6" s="44"/>
      <x:c r="K6" s="44"/>
      <x:c r="L6" s="44"/>
      <x:c r="M6" s="44"/>
      <x:c r="N6" s="44"/>
    </x:row>
    <x:row r="7">
      <x:c r="A7" s="53" t="str">
        <x:v>P520L</x:v>
      </x:c>
      <x:c r="B7" s="54" t="n">
        <x:f>SUMIFS('Canola records'!$G$2:$G$3371,'Canola records'!$C$2:$C$3371,A7,'Canola records'!$D$2:$D$3371,2025)/SUMIFS('Canola records'!$E$2:$E$3371,'Canola records'!$C$2:$C$3371,A7,'Canola records'!$D$2:$D$3371,2025)</x:f>
        <x:v>46.06576883015429</x:v>
      </x:c>
      <x:c r="C7" s="55" t="n">
        <x:f>SUMIFS('Canola records'!$E$2:$E$3371,'Canola records'!$C$2:$C$3371,A7,'Canola records'!$D$2:$D$3371,2025)</x:f>
        <x:v>245776</x:v>
      </x:c>
      <x:c r="D7" s="56" t="n">
        <x:f>COUNTIFS('Canola records'!$C$2:$C$3371,A7,'Canola records'!$D$2:$D$3371,2025,'Canola records'!$F$2:$F$3371,"&gt;0")</x:f>
        <x:v>16</x:v>
      </x:c>
      <x:c r="E7" s="57" t="str">
        <x:v>=SUMIFS(Acre-yield total,Variety,this variety,Year,2025)/SUMIFS(Acres,Variety,this variety,Year,2025)</x:v>
      </x:c>
      <x:c r="F7" s="44"/>
      <x:c r="G7" s="44"/>
      <x:c r="H7" s="44"/>
      <x:c r="I7" s="44"/>
      <x:c r="J7" s="44"/>
      <x:c r="K7" s="44"/>
      <x:c r="L7" s="44"/>
      <x:c r="M7" s="44"/>
      <x:c r="N7" s="44"/>
    </x:row>
    <x:row r="8">
      <x:c r="A8" s="53" t="str">
        <x:v>DK900TF</x:v>
      </x:c>
      <x:c r="B8" s="54" t="n">
        <x:f>SUMIFS('Canola records'!$G$2:$G$3371,'Canola records'!$C$2:$C$3371,A8,'Canola records'!$D$2:$D$3371,2025)/SUMIFS('Canola records'!$E$2:$E$3371,'Canola records'!$C$2:$C$3371,A8,'Canola records'!$D$2:$D$3371,2025)</x:f>
        <x:v>46.15372143677478</x:v>
      </x:c>
      <x:c r="C8" s="55" t="n">
        <x:f>SUMIFS('Canola records'!$E$2:$E$3371,'Canola records'!$C$2:$C$3371,A8,'Canola records'!$D$2:$D$3371,2025)</x:f>
        <x:v>126255</x:v>
      </x:c>
      <x:c r="D8" s="56" t="n">
        <x:f>COUNTIFS('Canola records'!$C$2:$C$3371,A8,'Canola records'!$D$2:$D$3371,2025,'Canola records'!$F$2:$F$3371,"&gt;0")</x:f>
        <x:v>10</x:v>
      </x:c>
      <x:c r="E8" s="57" t="str">
        <x:v>=SUMIFS(Acre-yield total,Variety,this variety,Year,2025)/SUMIFS(Acres,Variety,this variety,Year,2025)</x:v>
      </x:c>
      <x:c r="F8" s="44"/>
      <x:c r="G8" s="44"/>
      <x:c r="H8" s="44"/>
      <x:c r="I8" s="44"/>
      <x:c r="J8" s="44"/>
      <x:c r="K8" s="44"/>
      <x:c r="L8" s="44"/>
      <x:c r="M8" s="44"/>
      <x:c r="N8" s="44"/>
    </x:row>
    <x:row r="9">
      <x:c r="A9" s="53" t="str">
        <x:v>L340PC</x:v>
      </x:c>
      <x:c r="B9" s="54" t="n">
        <x:f>SUMIFS('Canola records'!$G$2:$G$3371,'Canola records'!$C$2:$C$3371,A9,'Canola records'!$D$2:$D$3371,2025)/SUMIFS('Canola records'!$E$2:$E$3371,'Canola records'!$C$2:$C$3371,A9,'Canola records'!$D$2:$D$3371,2025)</x:f>
        <x:v>47.95881526911449</x:v>
      </x:c>
      <x:c r="C9" s="55" t="n">
        <x:f>SUMIFS('Canola records'!$E$2:$E$3371,'Canola records'!$C$2:$C$3371,A9,'Canola records'!$D$2:$D$3371,2025)</x:f>
        <x:v>3530709</x:v>
      </x:c>
      <x:c r="D9" s="56" t="n">
        <x:f>COUNTIFS('Canola records'!$C$2:$C$3371,A9,'Canola records'!$D$2:$D$3371,2025,'Canola records'!$F$2:$F$3371,"&gt;0")</x:f>
        <x:v>21</x:v>
      </x:c>
      <x:c r="E9" s="57" t="str">
        <x:v>=SUMIFS(Acre-yield total,Variety,this variety,Year,2025)/SUMIFS(Acres,Variety,this variety,Year,2025)</x:v>
      </x:c>
      <x:c r="F9" s="44"/>
      <x:c r="G9" s="44"/>
      <x:c r="H9" s="44"/>
      <x:c r="I9" s="44"/>
      <x:c r="J9" s="44"/>
      <x:c r="K9" s="44"/>
      <x:c r="L9" s="44"/>
      <x:c r="M9" s="44"/>
      <x:c r="N9" s="44"/>
    </x:row>
    <x:row r="10">
      <x:c r="A10" s="53" t="str">
        <x:v>DK800LL</x:v>
      </x:c>
      <x:c r="B10" s="54" t="n">
        <x:f>SUMIFS('Canola records'!$G$2:$G$3371,'Canola records'!$C$2:$C$3371,A10,'Canola records'!$D$2:$D$3371,2025)/SUMIFS('Canola records'!$E$2:$E$3371,'Canola records'!$C$2:$C$3371,A10,'Canola records'!$D$2:$D$3371,2025)</x:f>
        <x:v>48.36101210996199</x:v>
      </x:c>
      <x:c r="C10" s="55" t="n">
        <x:f>SUMIFS('Canola records'!$E$2:$E$3371,'Canola records'!$C$2:$C$3371,A10,'Canola records'!$D$2:$D$3371,2025)</x:f>
        <x:v>113130</x:v>
      </x:c>
      <x:c r="D10" s="56" t="n">
        <x:f>COUNTIFS('Canola records'!$C$2:$C$3371,A10,'Canola records'!$D$2:$D$3371,2025,'Canola records'!$F$2:$F$3371,"&gt;0")</x:f>
        <x:v>17</x:v>
      </x:c>
      <x:c r="E10" s="57" t="str">
        <x:v>=SUMIFS(Acre-yield total,Variety,this variety,Year,2025)/SUMIFS(Acres,Variety,this variety,Year,2025)</x:v>
      </x:c>
      <x:c r="F10" s="44"/>
      <x:c r="G10" s="44"/>
      <x:c r="H10" s="44"/>
      <x:c r="I10" s="44"/>
      <x:c r="J10" s="44"/>
      <x:c r="K10" s="44"/>
      <x:c r="L10" s="44"/>
      <x:c r="M10" s="44"/>
      <x:c r="N10" s="44"/>
    </x:row>
    <x:row r="11">
      <x:c r="A11" s="53" t="str">
        <x:v>L333PC</x:v>
      </x:c>
      <x:c r="B11" s="54" t="n">
        <x:f>SUMIFS('Canola records'!$G$2:$G$3371,'Canola records'!$C$2:$C$3371,A11,'Canola records'!$D$2:$D$3371,2025)/SUMIFS('Canola records'!$E$2:$E$3371,'Canola records'!$C$2:$C$3371,A11,'Canola records'!$D$2:$D$3371,2025)</x:f>
        <x:v>48.37892931956657</x:v>
      </x:c>
      <x:c r="C11" s="55" t="n">
        <x:f>SUMIFS('Canola records'!$E$2:$E$3371,'Canola records'!$C$2:$C$3371,A11,'Canola records'!$D$2:$D$3371,2025)</x:f>
        <x:v>188086</x:v>
      </x:c>
      <x:c r="D11" s="56" t="n">
        <x:f>COUNTIFS('Canola records'!$C$2:$C$3371,A11,'Canola records'!$D$2:$D$3371,2025,'Canola records'!$F$2:$F$3371,"&gt;0")</x:f>
        <x:v>21</x:v>
      </x:c>
      <x:c r="E11" s="57" t="str">
        <x:v>=SUMIFS(Acre-yield total,Variety,this variety,Year,2025)/SUMIFS(Acres,Variety,this variety,Year,2025)</x:v>
      </x:c>
      <x:c r="F11" s="44"/>
      <x:c r="G11" s="44"/>
      <x:c r="H11" s="44"/>
      <x:c r="I11" s="44"/>
      <x:c r="J11" s="44"/>
      <x:c r="K11" s="44"/>
      <x:c r="L11" s="44"/>
      <x:c r="M11" s="44"/>
      <x:c r="N11" s="44"/>
    </x:row>
    <x:row r="12">
      <x:c r="A12" s="53" t="str">
        <x:v>L356PC</x:v>
      </x:c>
      <x:c r="B12" s="54" t="n">
        <x:f>SUMIFS('Canola records'!$G$2:$G$3371,'Canola records'!$C$2:$C$3371,A12,'Canola records'!$D$2:$D$3371,2025)/SUMIFS('Canola records'!$E$2:$E$3371,'Canola records'!$C$2:$C$3371,A12,'Canola records'!$D$2:$D$3371,2025)</x:f>
        <x:v>48.46193893506707</x:v>
      </x:c>
      <x:c r="C12" s="55" t="n">
        <x:f>SUMIFS('Canola records'!$E$2:$E$3371,'Canola records'!$C$2:$C$3371,A12,'Canola records'!$D$2:$D$3371,2025)</x:f>
        <x:v>729060</x:v>
      </x:c>
      <x:c r="D12" s="56" t="n">
        <x:f>COUNTIFS('Canola records'!$C$2:$C$3371,A12,'Canola records'!$D$2:$D$3371,2025,'Canola records'!$F$2:$F$3371,"&gt;0")</x:f>
        <x:v>18</x:v>
      </x:c>
      <x:c r="E12" s="57" t="str">
        <x:v>=SUMIFS(Acre-yield total,Variety,this variety,Year,2025)/SUMIFS(Acres,Variety,this variety,Year,2025)</x:v>
      </x:c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>
      <x:c r="A13" s="53" t="str">
        <x:v>L330PC</x:v>
      </x:c>
      <x:c r="B13" s="54" t="n">
        <x:f>SUMIFS('Canola records'!$G$2:$G$3371,'Canola records'!$C$2:$C$3371,A13,'Canola records'!$D$2:$D$3371,2025)/SUMIFS('Canola records'!$E$2:$E$3371,'Canola records'!$C$2:$C$3371,A13,'Canola records'!$D$2:$D$3371,2025)</x:f>
        <x:v>48.79578394180541</x:v>
      </x:c>
      <x:c r="C13" s="55" t="n">
        <x:f>SUMIFS('Canola records'!$E$2:$E$3371,'Canola records'!$C$2:$C$3371,A13,'Canola records'!$D$2:$D$3371,2025)</x:f>
        <x:v>380379</x:v>
      </x:c>
      <x:c r="D13" s="56" t="n">
        <x:f>COUNTIFS('Canola records'!$C$2:$C$3371,A13,'Canola records'!$D$2:$D$3371,2025,'Canola records'!$F$2:$F$3371,"&gt;0")</x:f>
        <x:v>20</x:v>
      </x:c>
      <x:c r="E13" s="57" t="str">
        <x:v>=SUMIFS(Acre-yield total,Variety,this variety,Year,2025)/SUMIFS(Acres,Variety,this variety,Year,2025)</x:v>
      </x:c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>
      <x:c r="A14" s="53" t="str">
        <x:v>L350PC</x:v>
      </x:c>
      <x:c r="B14" s="54" t="n">
        <x:f>SUMIFS('Canola records'!$G$2:$G$3371,'Canola records'!$C$2:$C$3371,A14,'Canola records'!$D$2:$D$3371,2025)/SUMIFS('Canola records'!$E$2:$E$3371,'Canola records'!$C$2:$C$3371,A14,'Canola records'!$D$2:$D$3371,2025)</x:f>
        <x:v>48.95707660232317</x:v>
      </x:c>
      <x:c r="C14" s="55" t="n">
        <x:f>SUMIFS('Canola records'!$E$2:$E$3371,'Canola records'!$C$2:$C$3371,A14,'Canola records'!$D$2:$D$3371,2025)</x:f>
        <x:v>141014</x:v>
      </x:c>
      <x:c r="D14" s="56" t="n">
        <x:f>COUNTIFS('Canola records'!$C$2:$C$3371,A14,'Canola records'!$D$2:$D$3371,2025,'Canola records'!$F$2:$F$3371,"&gt;0")</x:f>
        <x:v>15</x:v>
      </x:c>
      <x:c r="E14" s="57" t="str">
        <x:v>=SUMIFS(Acre-yield total,Variety,this variety,Year,2025)/SUMIFS(Acres,Variety,this variety,Year,2025)</x:v>
      </x:c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 ht="15" hidden="0" customHeight="1">
      <x:c r="A17" s="45" t="str">
        <x:v>Step</x:v>
      </x:c>
      <x:c r="B17" s="46" t="str">
        <x:v>Do this in Excel</x:v>
      </x:c>
      <x:c r="C17" s="47" t="str">
        <x:v>What it controls</x:v>
      </x:c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 ht="15" hidden="0" customHeight="1">
      <x:c r="A18" s="48" t="str">
        <x:v>1. Select the data</x:v>
      </x:c>
      <x:c r="B18" s="58" t="str">
        <x:v>Select A4:B14, including both headers. Do not include acres, zones or formula text.</x:v>
      </x:c>
      <x:c r="C18" s="58" t="str">
        <x:v>One category column and one numeric series</x:v>
      </x:c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 ht="15" hidden="0" customHeight="1">
      <x:c r="A19" s="53" t="str">
        <x:v>2. Insert the chart</x:v>
      </x:c>
      <x:c r="B19" s="59" t="str">
        <x:v>Insert &gt; Column or Bar Chart &gt; 2-D Bar &gt; Clustered Bar.</x:v>
      </x:c>
      <x:c r="C19" s="59" t="str">
        <x:v>Horizontal bars leave room for variety names</x:v>
      </x:c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 ht="15" hidden="0" customHeight="1">
      <x:c r="A20" s="53" t="str">
        <x:v>3. Check the source</x:v>
      </x:c>
      <x:c r="B20" s="59" t="str">
        <x:v>Chart Design &gt; Select Data. Variety is the category label; Weighted yield is the only series.</x:v>
      </x:c>
      <x:c r="C20" s="59" t="str">
        <x:v>Prevents extra series or swapped rows and columns</x:v>
      </x:c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 ht="15" hidden="0" customHeight="1">
      <x:c r="A21" s="53" t="str">
        <x:v>4. Change the title</x:v>
      </x:c>
      <x:c r="B21" s="59" t="str">
        <x:v>Click the title and type: 2025 yield of leading canola varieties.</x:v>
      </x:c>
      <x:c r="C21" s="59" t="str">
        <x:v>States year, measure and comparison</x:v>
      </x:c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 ht="26.399999618530273" hidden="0" customHeight="1">
      <x:c r="A22" s="53" t="str">
        <x:v>5. Add the value-axis title</x:v>
      </x:c>
      <x:c r="B22" s="59" t="str">
        <x:v>Chart Design &gt; Add Chart Element &gt; Axis Titles &gt; Primary Horizontal. Type: Acre-weighted yield (bu/ac).</x:v>
      </x:c>
      <x:c r="C22" s="59" t="str">
        <x:v>States the measure and unit</x:v>
      </x:c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 ht="26.399999618530273" hidden="0" customHeight="1">
      <x:c r="A23" s="53" t="str">
        <x:v>6. Alter the scale</x:v>
      </x:c>
      <x:c r="B23" s="59" t="str">
        <x:v>Right-click the numbered axis &gt; Format Axis. Set Minimum = 0, Maximum = 55 and Major unit = 10.</x:v>
      </x:c>
      <x:c r="C23" s="59" t="str">
        <x:v>Keeps bar length proportional and ticks readable</x:v>
      </x:c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 ht="26.399999618530273" hidden="0" customHeight="1">
      <x:c r="A24" s="53" t="str">
        <x:v>7. Reverse category order</x:v>
      </x:c>
      <x:c r="B24" s="59" t="str">
        <x:v>Right-click the variety axis &gt; Format Axis &gt; Categories in reverse order if the highest value appears at the bottom.</x:v>
      </x:c>
      <x:c r="C24" s="59" t="str">
        <x:v>Puts the largest value at the top</x:v>
      </x:c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 ht="26.399999618530273" hidden="0" customHeight="1">
      <x:c r="A25" s="53" t="str">
        <x:v>8. Remove the legend</x:v>
      </x:c>
      <x:c r="B25" s="59" t="str">
        <x:v>Chart Design &gt; Add Chart Element &gt; Legend &gt; None. Add Outside End data labels and show one decimal place.</x:v>
      </x:c>
      <x:c r="C25" s="59" t="str">
        <x:v>Avoids repetition while preserving exact values</x:v>
      </x:c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 ht="26.399999618530273" hidden="0" customHeight="1">
      <x:c r="A26" s="53" t="str">
        <x:v>9. Format the bars</x:v>
      </x:c>
      <x:c r="B26" s="59" t="str">
        <x:v>Use one fill colour. Keep light value gridlines and remove 3-D effects, shadows and heavy borders.</x:v>
      </x:c>
      <x:c r="C26" s="59" t="str">
        <x:v>Uses colour and decoration only when they help</x:v>
      </x:c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71e2a94636144d2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27" hidden="0" customWidth="1"/>
    <x:col min="10" max="10" width="20" hidden="0" customWidth="1"/>
    <x:col min="11" max="11" width="22" hidden="0" customWidth="1"/>
    <x:col min="12" max="12" width="22" hidden="0" customWidth="1"/>
  </x:cols>
  <x:sheetData>
    <x:row r="1" ht="30" customHeight="1">
      <x:c r="A1" s="42" t="str">
        <x:v>Compare provincial variety yield in 2024 and 2025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40" customHeight="1">
      <x:c r="A2" s="43" t="str">
        <x:v>Each point is one canola variety with a reported acre-weighted provincial yield in both years. Varieties missing a 2024 value are omitted rather than plotted as zero.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</x:row>
    <x:row r="4">
      <x:c r="A4" s="45" t="str">
        <x:v>Element</x:v>
      </x:c>
      <x:c r="B4" s="46" t="str">
        <x:v>Meaning</x:v>
      </x:c>
      <x:c r="C4" s="47" t="str">
        <x:v>Source or check</x:v>
      </x:c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</x:row>
    <x:row r="5">
      <x:c r="A5" s="48" t="str">
        <x:v>Horizontal position</x:v>
      </x:c>
      <x:c r="B5" s="48" t="str">
        <x:v>2024 acre-weighted yield</x:v>
      </x:c>
      <x:c r="C5" s="48" t="str">
        <x:v>'Scatter plot'!K42:K113</x:v>
      </x:c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</x:row>
    <x:row r="6">
      <x:c r="A6" s="53" t="str">
        <x:v>Vertical position</x:v>
      </x:c>
      <x:c r="B6" s="53" t="str">
        <x:v>2025 acre-weighted yield</x:v>
      </x:c>
      <x:c r="C6" s="53" t="str">
        <x:v>'Scatter plot'!L42:L113</x:v>
      </x:c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4"/>
    </x:row>
    <x:row r="7">
      <x:c r="A7" s="53" t="str">
        <x:v>Points plotted</x:v>
      </x:c>
      <x:c r="B7" s="53" t="str">
        <x:v>Varieties with both annual values</x:v>
      </x:c>
      <x:c r="C7" s="56" t="n">
        <x:f>COUNT('Variety summary'!$E$5:$E$101)</x:f>
        <x:v>72</x:v>
      </x:c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</x:row>
    <x:row r="8">
      <x:c r="A8" s="53" t="str">
        <x:v>Varieties omitted</x:v>
      </x:c>
      <x:c r="B8" s="53" t="str">
        <x:v>No reported 2024 provincial value</x:v>
      </x:c>
      <x:c r="C8" s="56" t="n">
        <x:f>COUNTA('Variety summary'!$A$5:$A$101)-C7</x:f>
        <x:v>25</x:v>
      </x:c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</x:row>
    <x:row r="9">
      <x:c r="A9" s="53" t="str">
        <x:v>Correlation</x:v>
      </x:c>
      <x:c r="B9" s="53" t="str">
        <x:v>Linear association across complete varieties</x:v>
      </x:c>
      <x:c r="C9" s="60" t="n">
        <x:f>CORREL('Variety summary'!$E$5:$E$101,'Variety summary'!$C$5:$C$101)</x:f>
        <x:v>0.2864827757281933</x:v>
      </x:c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</x:row>
    <x:row r="12" ht="15" hidden="0" customHeight="1">
      <x:c r="A12" s="45" t="str">
        <x:v>Check</x:v>
      </x:c>
      <x:c r="B12" s="46" t="str">
        <x:v>Why</x:v>
      </x:c>
      <x:c r="C12" s="47" t="str">
        <x:v>In this chart</x:v>
      </x:c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 ht="26.399999618530273" hidden="0" customHeight="1">
      <x:c r="A13" s="48" t="str">
        <x:v>Chart type</x:v>
      </x:c>
      <x:c r="B13" s="58" t="str">
        <x:v>An XY scatter chart treats both annual yields as measured values.</x:v>
      </x:c>
      <x:c r="C13" s="58" t="str">
        <x:v>XY scatter, not a line chart</x:v>
      </x:c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 ht="26.399999618530273" hidden="0" customHeight="1">
      <x:c r="A14" s="53" t="str">
        <x:v>Missing values</x:v>
      </x:c>
      <x:c r="B14" s="59" t="str">
        <x:v>Suppressed or unavailable observations should stay blank.</x:v>
      </x:c>
      <x:c r="C14" s="59" t="str">
        <x:v>72 plotted; 25 omitted</x:v>
      </x:c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 ht="26.399999618530273" hidden="0" customHeight="1">
      <x:c r="A15" s="53" t="str">
        <x:v>Pattern</x:v>
      </x:c>
      <x:c r="B15" s="59" t="str">
        <x:v>The point cloud should be inspected before adding a fitted line.</x:v>
      </x:c>
      <x:c r="C15" s="59" t="str">
        <x:v>Correlation is about 0.29</x:v>
      </x:c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5" t="str">
        <x:v>Variety</x:v>
      </x:c>
      <x:c r="K41" s="46" t="str">
        <x:v>2024 weighted yield</x:v>
      </x:c>
      <x:c r="L41" s="47" t="str">
        <x:v>2025 weighted yield</x:v>
      </x:c>
      <x:c r="M41" s="44"/>
      <x:c r="N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8" t="str">
        <x:v>L340PC</x:v>
      </x:c>
      <x:c r="K42" s="49" t="n">
        <x:f>'Variety summary'!E5</x:f>
        <x:v>36.25150789024114</x:v>
      </x:c>
      <x:c r="L42" s="49" t="n">
        <x:f>'Variety summary'!C5</x:f>
        <x:v>47.95881526911449</x:v>
      </x:c>
      <x:c r="M42" s="44"/>
      <x:c r="N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53" t="str">
        <x:v>L356PC</x:v>
      </x:c>
      <x:c r="K43" s="54" t="n">
        <x:f>'Variety summary'!E6</x:f>
        <x:v>37.96004421284323</x:v>
      </x:c>
      <x:c r="L43" s="54" t="n">
        <x:f>'Variety summary'!C6</x:f>
        <x:v>48.46193893506707</x:v>
      </x:c>
      <x:c r="M43" s="44"/>
      <x:c r="N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53" t="str">
        <x:v>L345PC</x:v>
      </x:c>
      <x:c r="K44" s="54" t="n">
        <x:f>'Variety summary'!E8</x:f>
        <x:v>34.408255299337384</x:v>
      </x:c>
      <x:c r="L44" s="54" t="n">
        <x:f>'Variety summary'!C8</x:f>
        <x:v>45.1136332601459</x:v>
      </x:c>
      <x:c r="M44" s="44"/>
      <x:c r="N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53" t="str">
        <x:v>L233P</x:v>
      </x:c>
      <x:c r="K45" s="54" t="n">
        <x:f>'Variety summary'!E9</x:f>
        <x:v>31.00371145387868</x:v>
      </x:c>
      <x:c r="L45" s="54" t="n">
        <x:f>'Variety summary'!C9</x:f>
        <x:v>44.301725657242265</x:v>
      </x:c>
      <x:c r="M45" s="44"/>
      <x:c r="N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53" t="str">
        <x:v>P520L</x:v>
      </x:c>
      <x:c r="K46" s="54" t="n">
        <x:f>'Variety summary'!E10</x:f>
        <x:v>35.721303708544355</x:v>
      </x:c>
      <x:c r="L46" s="54" t="n">
        <x:f>'Variety summary'!C10</x:f>
        <x:v>46.06576883015429</x:v>
      </x:c>
      <x:c r="M46" s="44"/>
      <x:c r="N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53" t="str">
        <x:v>L350PC</x:v>
      </x:c>
      <x:c r="K47" s="54" t="n">
        <x:f>'Variety summary'!E12</x:f>
        <x:v>38.26280911057817</x:v>
      </x:c>
      <x:c r="L47" s="54" t="n">
        <x:f>'Variety summary'!C12</x:f>
        <x:v>48.95707660232317</x:v>
      </x:c>
      <x:c r="M47" s="44"/>
      <x:c r="N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53" t="str">
        <x:v>DK900TF</x:v>
      </x:c>
      <x:c r="K48" s="54" t="n">
        <x:f>'Variety summary'!E13</x:f>
        <x:v>34.79976269912129</x:v>
      </x:c>
      <x:c r="L48" s="54" t="n">
        <x:f>'Variety summary'!C13</x:f>
        <x:v>46.15372143677478</x:v>
      </x:c>
      <x:c r="M48" s="44"/>
      <x:c r="N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53" t="str">
        <x:v>DK800LL</x:v>
      </x:c>
      <x:c r="K49" s="54" t="n">
        <x:f>'Variety summary'!E14</x:f>
        <x:v>32.52495737425405</x:v>
      </x:c>
      <x:c r="L49" s="54" t="n">
        <x:f>'Variety summary'!C14</x:f>
        <x:v>48.36101210996199</x:v>
      </x:c>
      <x:c r="M49" s="44"/>
      <x:c r="N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53" t="str">
        <x:v>BY 7204LL</x:v>
      </x:c>
      <x:c r="K50" s="54" t="n">
        <x:f>'Variety summary'!E15</x:f>
        <x:v>31.82807913596447</x:v>
      </x:c>
      <x:c r="L50" s="54" t="n">
        <x:f>'Variety summary'!C15</x:f>
        <x:v>44.99695965326025</x:v>
      </x:c>
      <x:c r="M50" s="44"/>
      <x:c r="N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53" t="str">
        <x:v>DK 801 LL</x:v>
      </x:c>
      <x:c r="K51" s="54" t="n">
        <x:f>'Variety summary'!E16</x:f>
        <x:v>30.517336448598126</x:v>
      </x:c>
      <x:c r="L51" s="54" t="n">
        <x:f>'Variety summary'!C16</x:f>
        <x:v>42.65654636421043</x:v>
      </x:c>
      <x:c r="M51" s="44"/>
      <x:c r="N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53" t="str">
        <x:v>P515G</x:v>
      </x:c>
      <x:c r="K52" s="54" t="n">
        <x:f>'Variety summary'!E17</x:f>
        <x:v>34.827473800993545</x:v>
      </x:c>
      <x:c r="L52" s="54" t="n">
        <x:f>'Variety summary'!C17</x:f>
        <x:v>43.76180618834436</x:v>
      </x:c>
      <x:c r="M52" s="44"/>
      <x:c r="N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53" t="str">
        <x:v>P505MSL</x:v>
      </x:c>
      <x:c r="K53" s="54" t="n">
        <x:f>'Variety summary'!E18</x:f>
        <x:v>34.86678686782451</x:v>
      </x:c>
      <x:c r="L53" s="54" t="n">
        <x:f>'Variety summary'!C18</x:f>
        <x:v>46.238764368959075</x:v>
      </x:c>
      <x:c r="M53" s="44"/>
      <x:c r="N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53" t="str">
        <x:v>L343PC</x:v>
      </x:c>
      <x:c r="K54" s="54" t="n">
        <x:f>'Variety summary'!E19</x:f>
        <x:v>38.298809349270414</x:v>
      </x:c>
      <x:c r="L54" s="54" t="n">
        <x:f>'Variety summary'!C19</x:f>
        <x:v>50.46216035295907</x:v>
      </x:c>
      <x:c r="M54" s="44"/>
      <x:c r="N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53" t="str">
        <x:v>DK400TL</x:v>
      </x:c>
      <x:c r="K55" s="54" t="n">
        <x:f>'Variety summary'!E20</x:f>
        <x:v>28.640316084868555</x:v>
      </x:c>
      <x:c r="L55" s="54" t="n">
        <x:f>'Variety summary'!C20</x:f>
        <x:v>46.6243627084224</x:v>
      </x:c>
      <x:c r="M55" s="44"/>
      <x:c r="N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53" t="str">
        <x:v>DK902TF</x:v>
      </x:c>
      <x:c r="K56" s="54" t="n">
        <x:f>'Variety summary'!E21</x:f>
        <x:v>36.62577586206897</x:v>
      </x:c>
      <x:c r="L56" s="54" t="n">
        <x:f>'Variety summary'!C21</x:f>
        <x:v>46.75209494823074</x:v>
      </x:c>
      <x:c r="M56" s="44"/>
      <x:c r="N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53" t="str">
        <x:v>CS4000 LL</x:v>
      </x:c>
      <x:c r="K57" s="54" t="n">
        <x:f>'Variety summary'!E23</x:f>
        <x:v>36.42730188090034</x:v>
      </x:c>
      <x:c r="L57" s="54" t="n">
        <x:f>'Variety summary'!C23</x:f>
        <x:v>45.87385168687016</x:v>
      </x:c>
      <x:c r="M57" s="44"/>
      <x:c r="N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53" t="str">
        <x:v>PV 661 LCM</x:v>
      </x:c>
      <x:c r="K58" s="54" t="n">
        <x:f>'Variety summary'!E24</x:f>
        <x:v>31.476266197775313</x:v>
      </x:c>
      <x:c r="L58" s="54" t="n">
        <x:f>'Variety summary'!C24</x:f>
        <x:v>42.368222782215</x:v>
      </x:c>
      <x:c r="M58" s="44"/>
      <x:c r="N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53" t="str">
        <x:v>PV 781 TCM</x:v>
      </x:c>
      <x:c r="K59" s="54" t="n">
        <x:f>'Variety summary'!E26</x:f>
        <x:v>31.691504026971344</x:v>
      </x:c>
      <x:c r="L59" s="54" t="n">
        <x:f>'Variety summary'!C26</x:f>
        <x:v>40.414899405742105</x:v>
      </x:c>
      <x:c r="M59" s="44"/>
      <x:c r="N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53" t="str">
        <x:v>P516L</x:v>
      </x:c>
      <x:c r="K60" s="54" t="n">
        <x:f>'Variety summary'!E27</x:f>
        <x:v>36.070660498183436</x:v>
      </x:c>
      <x:c r="L60" s="54" t="n">
        <x:f>'Variety summary'!C27</x:f>
        <x:v>44.390364020554195</x:v>
      </x:c>
      <x:c r="M60" s="44"/>
      <x:c r="N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53" t="str">
        <x:v>LR354PC</x:v>
      </x:c>
      <x:c r="K61" s="54" t="n">
        <x:f>'Variety summary'!E28</x:f>
        <x:v>32.44581078515143</x:v>
      </x:c>
      <x:c r="L61" s="54" t="n">
        <x:f>'Variety summary'!C28</x:f>
        <x:v>48.80692128877447</x:v>
      </x:c>
      <x:c r="M61" s="44"/>
      <x:c r="N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53" t="str">
        <x:v>BY 6211TF</x:v>
      </x:c>
      <x:c r="K62" s="54" t="n">
        <x:f>'Variety summary'!E31</x:f>
        <x:v>36.199041227229145</x:v>
      </x:c>
      <x:c r="L62" s="54" t="n">
        <x:f>'Variety summary'!C31</x:f>
        <x:v>41.71296464188577</x:v>
      </x:c>
      <x:c r="M62" s="44"/>
      <x:c r="N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53" t="str">
        <x:v>BY 6217TF</x:v>
      </x:c>
      <x:c r="K63" s="54" t="n">
        <x:f>'Variety summary'!E33</x:f>
        <x:v>32.504135954135954</x:v>
      </x:c>
      <x:c r="L63" s="54" t="n">
        <x:f>'Variety summary'!C33</x:f>
        <x:v>40.168293786771834</x:v>
      </x:c>
      <x:c r="M63" s="44"/>
      <x:c r="N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53" t="str">
        <x:v>PV 681 LC</x:v>
      </x:c>
      <x:c r="K64" s="54" t="n">
        <x:f>'Variety summary'!E36</x:f>
        <x:v>31.939955251203468</x:v>
      </x:c>
      <x:c r="L64" s="54" t="n">
        <x:f>'Variety summary'!C36</x:f>
        <x:v>41.97378879400125</x:v>
      </x:c>
      <x:c r="M64" s="44"/>
      <x:c r="N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53" t="str">
        <x:v>P519L</x:v>
      </x:c>
      <x:c r="K65" s="54" t="n">
        <x:f>'Variety summary'!E37</x:f>
        <x:v>37.4611498973306</x:v>
      </x:c>
      <x:c r="L65" s="54" t="n">
        <x:f>'Variety summary'!C37</x:f>
        <x:v>47.825330673489745</x:v>
      </x:c>
      <x:c r="M65" s="44"/>
      <x:c r="N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53" t="str">
        <x:v>B3020</x:v>
      </x:c>
      <x:c r="K66" s="54" t="n">
        <x:f>'Variety summary'!E38</x:f>
        <x:v>38.8</x:v>
      </x:c>
      <x:c r="L66" s="54" t="n">
        <x:f>'Variety summary'!C38</x:f>
        <x:v>40.232719559527034</x:v>
      </x:c>
      <x:c r="M66" s="44"/>
      <x:c r="N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53" t="str">
        <x:v>PV661 LCM</x:v>
      </x:c>
      <x:c r="K67" s="54" t="n">
        <x:f>'Variety summary'!E39</x:f>
        <x:v>31.105201963914578</x:v>
      </x:c>
      <x:c r="L67" s="54" t="n">
        <x:f>'Variety summary'!C39</x:f>
        <x:v>39.48289807421324</x:v>
      </x:c>
      <x:c r="M67" s="44"/>
      <x:c r="N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53" t="str">
        <x:v>DKTFLL 21 SC</x:v>
      </x:c>
      <x:c r="K68" s="54" t="n">
        <x:f>'Variety summary'!E40</x:f>
        <x:v>23.28328042499433</x:v>
      </x:c>
      <x:c r="L68" s="54" t="n">
        <x:f>'Variety summary'!C40</x:f>
        <x:v>31.19638021946701</x:v>
      </x:c>
      <x:c r="M68" s="44"/>
      <x:c r="N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53" t="str">
        <x:v>B4015</x:v>
      </x:c>
      <x:c r="K69" s="54" t="n">
        <x:f>'Variety summary'!E41</x:f>
        <x:v>33.918391941721374</x:v>
      </x:c>
      <x:c r="L69" s="54" t="n">
        <x:f>'Variety summary'!C41</x:f>
        <x:v>40.553777269696106</x:v>
      </x:c>
      <x:c r="M69" s="44"/>
      <x:c r="N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53" t="str">
        <x:v>P510G</x:v>
      </x:c>
      <x:c r="K70" s="54" t="n">
        <x:f>'Variety summary'!E43</x:f>
        <x:v>34.92066982952718</x:v>
      </x:c>
      <x:c r="L70" s="54" t="n">
        <x:f>'Variety summary'!C43</x:f>
        <x:v>45.2460175078353</x:v>
      </x:c>
      <x:c r="M70" s="44"/>
      <x:c r="N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53" t="str">
        <x:v>CS3200 TF</x:v>
      </x:c>
      <x:c r="K71" s="54" t="n">
        <x:f>'Variety summary'!E45</x:f>
        <x:v>40.95002157962884</x:v>
      </x:c>
      <x:c r="L71" s="54" t="n">
        <x:f>'Variety summary'!C45</x:f>
        <x:v>49.48983836463038</x:v>
      </x:c>
      <x:c r="M71" s="44"/>
      <x:c r="N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53" t="str">
        <x:v>BY 5125CL</x:v>
      </x:c>
      <x:c r="K72" s="54" t="n">
        <x:f>'Variety summary'!E46</x:f>
        <x:v>34.712001556117485</x:v>
      </x:c>
      <x:c r="L72" s="54" t="n">
        <x:f>'Variety summary'!C46</x:f>
        <x:v>39.21552089001754</x:v>
      </x:c>
      <x:c r="M72" s="44"/>
      <x:c r="N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53" t="str">
        <x:v>B3019</x:v>
      </x:c>
      <x:c r="K73" s="54" t="n">
        <x:f>'Variety summary'!E47</x:f>
        <x:v>41.85682023486901</x:v>
      </x:c>
      <x:c r="L73" s="54" t="n">
        <x:f>'Variety summary'!C47</x:f>
        <x:v>43.35299279222814</x:v>
      </x:c>
      <x:c r="M73" s="44"/>
      <x:c r="N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53" t="str">
        <x:v>P612L</x:v>
      </x:c>
      <x:c r="K74" s="54" t="n">
        <x:f>'Variety summary'!E48</x:f>
        <x:v>31.166874382225277</x:v>
      </x:c>
      <x:c r="L74" s="54" t="n">
        <x:f>'Variety summary'!C48</x:f>
        <x:v>50.28273667462212</x:v>
      </x:c>
      <x:c r="M74" s="44"/>
      <x:c r="N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53" t="str">
        <x:v>PV 761 TM</x:v>
      </x:c>
      <x:c r="K75" s="54" t="n">
        <x:f>'Variety summary'!E49</x:f>
        <x:v>33.83672306629834</x:v>
      </x:c>
      <x:c r="L75" s="54" t="n">
        <x:f>'Variety summary'!C49</x:f>
        <x:v>41.660481025419465</x:v>
      </x:c>
      <x:c r="M75" s="44"/>
      <x:c r="N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53" t="str">
        <x:v>P514CL</x:v>
      </x:c>
      <x:c r="K76" s="54" t="n">
        <x:f>'Variety summary'!E50</x:f>
        <x:v>35.80921305182341</x:v>
      </x:c>
      <x:c r="L76" s="54" t="n">
        <x:f>'Variety summary'!C50</x:f>
        <x:v>43.022681378912445</x:v>
      </x:c>
      <x:c r="M76" s="44"/>
      <x:c r="N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53" t="str">
        <x:v>45CM39</x:v>
      </x:c>
      <x:c r="K77" s="54" t="n">
        <x:f>'Variety summary'!E51</x:f>
        <x:v>40.058965573503016</x:v>
      </x:c>
      <x:c r="L77" s="54" t="n">
        <x:f>'Variety summary'!C51</x:f>
        <x:v>49.20846328538986</x:v>
      </x:c>
      <x:c r="M77" s="44"/>
      <x:c r="N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53" t="str">
        <x:v>DK901TF</x:v>
      </x:c>
      <x:c r="K78" s="54" t="n">
        <x:f>'Variety summary'!E52</x:f>
        <x:v>33.114202383971595</x:v>
      </x:c>
      <x:c r="L78" s="54" t="n">
        <x:f>'Variety summary'!C52</x:f>
        <x:v>39.431776284955475</x:v>
      </x:c>
      <x:c r="M78" s="44"/>
      <x:c r="N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53" t="str">
        <x:v>P508MCL</x:v>
      </x:c>
      <x:c r="K79" s="54" t="n">
        <x:f>'Variety summary'!E53</x:f>
        <x:v>38.8588270702554</x:v>
      </x:c>
      <x:c r="L79" s="54" t="n">
        <x:f>'Variety summary'!C53</x:f>
        <x:v>45.6281171679198</x:v>
      </x:c>
      <x:c r="M79" s="44"/>
      <x:c r="N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53" t="str">
        <x:v>45M35</x:v>
      </x:c>
      <x:c r="K80" s="54" t="n">
        <x:f>'Variety summary'!E54</x:f>
        <x:v>40.64829047753602</x:v>
      </x:c>
      <x:c r="L80" s="54" t="n">
        <x:f>'Variety summary'!C54</x:f>
        <x:v>50.55307242783779</x:v>
      </x:c>
      <x:c r="M80" s="44"/>
      <x:c r="N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53" t="str">
        <x:v>45H42</x:v>
      </x:c>
      <x:c r="K81" s="54" t="n">
        <x:f>'Variety summary'!E55</x:f>
        <x:v>34.52181805911729</x:v>
      </x:c>
      <x:c r="L81" s="54" t="n">
        <x:f>'Variety summary'!C55</x:f>
        <x:v>41.812180012753934</x:v>
      </x:c>
      <x:c r="M81" s="44"/>
      <x:c r="N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53" t="str">
        <x:v>L234PC</x:v>
      </x:c>
      <x:c r="K82" s="54" t="n">
        <x:f>'Variety summary'!E56</x:f>
        <x:v>42.16258300893062</x:v>
      </x:c>
      <x:c r="L82" s="54" t="n">
        <x:f>'Variety summary'!C56</x:f>
        <x:v>45.324780906209206</x:v>
      </x:c>
      <x:c r="M82" s="44"/>
      <x:c r="N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53" t="str">
        <x:v>L230</x:v>
      </x:c>
      <x:c r="K83" s="54" t="n">
        <x:f>'Variety summary'!E57</x:f>
        <x:v>43.7</x:v>
      </x:c>
      <x:c r="L83" s="54" t="n">
        <x:f>'Variety summary'!C57</x:f>
        <x:v>48.39748023715415</x:v>
      </x:c>
      <x:c r="M83" s="44"/>
      <x:c r="N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53" t="str">
        <x:v>P501L</x:v>
      </x:c>
      <x:c r="K84" s="54" t="n">
        <x:f>'Variety summary'!E60</x:f>
        <x:v>39.13314698663758</x:v>
      </x:c>
      <x:c r="L84" s="54" t="n">
        <x:f>'Variety summary'!C60</x:f>
        <x:v>39.306838059899285</x:v>
      </x:c>
      <x:c r="M84" s="44"/>
      <x:c r="N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53" t="str">
        <x:v>BY 6214TF</x:v>
      </x:c>
      <x:c r="K85" s="54" t="n">
        <x:f>'Variety summary'!E61</x:f>
        <x:v>33.30588605886059</x:v>
      </x:c>
      <x:c r="L85" s="54" t="n">
        <x:f>'Variety summary'!C61</x:f>
        <x:v>45.82739802570311</x:v>
      </x:c>
      <x:c r="M85" s="44"/>
      <x:c r="N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53" t="str">
        <x:v>L140P</x:v>
      </x:c>
      <x:c r="K86" s="54" t="n">
        <x:f>'Variety summary'!E62</x:f>
        <x:v>39.09037900874635</x:v>
      </x:c>
      <x:c r="L86" s="54" t="n">
        <x:f>'Variety summary'!C62</x:f>
        <x:v>46.42789929839042</x:v>
      </x:c>
      <x:c r="M86" s="44"/>
      <x:c r="N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53" t="str">
        <x:v>CP21L3C</x:v>
      </x:c>
      <x:c r="K87" s="54" t="n">
        <x:f>'Variety summary'!E63</x:f>
        <x:v>45.9</x:v>
      </x:c>
      <x:c r="L87" s="54" t="n">
        <x:f>'Variety summary'!C63</x:f>
        <x:v>45.32809917355372</x:v>
      </x:c>
      <x:c r="M87" s="44"/>
      <x:c r="N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53" t="str">
        <x:v>B3012</x:v>
      </x:c>
      <x:c r="K88" s="54" t="n">
        <x:f>'Variety summary'!E64</x:f>
        <x:v>36.831004539175055</x:v>
      </x:c>
      <x:c r="L88" s="54" t="n">
        <x:f>'Variety summary'!C64</x:f>
        <x:v>42.00151515151515</x:v>
      </x:c>
      <x:c r="M88" s="44"/>
      <x:c r="N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53" t="str">
        <x:v>PV 760 TM</x:v>
      </x:c>
      <x:c r="K89" s="54" t="n">
        <x:f>'Variety summary'!E65</x:f>
        <x:v>31.305593319091084</x:v>
      </x:c>
      <x:c r="L89" s="54" t="n">
        <x:f>'Variety summary'!C65</x:f>
        <x:v>44.935561569688765</x:v>
      </x:c>
      <x:c r="M89" s="44"/>
      <x:c r="N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53" t="str">
        <x:v>DKLL 83 SC</x:v>
      </x:c>
      <x:c r="K90" s="54" t="n">
        <x:f>'Variety summary'!E66</x:f>
        <x:v>29.136031937028402</x:v>
      </x:c>
      <x:c r="L90" s="54" t="n">
        <x:f>'Variety summary'!C66</x:f>
        <x:v>51.91683974179063</x:v>
      </x:c>
      <x:c r="M90" s="44"/>
      <x:c r="N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53" t="str">
        <x:v>L255PC</x:v>
      </x:c>
      <x:c r="K91" s="54" t="n">
        <x:f>'Variety summary'!E67</x:f>
        <x:v>28</x:v>
      </x:c>
      <x:c r="L91" s="54" t="n">
        <x:f>'Variety summary'!C67</x:f>
        <x:v>52.87902176986146</x:v>
      </x:c>
      <x:c r="M91" s="44"/>
      <x:c r="N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53" t="str">
        <x:v>CS3100 TF</x:v>
      </x:c>
      <x:c r="K92" s="54" t="n">
        <x:f>'Variety summary'!E68</x:f>
        <x:v>40.799127038823805</x:v>
      </x:c>
      <x:c r="L92" s="54" t="n">
        <x:f>'Variety summary'!C68</x:f>
        <x:v>38.21427135678392</x:v>
      </x:c>
      <x:c r="M92" s="44"/>
      <x:c r="N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53" t="str">
        <x:v>P511G</x:v>
      </x:c>
      <x:c r="K93" s="54" t="n">
        <x:f>'Variety summary'!E69</x:f>
        <x:v>29</x:v>
      </x:c>
      <x:c r="L93" s="54" t="n">
        <x:f>'Variety summary'!C69</x:f>
        <x:v>39.262908680947014</x:v>
      </x:c>
      <x:c r="M93" s="44"/>
      <x:c r="N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53" t="str">
        <x:v>44H44</x:v>
      </x:c>
      <x:c r="K94" s="54" t="n">
        <x:f>'Variety summary'!E70</x:f>
        <x:v>36.2</x:v>
      </x:c>
      <x:c r="L94" s="54" t="n">
        <x:f>'Variety summary'!C70</x:f>
        <x:v>41.7</x:v>
      </x:c>
      <x:c r="M94" s="44"/>
      <x:c r="N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53" t="str">
        <x:v>PV 780 TC</x:v>
      </x:c>
      <x:c r="K95" s="54" t="n">
        <x:f>'Variety summary'!E71</x:f>
        <x:v>46.5</x:v>
      </x:c>
      <x:c r="L95" s="54" t="n">
        <x:f>'Variety summary'!C71</x:f>
        <x:v>51.8609756097561</x:v>
      </x:c>
      <x:c r="M95" s="44"/>
      <x:c r="N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53" t="str">
        <x:v>45H52</x:v>
      </x:c>
      <x:c r="K96" s="54" t="n">
        <x:f>'Variety summary'!E72</x:f>
        <x:v>17.8</x:v>
      </x:c>
      <x:c r="L96" s="54" t="n">
        <x:f>'Variety summary'!C72</x:f>
        <x:v>39.5</x:v>
      </x:c>
      <x:c r="M96" s="44"/>
      <x:c r="N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53" t="str">
        <x:v>CS3000 TF</x:v>
      </x:c>
      <x:c r="K97" s="54" t="n">
        <x:f>'Variety summary'!E73</x:f>
        <x:v>34.97602405721717</x:v>
      </x:c>
      <x:c r="L97" s="54" t="n">
        <x:f>'Variety summary'!C73</x:f>
        <x:v>48.15874532613211</x:v>
      </x:c>
      <x:c r="M97" s="44"/>
      <x:c r="N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53" t="str">
        <x:v>BY 6216TF</x:v>
      </x:c>
      <x:c r="K98" s="54" t="n">
        <x:f>'Variety summary'!E74</x:f>
        <x:v>38</x:v>
      </x:c>
      <x:c r="L98" s="54" t="n">
        <x:f>'Variety summary'!C74</x:f>
        <x:v>44.64710280373832</x:v>
      </x:c>
      <x:c r="M98" s="44"/>
      <x:c r="N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53" t="str">
        <x:v>46A65</x:v>
      </x:c>
      <x:c r="K99" s="54" t="n">
        <x:f>'Variety summary'!E75</x:f>
        <x:v>24.7</x:v>
      </x:c>
      <x:c r="L99" s="54" t="n">
        <x:f>'Variety summary'!C75</x:f>
        <x:v>31.4</x:v>
      </x:c>
      <x:c r="M99" s="44"/>
      <x:c r="N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53" t="str">
        <x:v>PV 782 TCN</x:v>
      </x:c>
      <x:c r="K100" s="54" t="n">
        <x:f>'Variety summary'!E77</x:f>
        <x:v>32.8</x:v>
      </x:c>
      <x:c r="L100" s="54" t="n">
        <x:f>'Variety summary'!C77</x:f>
        <x:v>45.79446014697569</x:v>
      </x:c>
      <x:c r="M100" s="44"/>
      <x:c r="N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53" t="str">
        <x:v>P509L</x:v>
      </x:c>
      <x:c r="K101" s="54" t="n">
        <x:f>'Variety summary'!E78</x:f>
        <x:v>38.146150452239134</x:v>
      </x:c>
      <x:c r="L101" s="54" t="n">
        <x:f>'Variety summary'!C78</x:f>
        <x:v>49.953206650831355</x:v>
      </x:c>
      <x:c r="M101" s="44"/>
      <x:c r="N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53" t="str">
        <x:v>B3010M</x:v>
      </x:c>
      <x:c r="K102" s="54" t="n">
        <x:f>'Variety summary'!E82</x:f>
        <x:v>43.5</x:v>
      </x:c>
      <x:c r="L102" s="54" t="n">
        <x:f>'Variety summary'!C82</x:f>
        <x:v>38.3</x:v>
      </x:c>
      <x:c r="M102" s="44"/>
      <x:c r="N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53" t="str">
        <x:v>46A76</x:v>
      </x:c>
      <x:c r="K103" s="54" t="n">
        <x:f>'Variety summary'!E87</x:f>
        <x:v>29.5</x:v>
      </x:c>
      <x:c r="L103" s="54" t="n">
        <x:f>'Variety summary'!C87</x:f>
        <x:v>22.5</x:v>
      </x:c>
      <x:c r="M103" s="44"/>
      <x:c r="N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53" t="str">
        <x:v>L357P</x:v>
      </x:c>
      <x:c r="K104" s="54" t="n">
        <x:f>'Variety summary'!E88</x:f>
        <x:v>39.2</x:v>
      </x:c>
      <x:c r="L104" s="54" t="n">
        <x:f>'Variety summary'!C88</x:f>
        <x:v>52.9</x:v>
      </x:c>
      <x:c r="M104" s="44"/>
      <x:c r="N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53" t="str">
        <x:v>2600 CS CR-T</x:v>
      </x:c>
      <x:c r="K105" s="54" t="n">
        <x:f>'Variety summary'!E89</x:f>
        <x:v>36.68124128312413</x:v>
      </x:c>
      <x:c r="L105" s="54" t="n">
        <x:f>'Variety summary'!C89</x:f>
        <x:v>41.27710064635272</x:v>
      </x:c>
      <x:c r="M105" s="44"/>
      <x:c r="N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53" t="str">
        <x:v>45H35</x:v>
      </x:c>
      <x:c r="K106" s="54" t="n">
        <x:f>'Variety summary'!E91</x:f>
        <x:v>38.7</x:v>
      </x:c>
      <x:c r="L106" s="54" t="n">
        <x:f>'Variety summary'!C91</x:f>
        <x:v>44.6</x:v>
      </x:c>
      <x:c r="M106" s="44"/>
      <x:c r="N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53" t="str">
        <x:v>BY 7102LL</x:v>
      </x:c>
      <x:c r="K107" s="54" t="n">
        <x:f>'Variety summary'!E92</x:f>
        <x:v>32.7</x:v>
      </x:c>
      <x:c r="L107" s="54" t="n">
        <x:f>'Variety summary'!C92</x:f>
        <x:v>37.1</x:v>
      </x:c>
      <x:c r="M107" s="44"/>
      <x:c r="N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53" t="str">
        <x:v>CS2700 CL</x:v>
      </x:c>
      <x:c r="K108" s="54" t="n">
        <x:f>'Variety summary'!E93</x:f>
        <x:v>44.7</x:v>
      </x:c>
      <x:c r="L108" s="54" t="n">
        <x:f>'Variety summary'!C93</x:f>
        <x:v>33.928928928928926</x:v>
      </x:c>
      <x:c r="M108" s="44"/>
      <x:c r="N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53" t="str">
        <x:v>BY 6204TF</x:v>
      </x:c>
      <x:c r="K109" s="54" t="n">
        <x:f>'Variety summary'!E94</x:f>
        <x:v>34.7</x:v>
      </x:c>
      <x:c r="L109" s="54" t="n">
        <x:f>'Variety summary'!C94</x:f>
        <x:v>41.4</x:v>
      </x:c>
      <x:c r="M109" s="44"/>
      <x:c r="N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53" t="str">
        <x:v>PV 660 LCM</x:v>
      </x:c>
      <x:c r="K110" s="54" t="n">
        <x:f>'Variety summary'!E95</x:f>
        <x:v>36.2</x:v>
      </x:c>
      <x:c r="L110" s="54" t="n">
        <x:f>'Variety summary'!C95</x:f>
        <x:v>30.3</x:v>
      </x:c>
      <x:c r="M110" s="44"/>
      <x:c r="N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53" t="str">
        <x:v>NC527CRTF</x:v>
      </x:c>
      <x:c r="K111" s="54" t="n">
        <x:f>'Variety summary'!E99</x:f>
        <x:v>30.7</x:v>
      </x:c>
      <x:c r="L111" s="54" t="n">
        <x:f>'Variety summary'!C99</x:f>
        <x:v>29</x:v>
      </x:c>
      <x:c r="M111" s="44"/>
      <x:c r="N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53" t="str">
        <x:v>CP21T3P</x:v>
      </x:c>
      <x:c r="K112" s="54" t="n">
        <x:f>'Variety summary'!E100</x:f>
        <x:v>8.7</x:v>
      </x:c>
      <x:c r="L112" s="54" t="n">
        <x:f>'Variety summary'!C100</x:f>
        <x:v>41.4</x:v>
      </x:c>
      <x:c r="M112" s="44"/>
      <x:c r="N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53" t="str">
        <x:v>505 HYOLA RR</x:v>
      </x:c>
      <x:c r="K113" s="54" t="n">
        <x:f>'Variety summary'!E101</x:f>
        <x:v>37.1</x:v>
      </x:c>
      <x:c r="L113" s="54" t="n">
        <x:f>'Variety summary'!C101</x:f>
        <x:v>52.5</x:v>
      </x:c>
      <x:c r="M113" s="44"/>
      <x:c r="N113" s="44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1086df81673444c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27" hidden="0" customWidth="1"/>
    <x:col min="4" max="4" width="78" hidden="0" customWidth="1"/>
  </x:cols>
  <x:sheetData>
    <x:row r="1" ht="30" customHeight="1">
      <x:c r="A1" s="42" t="str">
        <x:v>Distribution of reported 2025 canola variety yields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40" customHeight="1">
      <x:c r="A2" s="43" t="str">
        <x:v>The bin table counts the 674 reported risk-zone-by-variety yields in 5 bu/ac intervals. The final interval includes its upper boundary so every recorded value is counted once.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</x:row>
    <x:row r="4">
      <x:c r="A4" s="45" t="str">
        <x:v>Lower bound</x:v>
      </x:c>
      <x:c r="B4" s="46" t="str">
        <x:v>Upper bound</x:v>
      </x:c>
      <x:c r="C4" s="46" t="str">
        <x:v>Reported rows</x:v>
      </x:c>
      <x:c r="D4" s="47" t="str">
        <x:v>Formula in C</x:v>
      </x:c>
      <x:c r="E4" s="44"/>
      <x:c r="F4" s="44"/>
      <x:c r="G4" s="44"/>
      <x:c r="H4" s="44"/>
      <x:c r="I4" s="44"/>
      <x:c r="J4" s="44"/>
      <x:c r="K4" s="44"/>
      <x:c r="L4" s="44"/>
      <x:c r="M4" s="44"/>
      <x:c r="N4" s="44"/>
    </x:row>
    <x:row r="5" ht="30" customHeight="1">
      <x:c r="A5" s="51" t="n">
        <x:v>15</x:v>
      </x:c>
      <x:c r="B5" s="51" t="n">
        <x:v>20</x:v>
      </x:c>
      <x:c r="C5" s="51" t="n">
        <x:f>COUNTIFS('Canola records'!$D$2:$D$3371,2025,'Canola records'!$F$2:$F$3371,"&gt;="&amp;A5,'Canola records'!$F$2:$F$3371,"&lt;"&amp;B5)</x:f>
        <x:v>2</x:v>
      </x:c>
      <x:c r="D5" s="52" t="str">
        <x:v>=COUNTIFS('Canola records'!$D$2:$D$3371,2025,'Canola records'!$F$2:$F$3371,"&gt;="&amp;A5,'Canola records'!$F$2:$F$3371,"&lt;"&amp;B5)</x:v>
      </x:c>
      <x:c r="E5" s="44"/>
      <x:c r="F5" s="44"/>
      <x:c r="G5" s="44"/>
      <x:c r="H5" s="44"/>
      <x:c r="I5" s="44"/>
      <x:c r="J5" s="44"/>
      <x:c r="K5" s="44"/>
      <x:c r="L5" s="44"/>
      <x:c r="M5" s="44"/>
      <x:c r="N5" s="44"/>
    </x:row>
    <x:row r="6" ht="30" customHeight="1">
      <x:c r="A6" s="56" t="n">
        <x:v>20</x:v>
      </x:c>
      <x:c r="B6" s="56" t="n">
        <x:v>25</x:v>
      </x:c>
      <x:c r="C6" s="56" t="n">
        <x:f>COUNTIFS('Canola records'!$D$2:$D$3371,2025,'Canola records'!$F$2:$F$3371,"&gt;="&amp;A6,'Canola records'!$F$2:$F$3371,"&lt;"&amp;B6)</x:f>
        <x:v>7</x:v>
      </x:c>
      <x:c r="D6" s="57" t="str">
        <x:v>=COUNTIFS('Canola records'!$D$2:$D$3371,2025,'Canola records'!$F$2:$F$3371,"&gt;="&amp;A6,'Canola records'!$F$2:$F$3371,"&lt;"&amp;B6)</x:v>
      </x:c>
      <x:c r="E6" s="44"/>
      <x:c r="F6" s="44"/>
      <x:c r="G6" s="44"/>
      <x:c r="H6" s="44"/>
      <x:c r="I6" s="44"/>
      <x:c r="J6" s="44"/>
      <x:c r="K6" s="44"/>
      <x:c r="L6" s="44"/>
      <x:c r="M6" s="44"/>
      <x:c r="N6" s="44"/>
    </x:row>
    <x:row r="7" ht="30" customHeight="1">
      <x:c r="A7" s="56" t="n">
        <x:v>25</x:v>
      </x:c>
      <x:c r="B7" s="56" t="n">
        <x:v>30</x:v>
      </x:c>
      <x:c r="C7" s="56" t="n">
        <x:f>COUNTIFS('Canola records'!$D$2:$D$3371,2025,'Canola records'!$F$2:$F$3371,"&gt;="&amp;A7,'Canola records'!$F$2:$F$3371,"&lt;"&amp;B7)</x:f>
        <x:v>18</x:v>
      </x:c>
      <x:c r="D7" s="57" t="str">
        <x:v>=COUNTIFS('Canola records'!$D$2:$D$3371,2025,'Canola records'!$F$2:$F$3371,"&gt;="&amp;A7,'Canola records'!$F$2:$F$3371,"&lt;"&amp;B7)</x:v>
      </x:c>
      <x:c r="E7" s="44"/>
      <x:c r="F7" s="44"/>
      <x:c r="G7" s="44"/>
      <x:c r="H7" s="44"/>
      <x:c r="I7" s="44"/>
      <x:c r="J7" s="44"/>
      <x:c r="K7" s="44"/>
      <x:c r="L7" s="44"/>
      <x:c r="M7" s="44"/>
      <x:c r="N7" s="44"/>
    </x:row>
    <x:row r="8" ht="30" customHeight="1">
      <x:c r="A8" s="56" t="n">
        <x:v>30</x:v>
      </x:c>
      <x:c r="B8" s="56" t="n">
        <x:v>35</x:v>
      </x:c>
      <x:c r="C8" s="56" t="n">
        <x:f>COUNTIFS('Canola records'!$D$2:$D$3371,2025,'Canola records'!$F$2:$F$3371,"&gt;="&amp;A8,'Canola records'!$F$2:$F$3371,"&lt;"&amp;B8)</x:f>
        <x:v>41</x:v>
      </x:c>
      <x:c r="D8" s="57" t="str">
        <x:v>=COUNTIFS('Canola records'!$D$2:$D$3371,2025,'Canola records'!$F$2:$F$3371,"&gt;="&amp;A8,'Canola records'!$F$2:$F$3371,"&lt;"&amp;B8)</x:v>
      </x:c>
      <x:c r="E8" s="44"/>
      <x:c r="F8" s="44"/>
      <x:c r="G8" s="44"/>
      <x:c r="H8" s="44"/>
      <x:c r="I8" s="44"/>
      <x:c r="J8" s="44"/>
      <x:c r="K8" s="44"/>
      <x:c r="L8" s="44"/>
      <x:c r="M8" s="44"/>
      <x:c r="N8" s="44"/>
    </x:row>
    <x:row r="9" ht="30" customHeight="1">
      <x:c r="A9" s="56" t="n">
        <x:v>35</x:v>
      </x:c>
      <x:c r="B9" s="56" t="n">
        <x:v>40</x:v>
      </x:c>
      <x:c r="C9" s="56" t="n">
        <x:f>COUNTIFS('Canola records'!$D$2:$D$3371,2025,'Canola records'!$F$2:$F$3371,"&gt;="&amp;A9,'Canola records'!$F$2:$F$3371,"&lt;"&amp;B9)</x:f>
        <x:v>94</x:v>
      </x:c>
      <x:c r="D9" s="57" t="str">
        <x:v>=COUNTIFS('Canola records'!$D$2:$D$3371,2025,'Canola records'!$F$2:$F$3371,"&gt;="&amp;A9,'Canola records'!$F$2:$F$3371,"&lt;"&amp;B9)</x:v>
      </x:c>
      <x:c r="E9" s="44"/>
      <x:c r="F9" s="44"/>
      <x:c r="G9" s="44"/>
      <x:c r="H9" s="44"/>
      <x:c r="I9" s="44"/>
      <x:c r="J9" s="44"/>
      <x:c r="K9" s="44"/>
      <x:c r="L9" s="44"/>
      <x:c r="M9" s="44"/>
      <x:c r="N9" s="44"/>
    </x:row>
    <x:row r="10" ht="30" customHeight="1">
      <x:c r="A10" s="56" t="n">
        <x:v>40</x:v>
      </x:c>
      <x:c r="B10" s="56" t="n">
        <x:v>45</x:v>
      </x:c>
      <x:c r="C10" s="56" t="n">
        <x:f>COUNTIFS('Canola records'!$D$2:$D$3371,2025,'Canola records'!$F$2:$F$3371,"&gt;="&amp;A10,'Canola records'!$F$2:$F$3371,"&lt;"&amp;B10)</x:f>
        <x:v>162</x:v>
      </x:c>
      <x:c r="D10" s="57" t="str">
        <x:v>=COUNTIFS('Canola records'!$D$2:$D$3371,2025,'Canola records'!$F$2:$F$3371,"&gt;="&amp;A10,'Canola records'!$F$2:$F$3371,"&lt;"&amp;B10)</x:v>
      </x:c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</x:row>
    <x:row r="11" ht="30" customHeight="1">
      <x:c r="A11" s="56" t="n">
        <x:v>45</x:v>
      </x:c>
      <x:c r="B11" s="56" t="n">
        <x:v>50</x:v>
      </x:c>
      <x:c r="C11" s="56" t="n">
        <x:f>COUNTIFS('Canola records'!$D$2:$D$3371,2025,'Canola records'!$F$2:$F$3371,"&gt;="&amp;A11,'Canola records'!$F$2:$F$3371,"&lt;"&amp;B11)</x:f>
        <x:v>222</x:v>
      </x:c>
      <x:c r="D11" s="57" t="str">
        <x:v>=COUNTIFS('Canola records'!$D$2:$D$3371,2025,'Canola records'!$F$2:$F$3371,"&gt;="&amp;A11,'Canola records'!$F$2:$F$3371,"&lt;"&amp;B11)</x:v>
      </x:c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</x:row>
    <x:row r="12" ht="30" customHeight="1">
      <x:c r="A12" s="56" t="n">
        <x:v>50</x:v>
      </x:c>
      <x:c r="B12" s="56" t="n">
        <x:v>55</x:v>
      </x:c>
      <x:c r="C12" s="56" t="n">
        <x:f>COUNTIFS('Canola records'!$D$2:$D$3371,2025,'Canola records'!$F$2:$F$3371,"&gt;="&amp;A12,'Canola records'!$F$2:$F$3371,"&lt;"&amp;B12)</x:f>
        <x:v>107</x:v>
      </x:c>
      <x:c r="D12" s="57" t="str">
        <x:v>=COUNTIFS('Canola records'!$D$2:$D$3371,2025,'Canola records'!$F$2:$F$3371,"&gt;="&amp;A12,'Canola records'!$F$2:$F$3371,"&lt;"&amp;B12)</x:v>
      </x:c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 ht="30" customHeight="1">
      <x:c r="A13" s="56" t="n">
        <x:v>55</x:v>
      </x:c>
      <x:c r="B13" s="56" t="n">
        <x:v>60</x:v>
      </x:c>
      <x:c r="C13" s="56" t="n">
        <x:f>COUNTIFS('Canola records'!$D$2:$D$3371,2025,'Canola records'!$F$2:$F$3371,"&gt;="&amp;A13,'Canola records'!$F$2:$F$3371,"&lt;"&amp;B13)</x:f>
        <x:v>19</x:v>
      </x:c>
      <x:c r="D13" s="57" t="str">
        <x:v>=COUNTIFS('Canola records'!$D$2:$D$3371,2025,'Canola records'!$F$2:$F$3371,"&gt;="&amp;A13,'Canola records'!$F$2:$F$3371,"&lt;"&amp;B13)</x:v>
      </x:c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 ht="30" customHeight="1">
      <x:c r="A14" s="56" t="n">
        <x:v>60</x:v>
      </x:c>
      <x:c r="B14" s="56" t="n">
        <x:v>65</x:v>
      </x:c>
      <x:c r="C14" s="56" t="n">
        <x:f>COUNTIFS('Canola records'!$D$2:$D$3371,2025,'Canola records'!$F$2:$F$3371,"&gt;="&amp;A14,'Canola records'!$F$2:$F$3371,"&lt;"&amp;B14)</x:f>
        <x:v>1</x:v>
      </x:c>
      <x:c r="D14" s="57" t="str">
        <x:v>=COUNTIFS('Canola records'!$D$2:$D$3371,2025,'Canola records'!$F$2:$F$3371,"&gt;="&amp;A14,'Canola records'!$F$2:$F$3371,"&lt;"&amp;B14)</x:v>
      </x:c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 ht="30" customHeight="1">
      <x:c r="A15" s="56" t="n">
        <x:v>65</x:v>
      </x:c>
      <x:c r="B15" s="56" t="n">
        <x:v>70</x:v>
      </x:c>
      <x:c r="C15" s="56" t="n">
        <x:f>COUNTIFS('Canola records'!$D$2:$D$3371,2025,'Canola records'!$F$2:$F$3371,"&gt;="&amp;A15,'Canola records'!$F$2:$F$3371,"&lt;="&amp;B15)</x:f>
        <x:v>1</x:v>
      </x:c>
      <x:c r="D15" s="57" t="str">
        <x:v>=COUNTIFS('Canola records'!$D$2:$D$3371,2025,'Canola records'!$F$2:$F$3371,"&gt;="&amp;A15,'Canola records'!$F$2:$F$3371,"&lt;="&amp;B15)</x:v>
      </x:c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 ht="15" hidden="0" customHeight="1">
      <x:c r="A18" s="45" t="str">
        <x:v>Check</x:v>
      </x:c>
      <x:c r="B18" s="46" t="str">
        <x:v>Why</x:v>
      </x:c>
      <x:c r="C18" s="47" t="str">
        <x:v>In this chart</x:v>
      </x:c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 ht="39.599998474121094" hidden="0" customHeight="1">
      <x:c r="A19" s="48" t="str">
        <x:v>Bin width</x:v>
      </x:c>
      <x:c r="B19" s="58" t="str">
        <x:v>Different widths can change the apparent shape.</x:v>
      </x:c>
      <x:c r="C19" s="58" t="str">
        <x:v>5 bu/ac</x:v>
      </x:c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 ht="52.79999923706055" hidden="0" customHeight="1">
      <x:c r="A20" s="53" t="str">
        <x:v>Count</x:v>
      </x:c>
      <x:c r="B20" s="59" t="str">
        <x:v>The bin counts should reconcile to recorded 2025 values.</x:v>
      </x:c>
      <x:c r="C20" s="61" t="n">
        <x:f>SUM(C5:C15)</x:f>
        <x:v>674</x:v>
      </x:c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 ht="52.79999923706055" hidden="0" customHeight="1">
      <x:c r="A21" s="53" t="str">
        <x:v>Range</x:v>
      </x:c>
      <x:c r="B21" s="59" t="str">
        <x:v>The first and last bins must contain the minimum and maximum.</x:v>
      </x:c>
      <x:c r="C21" s="59" t="str">
        <x:v>Observed range: 18.0 to 69.0 bu/ac</x:v>
      </x:c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 t="str">
        <x:v>Yield interval</x:v>
      </x:c>
      <x:c r="K27" s="44" t="str">
        <x:v>Reported rows</x:v>
      </x:c>
      <x:c r="L27" s="44"/>
      <x:c r="M27" s="44"/>
      <x:c r="N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 t="str">
        <x:v>15--20</x:v>
      </x:c>
      <x:c r="K28" s="44" t="n">
        <x:f>C5</x:f>
        <x:v>2</x:v>
      </x:c>
      <x:c r="L28" s="44"/>
      <x:c r="M28" s="44"/>
      <x:c r="N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 t="str">
        <x:v>20--25</x:v>
      </x:c>
      <x:c r="K29" s="44" t="n">
        <x:f>C6</x:f>
        <x:v>7</x:v>
      </x:c>
      <x:c r="L29" s="44"/>
      <x:c r="M29" s="44"/>
      <x:c r="N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 t="str">
        <x:v>25--30</x:v>
      </x:c>
      <x:c r="K30" s="44" t="n">
        <x:f>C7</x:f>
        <x:v>18</x:v>
      </x:c>
      <x:c r="L30" s="44"/>
      <x:c r="M30" s="44"/>
      <x:c r="N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 t="str">
        <x:v>30--35</x:v>
      </x:c>
      <x:c r="K31" s="44" t="n">
        <x:f>C8</x:f>
        <x:v>41</x:v>
      </x:c>
      <x:c r="L31" s="44"/>
      <x:c r="M31" s="44"/>
      <x:c r="N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 t="str">
        <x:v>35--40</x:v>
      </x:c>
      <x:c r="K32" s="44" t="n">
        <x:f>C9</x:f>
        <x:v>94</x:v>
      </x:c>
      <x:c r="L32" s="44"/>
      <x:c r="M32" s="44"/>
      <x:c r="N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 t="str">
        <x:v>40--45</x:v>
      </x:c>
      <x:c r="K33" s="44" t="n">
        <x:f>C10</x:f>
        <x:v>162</x:v>
      </x:c>
      <x:c r="L33" s="44"/>
      <x:c r="M33" s="44"/>
      <x:c r="N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 t="str">
        <x:v>45--50</x:v>
      </x:c>
      <x:c r="K34" s="44" t="n">
        <x:f>C11</x:f>
        <x:v>222</x:v>
      </x:c>
      <x:c r="L34" s="44"/>
      <x:c r="M34" s="44"/>
      <x:c r="N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 t="str">
        <x:v>50--55</x:v>
      </x:c>
      <x:c r="K35" s="44" t="n">
        <x:f>C12</x:f>
        <x:v>107</x:v>
      </x:c>
      <x:c r="L35" s="44"/>
      <x:c r="M35" s="44"/>
      <x:c r="N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 t="str">
        <x:v>55--60</x:v>
      </x:c>
      <x:c r="K36" s="44" t="n">
        <x:f>C13</x:f>
        <x:v>19</x:v>
      </x:c>
      <x:c r="L36" s="44"/>
      <x:c r="M36" s="44"/>
      <x:c r="N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 t="str">
        <x:v>60--65</x:v>
      </x:c>
      <x:c r="K37" s="44" t="n">
        <x:f>C14</x:f>
        <x:v>1</x:v>
      </x:c>
      <x:c r="L37" s="44"/>
      <x:c r="M37" s="44"/>
      <x:c r="N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 t="str">
        <x:v>65--70</x:v>
      </x:c>
      <x:c r="K38" s="44" t="n">
        <x:f>C15</x:f>
        <x:v>1</x:v>
      </x:c>
      <x:c r="L38" s="44"/>
      <x:c r="M38" s="44"/>
      <x:c r="N38" s="44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b7e3ee5939904d5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42" t="str">
        <x:v>Provincial canola variety summary</x:v>
      </x:c>
      <x:c r="B1" s="42"/>
      <x:c r="C1" s="42"/>
      <x:c r="D1" s="42"/>
      <x:c r="E1" s="42"/>
      <x:c r="F1" s="42"/>
    </x:row>
    <x:row r="2" ht="40" customHeight="1">
      <x:c r="A2" s="43" t="str">
        <x:v>Varieties are sorted by 2025 reported acres. Weighted yield divides the summed acre-yield total by summed acres, so a small risk zone does not count as much as a large one.</x:v>
      </x:c>
      <x:c r="B2" s="43"/>
      <x:c r="C2" s="43"/>
      <x:c r="D2" s="43"/>
      <x:c r="E2" s="43"/>
      <x:c r="F2" s="43"/>
    </x:row>
    <x:row r="3">
      <x:c r="A3" s="44"/>
      <x:c r="B3" s="44"/>
      <x:c r="C3" s="44"/>
      <x:c r="D3" s="44"/>
      <x:c r="E3" s="44"/>
      <x:c r="F3" s="44"/>
    </x:row>
    <x:row r="4">
      <x:c r="A4" s="45" t="str">
        <x:v>Variety</x:v>
      </x:c>
      <x:c r="B4" s="46" t="str">
        <x:v>2025 acres</x:v>
      </x:c>
      <x:c r="C4" s="46" t="str">
        <x:v>2025 weighted yield</x:v>
      </x:c>
      <x:c r="D4" s="46" t="str">
        <x:v>2024 acres</x:v>
      </x:c>
      <x:c r="E4" s="46" t="str">
        <x:v>2024 weighted yield</x:v>
      </x:c>
      <x:c r="F4" s="47" t="str">
        <x:v>2025 risk zones</x:v>
      </x:c>
    </x:row>
    <x:row r="5">
      <x:c r="A5" s="48" t="str">
        <x:v>L340PC</x:v>
      </x:c>
      <x:c r="B5" s="50" t="n">
        <x:f>SUMIFS('Canola records'!$E$2:$E$3371,'Canola records'!$C$2:$C$3371,A5,'Canola records'!$D$2:$D$3371,2025)</x:f>
        <x:v>3530709</x:v>
      </x:c>
      <x:c r="C5" s="49" t="n">
        <x:f>SUMIFS('Canola records'!$G$2:$G$3371,'Canola records'!$C$2:$C$3371,A5,'Canola records'!$D$2:$D$3371,2025)/B5</x:f>
        <x:v>47.95881526911449</x:v>
      </x:c>
      <x:c r="D5" s="62" t="n">
        <x:f>IF(SUMIFS('Canola records'!$E$2:$E$3371,'Canola records'!$C$2:$C$3371,A5,'Canola records'!$D$2:$D$3371,2024)=0,"",SUMIFS('Canola records'!$E$2:$E$3371,'Canola records'!$C$2:$C$3371,A5,'Canola records'!$D$2:$D$3371,2024))</x:f>
        <x:v>3060236</x:v>
      </x:c>
      <x:c r="E5" s="49" t="n">
        <x:f>IFERROR(SUMIFS('Canola records'!$G$2:$G$3371,'Canola records'!$C$2:$C$3371,A5,'Canola records'!$D$2:$D$3371,2024)/D5,"")</x:f>
        <x:v>36.25150789024114</x:v>
      </x:c>
      <x:c r="F5" s="51" t="n">
        <x:f>COUNTIFS('Canola records'!$C$2:$C$3371,A5,'Canola records'!$D$2:$D$3371,2025,'Canola records'!$F$2:$F$3371,"&gt;0")</x:f>
        <x:v>21</x:v>
      </x:c>
    </x:row>
    <x:row r="6">
      <x:c r="A6" s="53" t="str">
        <x:v>L356PC</x:v>
      </x:c>
      <x:c r="B6" s="55" t="n">
        <x:f>SUMIFS('Canola records'!$E$2:$E$3371,'Canola records'!$C$2:$C$3371,A6,'Canola records'!$D$2:$D$3371,2025)</x:f>
        <x:v>729060</x:v>
      </x:c>
      <x:c r="C6" s="54" t="n">
        <x:f>SUMIFS('Canola records'!$G$2:$G$3371,'Canola records'!$C$2:$C$3371,A6,'Canola records'!$D$2:$D$3371,2025)/B6</x:f>
        <x:v>48.46193893506707</x:v>
      </x:c>
      <x:c r="D6" s="63" t="n">
        <x:f>IF(SUMIFS('Canola records'!$E$2:$E$3371,'Canola records'!$C$2:$C$3371,A6,'Canola records'!$D$2:$D$3371,2024)=0,"",SUMIFS('Canola records'!$E$2:$E$3371,'Canola records'!$C$2:$C$3371,A6,'Canola records'!$D$2:$D$3371,2024))</x:f>
        <x:v>939546</x:v>
      </x:c>
      <x:c r="E6" s="54" t="n">
        <x:f>IFERROR(SUMIFS('Canola records'!$G$2:$G$3371,'Canola records'!$C$2:$C$3371,A6,'Canola records'!$D$2:$D$3371,2024)/D6,"")</x:f>
        <x:v>37.96004421284323</x:v>
      </x:c>
      <x:c r="F6" s="56" t="n">
        <x:f>COUNTIFS('Canola records'!$C$2:$C$3371,A6,'Canola records'!$D$2:$D$3371,2025,'Canola records'!$F$2:$F$3371,"&gt;0")</x:f>
        <x:v>18</x:v>
      </x:c>
    </x:row>
    <x:row r="7">
      <x:c r="A7" s="53" t="str">
        <x:v>L330PC</x:v>
      </x:c>
      <x:c r="B7" s="55" t="n">
        <x:f>SUMIFS('Canola records'!$E$2:$E$3371,'Canola records'!$C$2:$C$3371,A7,'Canola records'!$D$2:$D$3371,2025)</x:f>
        <x:v>380379</x:v>
      </x:c>
      <x:c r="C7" s="54" t="n">
        <x:f>SUMIFS('Canola records'!$G$2:$G$3371,'Canola records'!$C$2:$C$3371,A7,'Canola records'!$D$2:$D$3371,2025)/B7</x:f>
        <x:v>48.79578394180541</x:v>
      </x:c>
      <x:c r="D7" s="63" t="str">
        <x:f>IF(SUMIFS('Canola records'!$E$2:$E$3371,'Canola records'!$C$2:$C$3371,A7,'Canola records'!$D$2:$D$3371,2024)=0,"",SUMIFS('Canola records'!$E$2:$E$3371,'Canola records'!$C$2:$C$3371,A7,'Canola records'!$D$2:$D$3371,2024))</x:f>
      </x:c>
      <x:c r="E7" s="54" t="str">
        <x:f>IFERROR(SUMIFS('Canola records'!$G$2:$G$3371,'Canola records'!$C$2:$C$3371,A7,'Canola records'!$D$2:$D$3371,2024)/D7,"")</x:f>
      </x:c>
      <x:c r="F7" s="56" t="n">
        <x:f>COUNTIFS('Canola records'!$C$2:$C$3371,A7,'Canola records'!$D$2:$D$3371,2025,'Canola records'!$F$2:$F$3371,"&gt;0")</x:f>
        <x:v>20</x:v>
      </x:c>
    </x:row>
    <x:row r="8">
      <x:c r="A8" s="53" t="str">
        <x:v>L345PC</x:v>
      </x:c>
      <x:c r="B8" s="55" t="n">
        <x:f>SUMIFS('Canola records'!$E$2:$E$3371,'Canola records'!$C$2:$C$3371,A8,'Canola records'!$D$2:$D$3371,2025)</x:f>
        <x:v>352975</x:v>
      </x:c>
      <x:c r="C8" s="54" t="n">
        <x:f>SUMIFS('Canola records'!$G$2:$G$3371,'Canola records'!$C$2:$C$3371,A8,'Canola records'!$D$2:$D$3371,2025)/B8</x:f>
        <x:v>45.1136332601459</x:v>
      </x:c>
      <x:c r="D8" s="63" t="n">
        <x:f>IF(SUMIFS('Canola records'!$E$2:$E$3371,'Canola records'!$C$2:$C$3371,A8,'Canola records'!$D$2:$D$3371,2024)=0,"",SUMIFS('Canola records'!$E$2:$E$3371,'Canola records'!$C$2:$C$3371,A8,'Canola records'!$D$2:$D$3371,2024))</x:f>
        <x:v>721694</x:v>
      </x:c>
      <x:c r="E8" s="54" t="n">
        <x:f>IFERROR(SUMIFS('Canola records'!$G$2:$G$3371,'Canola records'!$C$2:$C$3371,A8,'Canola records'!$D$2:$D$3371,2024)/D8,"")</x:f>
        <x:v>34.408255299337384</x:v>
      </x:c>
      <x:c r="F8" s="56" t="n">
        <x:f>COUNTIFS('Canola records'!$C$2:$C$3371,A8,'Canola records'!$D$2:$D$3371,2025,'Canola records'!$F$2:$F$3371,"&gt;0")</x:f>
        <x:v>20</x:v>
      </x:c>
    </x:row>
    <x:row r="9">
      <x:c r="A9" s="53" t="str">
        <x:v>L233P</x:v>
      </x:c>
      <x:c r="B9" s="55" t="n">
        <x:f>SUMIFS('Canola records'!$E$2:$E$3371,'Canola records'!$C$2:$C$3371,A9,'Canola records'!$D$2:$D$3371,2025)</x:f>
        <x:v>307535</x:v>
      </x:c>
      <x:c r="C9" s="54" t="n">
        <x:f>SUMIFS('Canola records'!$G$2:$G$3371,'Canola records'!$C$2:$C$3371,A9,'Canola records'!$D$2:$D$3371,2025)/B9</x:f>
        <x:v>44.301725657242265</x:v>
      </x:c>
      <x:c r="D9" s="63" t="n">
        <x:f>IF(SUMIFS('Canola records'!$E$2:$E$3371,'Canola records'!$C$2:$C$3371,A9,'Canola records'!$D$2:$D$3371,2024)=0,"",SUMIFS('Canola records'!$E$2:$E$3371,'Canola records'!$C$2:$C$3371,A9,'Canola records'!$D$2:$D$3371,2024))</x:f>
        <x:v>656616</x:v>
      </x:c>
      <x:c r="E9" s="54" t="n">
        <x:f>IFERROR(SUMIFS('Canola records'!$G$2:$G$3371,'Canola records'!$C$2:$C$3371,A9,'Canola records'!$D$2:$D$3371,2024)/D9,"")</x:f>
        <x:v>31.00371145387868</x:v>
      </x:c>
      <x:c r="F9" s="56" t="n">
        <x:f>COUNTIFS('Canola records'!$C$2:$C$3371,A9,'Canola records'!$D$2:$D$3371,2025,'Canola records'!$F$2:$F$3371,"&gt;0")</x:f>
        <x:v>21</x:v>
      </x:c>
    </x:row>
    <x:row r="10">
      <x:c r="A10" s="53" t="str">
        <x:v>P520L</x:v>
      </x:c>
      <x:c r="B10" s="55" t="n">
        <x:f>SUMIFS('Canola records'!$E$2:$E$3371,'Canola records'!$C$2:$C$3371,A10,'Canola records'!$D$2:$D$3371,2025)</x:f>
        <x:v>245776</x:v>
      </x:c>
      <x:c r="C10" s="54" t="n">
        <x:f>SUMIFS('Canola records'!$G$2:$G$3371,'Canola records'!$C$2:$C$3371,A10,'Canola records'!$D$2:$D$3371,2025)/B10</x:f>
        <x:v>46.06576883015429</x:v>
      </x:c>
      <x:c r="D10" s="63" t="n">
        <x:f>IF(SUMIFS('Canola records'!$E$2:$E$3371,'Canola records'!$C$2:$C$3371,A10,'Canola records'!$D$2:$D$3371,2024)=0,"",SUMIFS('Canola records'!$E$2:$E$3371,'Canola records'!$C$2:$C$3371,A10,'Canola records'!$D$2:$D$3371,2024))</x:f>
        <x:v>12242</x:v>
      </x:c>
      <x:c r="E10" s="54" t="n">
        <x:f>IFERROR(SUMIFS('Canola records'!$G$2:$G$3371,'Canola records'!$C$2:$C$3371,A10,'Canola records'!$D$2:$D$3371,2024)/D10,"")</x:f>
        <x:v>35.721303708544355</x:v>
      </x:c>
      <x:c r="F10" s="56" t="n">
        <x:f>COUNTIFS('Canola records'!$C$2:$C$3371,A10,'Canola records'!$D$2:$D$3371,2025,'Canola records'!$F$2:$F$3371,"&gt;0")</x:f>
        <x:v>16</x:v>
      </x:c>
    </x:row>
    <x:row r="11">
      <x:c r="A11" s="53" t="str">
        <x:v>L333PC</x:v>
      </x:c>
      <x:c r="B11" s="55" t="n">
        <x:f>SUMIFS('Canola records'!$E$2:$E$3371,'Canola records'!$C$2:$C$3371,A11,'Canola records'!$D$2:$D$3371,2025)</x:f>
        <x:v>188086</x:v>
      </x:c>
      <x:c r="C11" s="54" t="n">
        <x:f>SUMIFS('Canola records'!$G$2:$G$3371,'Canola records'!$C$2:$C$3371,A11,'Canola records'!$D$2:$D$3371,2025)/B11</x:f>
        <x:v>48.37892931956657</x:v>
      </x:c>
      <x:c r="D11" s="63" t="str">
        <x:f>IF(SUMIFS('Canola records'!$E$2:$E$3371,'Canola records'!$C$2:$C$3371,A11,'Canola records'!$D$2:$D$3371,2024)=0,"",SUMIFS('Canola records'!$E$2:$E$3371,'Canola records'!$C$2:$C$3371,A11,'Canola records'!$D$2:$D$3371,2024))</x:f>
      </x:c>
      <x:c r="E11" s="54" t="str">
        <x:f>IFERROR(SUMIFS('Canola records'!$G$2:$G$3371,'Canola records'!$C$2:$C$3371,A11,'Canola records'!$D$2:$D$3371,2024)/D11,"")</x:f>
      </x:c>
      <x:c r="F11" s="56" t="n">
        <x:f>COUNTIFS('Canola records'!$C$2:$C$3371,A11,'Canola records'!$D$2:$D$3371,2025,'Canola records'!$F$2:$F$3371,"&gt;0")</x:f>
        <x:v>21</x:v>
      </x:c>
    </x:row>
    <x:row r="12">
      <x:c r="A12" s="53" t="str">
        <x:v>L350PC</x:v>
      </x:c>
      <x:c r="B12" s="55" t="n">
        <x:f>SUMIFS('Canola records'!$E$2:$E$3371,'Canola records'!$C$2:$C$3371,A12,'Canola records'!$D$2:$D$3371,2025)</x:f>
        <x:v>141014</x:v>
      </x:c>
      <x:c r="C12" s="54" t="n">
        <x:f>SUMIFS('Canola records'!$G$2:$G$3371,'Canola records'!$C$2:$C$3371,A12,'Canola records'!$D$2:$D$3371,2025)/B12</x:f>
        <x:v>48.95707660232317</x:v>
      </x:c>
      <x:c r="D12" s="63" t="n">
        <x:f>IF(SUMIFS('Canola records'!$E$2:$E$3371,'Canola records'!$C$2:$C$3371,A12,'Canola records'!$D$2:$D$3371,2024)=0,"",SUMIFS('Canola records'!$E$2:$E$3371,'Canola records'!$C$2:$C$3371,A12,'Canola records'!$D$2:$D$3371,2024))</x:f>
        <x:v>213071</x:v>
      </x:c>
      <x:c r="E12" s="54" t="n">
        <x:f>IFERROR(SUMIFS('Canola records'!$G$2:$G$3371,'Canola records'!$C$2:$C$3371,A12,'Canola records'!$D$2:$D$3371,2024)/D12,"")</x:f>
        <x:v>38.26280911057817</x:v>
      </x:c>
      <x:c r="F12" s="56" t="n">
        <x:f>COUNTIFS('Canola records'!$C$2:$C$3371,A12,'Canola records'!$D$2:$D$3371,2025,'Canola records'!$F$2:$F$3371,"&gt;0")</x:f>
        <x:v>15</x:v>
      </x:c>
    </x:row>
    <x:row r="13">
      <x:c r="A13" s="53" t="str">
        <x:v>DK900TF</x:v>
      </x:c>
      <x:c r="B13" s="55" t="n">
        <x:f>SUMIFS('Canola records'!$E$2:$E$3371,'Canola records'!$C$2:$C$3371,A13,'Canola records'!$D$2:$D$3371,2025)</x:f>
        <x:v>126255</x:v>
      </x:c>
      <x:c r="C13" s="54" t="n">
        <x:f>SUMIFS('Canola records'!$G$2:$G$3371,'Canola records'!$C$2:$C$3371,A13,'Canola records'!$D$2:$D$3371,2025)/B13</x:f>
        <x:v>46.15372143677478</x:v>
      </x:c>
      <x:c r="D13" s="63" t="n">
        <x:f>IF(SUMIFS('Canola records'!$E$2:$E$3371,'Canola records'!$C$2:$C$3371,A13,'Canola records'!$D$2:$D$3371,2024)=0,"",SUMIFS('Canola records'!$E$2:$E$3371,'Canola records'!$C$2:$C$3371,A13,'Canola records'!$D$2:$D$3371,2024))</x:f>
        <x:v>170248</x:v>
      </x:c>
      <x:c r="E13" s="54" t="n">
        <x:f>IFERROR(SUMIFS('Canola records'!$G$2:$G$3371,'Canola records'!$C$2:$C$3371,A13,'Canola records'!$D$2:$D$3371,2024)/D13,"")</x:f>
        <x:v>34.79976269912129</x:v>
      </x:c>
      <x:c r="F13" s="56" t="n">
        <x:f>COUNTIFS('Canola records'!$C$2:$C$3371,A13,'Canola records'!$D$2:$D$3371,2025,'Canola records'!$F$2:$F$3371,"&gt;0")</x:f>
        <x:v>10</x:v>
      </x:c>
    </x:row>
    <x:row r="14">
      <x:c r="A14" s="53" t="str">
        <x:v>DK800LL</x:v>
      </x:c>
      <x:c r="B14" s="55" t="n">
        <x:f>SUMIFS('Canola records'!$E$2:$E$3371,'Canola records'!$C$2:$C$3371,A14,'Canola records'!$D$2:$D$3371,2025)</x:f>
        <x:v>113130</x:v>
      </x:c>
      <x:c r="C14" s="54" t="n">
        <x:f>SUMIFS('Canola records'!$G$2:$G$3371,'Canola records'!$C$2:$C$3371,A14,'Canola records'!$D$2:$D$3371,2025)/B14</x:f>
        <x:v>48.36101210996199</x:v>
      </x:c>
      <x:c r="D14" s="63" t="n">
        <x:f>IF(SUMIFS('Canola records'!$E$2:$E$3371,'Canola records'!$C$2:$C$3371,A14,'Canola records'!$D$2:$D$3371,2024)=0,"",SUMIFS('Canola records'!$E$2:$E$3371,'Canola records'!$C$2:$C$3371,A14,'Canola records'!$D$2:$D$3371,2024))</x:f>
        <x:v>18768</x:v>
      </x:c>
      <x:c r="E14" s="54" t="n">
        <x:f>IFERROR(SUMIFS('Canola records'!$G$2:$G$3371,'Canola records'!$C$2:$C$3371,A14,'Canola records'!$D$2:$D$3371,2024)/D14,"")</x:f>
        <x:v>32.52495737425405</x:v>
      </x:c>
      <x:c r="F14" s="56" t="n">
        <x:f>COUNTIFS('Canola records'!$C$2:$C$3371,A14,'Canola records'!$D$2:$D$3371,2025,'Canola records'!$F$2:$F$3371,"&gt;0")</x:f>
        <x:v>17</x:v>
      </x:c>
    </x:row>
    <x:row r="15">
      <x:c r="A15" s="53" t="str">
        <x:v>BY 7204LL</x:v>
      </x:c>
      <x:c r="B15" s="55" t="n">
        <x:f>SUMIFS('Canola records'!$E$2:$E$3371,'Canola records'!$C$2:$C$3371,A15,'Canola records'!$D$2:$D$3371,2025)</x:f>
        <x:v>109823</x:v>
      </x:c>
      <x:c r="C15" s="54" t="n">
        <x:f>SUMIFS('Canola records'!$G$2:$G$3371,'Canola records'!$C$2:$C$3371,A15,'Canola records'!$D$2:$D$3371,2025)/B15</x:f>
        <x:v>44.99695965326025</x:v>
      </x:c>
      <x:c r="D15" s="63" t="n">
        <x:f>IF(SUMIFS('Canola records'!$E$2:$E$3371,'Canola records'!$C$2:$C$3371,A15,'Canola records'!$D$2:$D$3371,2024)=0,"",SUMIFS('Canola records'!$E$2:$E$3371,'Canola records'!$C$2:$C$3371,A15,'Canola records'!$D$2:$D$3371,2024))</x:f>
        <x:v>49535</x:v>
      </x:c>
      <x:c r="E15" s="54" t="n">
        <x:f>IFERROR(SUMIFS('Canola records'!$G$2:$G$3371,'Canola records'!$C$2:$C$3371,A15,'Canola records'!$D$2:$D$3371,2024)/D15,"")</x:f>
        <x:v>31.82807913596447</x:v>
      </x:c>
      <x:c r="F15" s="56" t="n">
        <x:f>COUNTIFS('Canola records'!$C$2:$C$3371,A15,'Canola records'!$D$2:$D$3371,2025,'Canola records'!$F$2:$F$3371,"&gt;0")</x:f>
        <x:v>19</x:v>
      </x:c>
    </x:row>
    <x:row r="16">
      <x:c r="A16" s="53" t="str">
        <x:v>DK 801 LL</x:v>
      </x:c>
      <x:c r="B16" s="55" t="n">
        <x:f>SUMIFS('Canola records'!$E$2:$E$3371,'Canola records'!$C$2:$C$3371,A16,'Canola records'!$D$2:$D$3371,2025)</x:f>
        <x:v>102935</x:v>
      </x:c>
      <x:c r="C16" s="54" t="n">
        <x:f>SUMIFS('Canola records'!$G$2:$G$3371,'Canola records'!$C$2:$C$3371,A16,'Canola records'!$D$2:$D$3371,2025)/B16</x:f>
        <x:v>42.65654636421043</x:v>
      </x:c>
      <x:c r="D16" s="63" t="n">
        <x:f>IF(SUMIFS('Canola records'!$E$2:$E$3371,'Canola records'!$C$2:$C$3371,A16,'Canola records'!$D$2:$D$3371,2024)=0,"",SUMIFS('Canola records'!$E$2:$E$3371,'Canola records'!$C$2:$C$3371,A16,'Canola records'!$D$2:$D$3371,2024))</x:f>
        <x:v>8560</x:v>
      </x:c>
      <x:c r="E16" s="54" t="n">
        <x:f>IFERROR(SUMIFS('Canola records'!$G$2:$G$3371,'Canola records'!$C$2:$C$3371,A16,'Canola records'!$D$2:$D$3371,2024)/D16,"")</x:f>
        <x:v>30.517336448598126</x:v>
      </x:c>
      <x:c r="F16" s="56" t="n">
        <x:f>COUNTIFS('Canola records'!$C$2:$C$3371,A16,'Canola records'!$D$2:$D$3371,2025,'Canola records'!$F$2:$F$3371,"&gt;0")</x:f>
        <x:v>18</x:v>
      </x:c>
    </x:row>
    <x:row r="17">
      <x:c r="A17" s="53" t="str">
        <x:v>P515G</x:v>
      </x:c>
      <x:c r="B17" s="55" t="n">
        <x:f>SUMIFS('Canola records'!$E$2:$E$3371,'Canola records'!$C$2:$C$3371,A17,'Canola records'!$D$2:$D$3371,2025)</x:f>
        <x:v>100964</x:v>
      </x:c>
      <x:c r="C17" s="54" t="n">
        <x:f>SUMIFS('Canola records'!$G$2:$G$3371,'Canola records'!$C$2:$C$3371,A17,'Canola records'!$D$2:$D$3371,2025)/B17</x:f>
        <x:v>43.76180618834436</x:v>
      </x:c>
      <x:c r="D17" s="63" t="n">
        <x:f>IF(SUMIFS('Canola records'!$E$2:$E$3371,'Canola records'!$C$2:$C$3371,A17,'Canola records'!$D$2:$D$3371,2024)=0,"",SUMIFS('Canola records'!$E$2:$E$3371,'Canola records'!$C$2:$C$3371,A17,'Canola records'!$D$2:$D$3371,2024))</x:f>
        <x:v>141513</x:v>
      </x:c>
      <x:c r="E17" s="54" t="n">
        <x:f>IFERROR(SUMIFS('Canola records'!$G$2:$G$3371,'Canola records'!$C$2:$C$3371,A17,'Canola records'!$D$2:$D$3371,2024)/D17,"")</x:f>
        <x:v>34.827473800993545</x:v>
      </x:c>
      <x:c r="F17" s="56" t="n">
        <x:f>COUNTIFS('Canola records'!$C$2:$C$3371,A17,'Canola records'!$D$2:$D$3371,2025,'Canola records'!$F$2:$F$3371,"&gt;0")</x:f>
        <x:v>12</x:v>
      </x:c>
    </x:row>
    <x:row r="18">
      <x:c r="A18" s="53" t="str">
        <x:v>P505MSL</x:v>
      </x:c>
      <x:c r="B18" s="55" t="n">
        <x:f>SUMIFS('Canola records'!$E$2:$E$3371,'Canola records'!$C$2:$C$3371,A18,'Canola records'!$D$2:$D$3371,2025)</x:f>
        <x:v>100564</x:v>
      </x:c>
      <x:c r="C18" s="54" t="n">
        <x:f>SUMIFS('Canola records'!$G$2:$G$3371,'Canola records'!$C$2:$C$3371,A18,'Canola records'!$D$2:$D$3371,2025)/B18</x:f>
        <x:v>46.238764368959075</x:v>
      </x:c>
      <x:c r="D18" s="63" t="n">
        <x:f>IF(SUMIFS('Canola records'!$E$2:$E$3371,'Canola records'!$C$2:$C$3371,A18,'Canola records'!$D$2:$D$3371,2024)=0,"",SUMIFS('Canola records'!$E$2:$E$3371,'Canola records'!$C$2:$C$3371,A18,'Canola records'!$D$2:$D$3371,2024))</x:f>
        <x:v>167497</x:v>
      </x:c>
      <x:c r="E18" s="54" t="n">
        <x:f>IFERROR(SUMIFS('Canola records'!$G$2:$G$3371,'Canola records'!$C$2:$C$3371,A18,'Canola records'!$D$2:$D$3371,2024)/D18,"")</x:f>
        <x:v>34.86678686782451</x:v>
      </x:c>
      <x:c r="F18" s="56" t="n">
        <x:f>COUNTIFS('Canola records'!$C$2:$C$3371,A18,'Canola records'!$D$2:$D$3371,2025,'Canola records'!$F$2:$F$3371,"&gt;0")</x:f>
        <x:v>13</x:v>
      </x:c>
    </x:row>
    <x:row r="19">
      <x:c r="A19" s="53" t="str">
        <x:v>L343PC</x:v>
      </x:c>
      <x:c r="B19" s="55" t="n">
        <x:f>SUMIFS('Canola records'!$E$2:$E$3371,'Canola records'!$C$2:$C$3371,A19,'Canola records'!$D$2:$D$3371,2025)</x:f>
        <x:v>98595</x:v>
      </x:c>
      <x:c r="C19" s="54" t="n">
        <x:f>SUMIFS('Canola records'!$G$2:$G$3371,'Canola records'!$C$2:$C$3371,A19,'Canola records'!$D$2:$D$3371,2025)/B19</x:f>
        <x:v>50.46216035295907</x:v>
      </x:c>
      <x:c r="D19" s="63" t="n">
        <x:f>IF(SUMIFS('Canola records'!$E$2:$E$3371,'Canola records'!$C$2:$C$3371,A19,'Canola records'!$D$2:$D$3371,2024)=0,"",SUMIFS('Canola records'!$E$2:$E$3371,'Canola records'!$C$2:$C$3371,A19,'Canola records'!$D$2:$D$3371,2024))</x:f>
        <x:v>129593</x:v>
      </x:c>
      <x:c r="E19" s="54" t="n">
        <x:f>IFERROR(SUMIFS('Canola records'!$G$2:$G$3371,'Canola records'!$C$2:$C$3371,A19,'Canola records'!$D$2:$D$3371,2024)/D19,"")</x:f>
        <x:v>38.298809349270414</x:v>
      </x:c>
      <x:c r="F19" s="56" t="n">
        <x:f>COUNTIFS('Canola records'!$C$2:$C$3371,A19,'Canola records'!$D$2:$D$3371,2025,'Canola records'!$F$2:$F$3371,"&gt;0")</x:f>
        <x:v>18</x:v>
      </x:c>
    </x:row>
    <x:row r="20">
      <x:c r="A20" s="53" t="str">
        <x:v>DK400TL</x:v>
      </x:c>
      <x:c r="B20" s="55" t="n">
        <x:f>SUMIFS('Canola records'!$E$2:$E$3371,'Canola records'!$C$2:$C$3371,A20,'Canola records'!$D$2:$D$3371,2025)</x:f>
        <x:v>74848</x:v>
      </x:c>
      <x:c r="C20" s="54" t="n">
        <x:f>SUMIFS('Canola records'!$G$2:$G$3371,'Canola records'!$C$2:$C$3371,A20,'Canola records'!$D$2:$D$3371,2025)/B20</x:f>
        <x:v>46.6243627084224</x:v>
      </x:c>
      <x:c r="D20" s="63" t="n">
        <x:f>IF(SUMIFS('Canola records'!$E$2:$E$3371,'Canola records'!$C$2:$C$3371,A20,'Canola records'!$D$2:$D$3371,2024)=0,"",SUMIFS('Canola records'!$E$2:$E$3371,'Canola records'!$C$2:$C$3371,A20,'Canola records'!$D$2:$D$3371,2024))</x:f>
        <x:v>85167</x:v>
      </x:c>
      <x:c r="E20" s="54" t="n">
        <x:f>IFERROR(SUMIFS('Canola records'!$G$2:$G$3371,'Canola records'!$C$2:$C$3371,A20,'Canola records'!$D$2:$D$3371,2024)/D20,"")</x:f>
        <x:v>28.640316084868555</x:v>
      </x:c>
      <x:c r="F20" s="56" t="n">
        <x:f>COUNTIFS('Canola records'!$C$2:$C$3371,A20,'Canola records'!$D$2:$D$3371,2025,'Canola records'!$F$2:$F$3371,"&gt;0")</x:f>
        <x:v>15</x:v>
      </x:c>
    </x:row>
    <x:row r="21">
      <x:c r="A21" s="53" t="str">
        <x:v>DK902TF</x:v>
      </x:c>
      <x:c r="B21" s="55" t="n">
        <x:f>SUMIFS('Canola records'!$E$2:$E$3371,'Canola records'!$C$2:$C$3371,A21,'Canola records'!$D$2:$D$3371,2025)</x:f>
        <x:v>70312</x:v>
      </x:c>
      <x:c r="C21" s="54" t="n">
        <x:f>SUMIFS('Canola records'!$G$2:$G$3371,'Canola records'!$C$2:$C$3371,A21,'Canola records'!$D$2:$D$3371,2025)/B21</x:f>
        <x:v>46.75209494823074</x:v>
      </x:c>
      <x:c r="D21" s="63" t="n">
        <x:f>IF(SUMIFS('Canola records'!$E$2:$E$3371,'Canola records'!$C$2:$C$3371,A21,'Canola records'!$D$2:$D$3371,2024)=0,"",SUMIFS('Canola records'!$E$2:$E$3371,'Canola records'!$C$2:$C$3371,A21,'Canola records'!$D$2:$D$3371,2024))</x:f>
        <x:v>107880</x:v>
      </x:c>
      <x:c r="E21" s="54" t="n">
        <x:f>IFERROR(SUMIFS('Canola records'!$G$2:$G$3371,'Canola records'!$C$2:$C$3371,A21,'Canola records'!$D$2:$D$3371,2024)/D21,"")</x:f>
        <x:v>36.62577586206897</x:v>
      </x:c>
      <x:c r="F21" s="56" t="n">
        <x:f>COUNTIFS('Canola records'!$C$2:$C$3371,A21,'Canola records'!$D$2:$D$3371,2025,'Canola records'!$F$2:$F$3371,"&gt;0")</x:f>
        <x:v>8</x:v>
      </x:c>
    </x:row>
    <x:row r="22">
      <x:c r="A22" s="53" t="str">
        <x:v>DK401TK</x:v>
      </x:c>
      <x:c r="B22" s="55" t="n">
        <x:f>SUMIFS('Canola records'!$E$2:$E$3371,'Canola records'!$C$2:$C$3371,A22,'Canola records'!$D$2:$D$3371,2025)</x:f>
        <x:v>62208</x:v>
      </x:c>
      <x:c r="C22" s="54" t="n">
        <x:f>SUMIFS('Canola records'!$G$2:$G$3371,'Canola records'!$C$2:$C$3371,A22,'Canola records'!$D$2:$D$3371,2025)/B22</x:f>
        <x:v>47.0293772505144</x:v>
      </x:c>
      <x:c r="D22" s="63" t="str">
        <x:f>IF(SUMIFS('Canola records'!$E$2:$E$3371,'Canola records'!$C$2:$C$3371,A22,'Canola records'!$D$2:$D$3371,2024)=0,"",SUMIFS('Canola records'!$E$2:$E$3371,'Canola records'!$C$2:$C$3371,A22,'Canola records'!$D$2:$D$3371,2024))</x:f>
      </x:c>
      <x:c r="E22" s="54" t="str">
        <x:f>IFERROR(SUMIFS('Canola records'!$G$2:$G$3371,'Canola records'!$C$2:$C$3371,A22,'Canola records'!$D$2:$D$3371,2024)/D22,"")</x:f>
      </x:c>
      <x:c r="F22" s="56" t="n">
        <x:f>COUNTIFS('Canola records'!$C$2:$C$3371,A22,'Canola records'!$D$2:$D$3371,2025,'Canola records'!$F$2:$F$3371,"&gt;0")</x:f>
        <x:v>16</x:v>
      </x:c>
    </x:row>
    <x:row r="23">
      <x:c r="A23" s="53" t="str">
        <x:v>CS4000 LL</x:v>
      </x:c>
      <x:c r="B23" s="55" t="n">
        <x:f>SUMIFS('Canola records'!$E$2:$E$3371,'Canola records'!$C$2:$C$3371,A23,'Canola records'!$D$2:$D$3371,2025)</x:f>
        <x:v>54776</x:v>
      </x:c>
      <x:c r="C23" s="54" t="n">
        <x:f>SUMIFS('Canola records'!$G$2:$G$3371,'Canola records'!$C$2:$C$3371,A23,'Canola records'!$D$2:$D$3371,2025)/B23</x:f>
        <x:v>45.87385168687016</x:v>
      </x:c>
      <x:c r="D23" s="63" t="n">
        <x:f>IF(SUMIFS('Canola records'!$E$2:$E$3371,'Canola records'!$C$2:$C$3371,A23,'Canola records'!$D$2:$D$3371,2024)=0,"",SUMIFS('Canola records'!$E$2:$E$3371,'Canola records'!$C$2:$C$3371,A23,'Canola records'!$D$2:$D$3371,2024))</x:f>
        <x:v>83258</x:v>
      </x:c>
      <x:c r="E23" s="54" t="n">
        <x:f>IFERROR(SUMIFS('Canola records'!$G$2:$G$3371,'Canola records'!$C$2:$C$3371,A23,'Canola records'!$D$2:$D$3371,2024)/D23,"")</x:f>
        <x:v>36.42730188090034</x:v>
      </x:c>
      <x:c r="F23" s="56" t="n">
        <x:f>COUNTIFS('Canola records'!$C$2:$C$3371,A23,'Canola records'!$D$2:$D$3371,2025,'Canola records'!$F$2:$F$3371,"&gt;0")</x:f>
        <x:v>13</x:v>
      </x:c>
    </x:row>
    <x:row r="24">
      <x:c r="A24" s="53" t="str">
        <x:v>PV 661 LCM</x:v>
      </x:c>
      <x:c r="B24" s="55" t="n">
        <x:f>SUMIFS('Canola records'!$E$2:$E$3371,'Canola records'!$C$2:$C$3371,A24,'Canola records'!$D$2:$D$3371,2025)</x:f>
        <x:v>46826</x:v>
      </x:c>
      <x:c r="C24" s="54" t="n">
        <x:f>SUMIFS('Canola records'!$G$2:$G$3371,'Canola records'!$C$2:$C$3371,A24,'Canola records'!$D$2:$D$3371,2025)/B24</x:f>
        <x:v>42.368222782215</x:v>
      </x:c>
      <x:c r="D24" s="63" t="n">
        <x:f>IF(SUMIFS('Canola records'!$E$2:$E$3371,'Canola records'!$C$2:$C$3371,A24,'Canola records'!$D$2:$D$3371,2024)=0,"",SUMIFS('Canola records'!$E$2:$E$3371,'Canola records'!$C$2:$C$3371,A24,'Canola records'!$D$2:$D$3371,2024))</x:f>
        <x:v>52322</x:v>
      </x:c>
      <x:c r="E24" s="54" t="n">
        <x:f>IFERROR(SUMIFS('Canola records'!$G$2:$G$3371,'Canola records'!$C$2:$C$3371,A24,'Canola records'!$D$2:$D$3371,2024)/D24,"")</x:f>
        <x:v>31.476266197775313</x:v>
      </x:c>
      <x:c r="F24" s="56" t="n">
        <x:f>COUNTIFS('Canola records'!$C$2:$C$3371,A24,'Canola records'!$D$2:$D$3371,2025,'Canola records'!$F$2:$F$3371,"&gt;0")</x:f>
        <x:v>13</x:v>
      </x:c>
    </x:row>
    <x:row r="25">
      <x:c r="A25" s="53" t="str">
        <x:v>CS4100 LL</x:v>
      </x:c>
      <x:c r="B25" s="55" t="n">
        <x:f>SUMIFS('Canola records'!$E$2:$E$3371,'Canola records'!$C$2:$C$3371,A25,'Canola records'!$D$2:$D$3371,2025)</x:f>
        <x:v>45742</x:v>
      </x:c>
      <x:c r="C25" s="54" t="n">
        <x:f>SUMIFS('Canola records'!$G$2:$G$3371,'Canola records'!$C$2:$C$3371,A25,'Canola records'!$D$2:$D$3371,2025)/B25</x:f>
        <x:v>44.82367845743518</x:v>
      </x:c>
      <x:c r="D25" s="63" t="str">
        <x:f>IF(SUMIFS('Canola records'!$E$2:$E$3371,'Canola records'!$C$2:$C$3371,A25,'Canola records'!$D$2:$D$3371,2024)=0,"",SUMIFS('Canola records'!$E$2:$E$3371,'Canola records'!$C$2:$C$3371,A25,'Canola records'!$D$2:$D$3371,2024))</x:f>
      </x:c>
      <x:c r="E25" s="54" t="str">
        <x:f>IFERROR(SUMIFS('Canola records'!$G$2:$G$3371,'Canola records'!$C$2:$C$3371,A25,'Canola records'!$D$2:$D$3371,2024)/D25,"")</x:f>
      </x:c>
      <x:c r="F25" s="56" t="n">
        <x:f>COUNTIFS('Canola records'!$C$2:$C$3371,A25,'Canola records'!$D$2:$D$3371,2025,'Canola records'!$F$2:$F$3371,"&gt;0")</x:f>
        <x:v>15</x:v>
      </x:c>
    </x:row>
    <x:row r="26">
      <x:c r="A26" s="53" t="str">
        <x:v>PV 781 TCM</x:v>
      </x:c>
      <x:c r="B26" s="55" t="n">
        <x:f>SUMIFS('Canola records'!$E$2:$E$3371,'Canola records'!$C$2:$C$3371,A26,'Canola records'!$D$2:$D$3371,2025)</x:f>
        <x:v>41901</x:v>
      </x:c>
      <x:c r="C26" s="54" t="n">
        <x:f>SUMIFS('Canola records'!$G$2:$G$3371,'Canola records'!$C$2:$C$3371,A26,'Canola records'!$D$2:$D$3371,2025)/B26</x:f>
        <x:v>40.414899405742105</x:v>
      </x:c>
      <x:c r="D26" s="63" t="n">
        <x:f>IF(SUMIFS('Canola records'!$E$2:$E$3371,'Canola records'!$C$2:$C$3371,A26,'Canola records'!$D$2:$D$3371,2024)=0,"",SUMIFS('Canola records'!$E$2:$E$3371,'Canola records'!$C$2:$C$3371,A26,'Canola records'!$D$2:$D$3371,2024))</x:f>
        <x:v>80085</x:v>
      </x:c>
      <x:c r="E26" s="54" t="n">
        <x:f>IFERROR(SUMIFS('Canola records'!$G$2:$G$3371,'Canola records'!$C$2:$C$3371,A26,'Canola records'!$D$2:$D$3371,2024)/D26,"")</x:f>
        <x:v>31.691504026971344</x:v>
      </x:c>
      <x:c r="F26" s="56" t="n">
        <x:f>COUNTIFS('Canola records'!$C$2:$C$3371,A26,'Canola records'!$D$2:$D$3371,2025,'Canola records'!$F$2:$F$3371,"&gt;0")</x:f>
        <x:v>9</x:v>
      </x:c>
    </x:row>
    <x:row r="27">
      <x:c r="A27" s="53" t="str">
        <x:v>P516L</x:v>
      </x:c>
      <x:c r="B27" s="55" t="n">
        <x:f>SUMIFS('Canola records'!$E$2:$E$3371,'Canola records'!$C$2:$C$3371,A27,'Canola records'!$D$2:$D$3371,2025)</x:f>
        <x:v>41646</x:v>
      </x:c>
      <x:c r="C27" s="54" t="n">
        <x:f>SUMIFS('Canola records'!$G$2:$G$3371,'Canola records'!$C$2:$C$3371,A27,'Canola records'!$D$2:$D$3371,2025)/B27</x:f>
        <x:v>44.390364020554195</x:v>
      </x:c>
      <x:c r="D27" s="63" t="n">
        <x:f>IF(SUMIFS('Canola records'!$E$2:$E$3371,'Canola records'!$C$2:$C$3371,A27,'Canola records'!$D$2:$D$3371,2024)=0,"",SUMIFS('Canola records'!$E$2:$E$3371,'Canola records'!$C$2:$C$3371,A27,'Canola records'!$D$2:$D$3371,2024))</x:f>
        <x:v>114777</x:v>
      </x:c>
      <x:c r="E27" s="54" t="n">
        <x:f>IFERROR(SUMIFS('Canola records'!$G$2:$G$3371,'Canola records'!$C$2:$C$3371,A27,'Canola records'!$D$2:$D$3371,2024)/D27,"")</x:f>
        <x:v>36.070660498183436</x:v>
      </x:c>
      <x:c r="F27" s="56" t="n">
        <x:f>COUNTIFS('Canola records'!$C$2:$C$3371,A27,'Canola records'!$D$2:$D$3371,2025,'Canola records'!$F$2:$F$3371,"&gt;0")</x:f>
        <x:v>9</x:v>
      </x:c>
    </x:row>
    <x:row r="28">
      <x:c r="A28" s="53" t="str">
        <x:v>LR354PC</x:v>
      </x:c>
      <x:c r="B28" s="55" t="n">
        <x:f>SUMIFS('Canola records'!$E$2:$E$3371,'Canola records'!$C$2:$C$3371,A28,'Canola records'!$D$2:$D$3371,2025)</x:f>
        <x:v>40007</x:v>
      </x:c>
      <x:c r="C28" s="54" t="n">
        <x:f>SUMIFS('Canola records'!$G$2:$G$3371,'Canola records'!$C$2:$C$3371,A28,'Canola records'!$D$2:$D$3371,2025)/B28</x:f>
        <x:v>48.80692128877447</x:v>
      </x:c>
      <x:c r="D28" s="63" t="n">
        <x:f>IF(SUMIFS('Canola records'!$E$2:$E$3371,'Canola records'!$C$2:$C$3371,A28,'Canola records'!$D$2:$D$3371,2024)=0,"",SUMIFS('Canola records'!$E$2:$E$3371,'Canola records'!$C$2:$C$3371,A28,'Canola records'!$D$2:$D$3371,2024))</x:f>
        <x:v>42132</x:v>
      </x:c>
      <x:c r="E28" s="54" t="n">
        <x:f>IFERROR(SUMIFS('Canola records'!$G$2:$G$3371,'Canola records'!$C$2:$C$3371,A28,'Canola records'!$D$2:$D$3371,2024)/D28,"")</x:f>
        <x:v>32.44581078515143</x:v>
      </x:c>
      <x:c r="F28" s="56" t="n">
        <x:f>COUNTIFS('Canola records'!$C$2:$C$3371,A28,'Canola records'!$D$2:$D$3371,2025,'Canola records'!$F$2:$F$3371,"&gt;0")</x:f>
        <x:v>16</x:v>
      </x:c>
    </x:row>
    <x:row r="29">
      <x:c r="A29" s="53" t="str">
        <x:v>PV783</x:v>
      </x:c>
      <x:c r="B29" s="55" t="n">
        <x:f>SUMIFS('Canola records'!$E$2:$E$3371,'Canola records'!$C$2:$C$3371,A29,'Canola records'!$D$2:$D$3371,2025)</x:f>
        <x:v>36243</x:v>
      </x:c>
      <x:c r="C29" s="54" t="n">
        <x:f>SUMIFS('Canola records'!$G$2:$G$3371,'Canola records'!$C$2:$C$3371,A29,'Canola records'!$D$2:$D$3371,2025)/B29</x:f>
        <x:v>43.90352067985542</x:v>
      </x:c>
      <x:c r="D29" s="63" t="str">
        <x:f>IF(SUMIFS('Canola records'!$E$2:$E$3371,'Canola records'!$C$2:$C$3371,A29,'Canola records'!$D$2:$D$3371,2024)=0,"",SUMIFS('Canola records'!$E$2:$E$3371,'Canola records'!$C$2:$C$3371,A29,'Canola records'!$D$2:$D$3371,2024))</x:f>
      </x:c>
      <x:c r="E29" s="54" t="str">
        <x:f>IFERROR(SUMIFS('Canola records'!$G$2:$G$3371,'Canola records'!$C$2:$C$3371,A29,'Canola records'!$D$2:$D$3371,2024)/D29,"")</x:f>
      </x:c>
      <x:c r="F29" s="56" t="n">
        <x:f>COUNTIFS('Canola records'!$C$2:$C$3371,A29,'Canola records'!$D$2:$D$3371,2025,'Canola records'!$F$2:$F$3371,"&gt;0")</x:f>
        <x:v>10</x:v>
      </x:c>
    </x:row>
    <x:row r="30">
      <x:c r="A30" s="53" t="str">
        <x:v>DK401TL</x:v>
      </x:c>
      <x:c r="B30" s="55" t="n">
        <x:f>SUMIFS('Canola records'!$E$2:$E$3371,'Canola records'!$C$2:$C$3371,A30,'Canola records'!$D$2:$D$3371,2025)</x:f>
        <x:v>34147</x:v>
      </x:c>
      <x:c r="C30" s="54" t="n">
        <x:f>SUMIFS('Canola records'!$G$2:$G$3371,'Canola records'!$C$2:$C$3371,A30,'Canola records'!$D$2:$D$3371,2025)/B30</x:f>
        <x:v>47.37320701672182</x:v>
      </x:c>
      <x:c r="D30" s="63" t="str">
        <x:f>IF(SUMIFS('Canola records'!$E$2:$E$3371,'Canola records'!$C$2:$C$3371,A30,'Canola records'!$D$2:$D$3371,2024)=0,"",SUMIFS('Canola records'!$E$2:$E$3371,'Canola records'!$C$2:$C$3371,A30,'Canola records'!$D$2:$D$3371,2024))</x:f>
      </x:c>
      <x:c r="E30" s="54" t="str">
        <x:f>IFERROR(SUMIFS('Canola records'!$G$2:$G$3371,'Canola records'!$C$2:$C$3371,A30,'Canola records'!$D$2:$D$3371,2024)/D30,"")</x:f>
      </x:c>
      <x:c r="F30" s="56" t="n">
        <x:f>COUNTIFS('Canola records'!$C$2:$C$3371,A30,'Canola records'!$D$2:$D$3371,2025,'Canola records'!$F$2:$F$3371,"&gt;0")</x:f>
        <x:v>12</x:v>
      </x:c>
    </x:row>
    <x:row r="31">
      <x:c r="A31" s="53" t="str">
        <x:v>BY 6211TF</x:v>
      </x:c>
      <x:c r="B31" s="55" t="n">
        <x:f>SUMIFS('Canola records'!$E$2:$E$3371,'Canola records'!$C$2:$C$3371,A31,'Canola records'!$D$2:$D$3371,2025)</x:f>
        <x:v>31987</x:v>
      </x:c>
      <x:c r="C31" s="54" t="n">
        <x:f>SUMIFS('Canola records'!$G$2:$G$3371,'Canola records'!$C$2:$C$3371,A31,'Canola records'!$D$2:$D$3371,2025)/B31</x:f>
        <x:v>41.71296464188577</x:v>
      </x:c>
      <x:c r="D31" s="63" t="n">
        <x:f>IF(SUMIFS('Canola records'!$E$2:$E$3371,'Canola records'!$C$2:$C$3371,A31,'Canola records'!$D$2:$D$3371,2024)=0,"",SUMIFS('Canola records'!$E$2:$E$3371,'Canola records'!$C$2:$C$3371,A31,'Canola records'!$D$2:$D$3371,2024))</x:f>
        <x:v>35462</x:v>
      </x:c>
      <x:c r="E31" s="54" t="n">
        <x:f>IFERROR(SUMIFS('Canola records'!$G$2:$G$3371,'Canola records'!$C$2:$C$3371,A31,'Canola records'!$D$2:$D$3371,2024)/D31,"")</x:f>
        <x:v>36.199041227229145</x:v>
      </x:c>
      <x:c r="F31" s="56" t="n">
        <x:f>COUNTIFS('Canola records'!$C$2:$C$3371,A31,'Canola records'!$D$2:$D$3371,2025,'Canola records'!$F$2:$F$3371,"&gt;0")</x:f>
        <x:v>8</x:v>
      </x:c>
    </x:row>
    <x:row r="32">
      <x:c r="A32" s="53" t="str">
        <x:v>L341PC</x:v>
      </x:c>
      <x:c r="B32" s="55" t="n">
        <x:f>SUMIFS('Canola records'!$E$2:$E$3371,'Canola records'!$C$2:$C$3371,A32,'Canola records'!$D$2:$D$3371,2025)</x:f>
        <x:v>31368</x:v>
      </x:c>
      <x:c r="C32" s="54" t="n">
        <x:f>SUMIFS('Canola records'!$G$2:$G$3371,'Canola records'!$C$2:$C$3371,A32,'Canola records'!$D$2:$D$3371,2025)/B32</x:f>
        <x:v>43.92607115531752</x:v>
      </x:c>
      <x:c r="D32" s="63" t="str">
        <x:f>IF(SUMIFS('Canola records'!$E$2:$E$3371,'Canola records'!$C$2:$C$3371,A32,'Canola records'!$D$2:$D$3371,2024)=0,"",SUMIFS('Canola records'!$E$2:$E$3371,'Canola records'!$C$2:$C$3371,A32,'Canola records'!$D$2:$D$3371,2024))</x:f>
      </x:c>
      <x:c r="E32" s="54" t="str">
        <x:f>IFERROR(SUMIFS('Canola records'!$G$2:$G$3371,'Canola records'!$C$2:$C$3371,A32,'Canola records'!$D$2:$D$3371,2024)/D32,"")</x:f>
      </x:c>
      <x:c r="F32" s="56" t="n">
        <x:f>COUNTIFS('Canola records'!$C$2:$C$3371,A32,'Canola records'!$D$2:$D$3371,2025,'Canola records'!$F$2:$F$3371,"&gt;0")</x:f>
        <x:v>14</x:v>
      </x:c>
    </x:row>
    <x:row r="33">
      <x:c r="A33" s="53" t="str">
        <x:v>BY 6217TF</x:v>
      </x:c>
      <x:c r="B33" s="55" t="n">
        <x:f>SUMIFS('Canola records'!$E$2:$E$3371,'Canola records'!$C$2:$C$3371,A33,'Canola records'!$D$2:$D$3371,2025)</x:f>
        <x:v>30934</x:v>
      </x:c>
      <x:c r="C33" s="54" t="n">
        <x:f>SUMIFS('Canola records'!$G$2:$G$3371,'Canola records'!$C$2:$C$3371,A33,'Canola records'!$D$2:$D$3371,2025)/B33</x:f>
        <x:v>40.168293786771834</x:v>
      </x:c>
      <x:c r="D33" s="63" t="n">
        <x:f>IF(SUMIFS('Canola records'!$E$2:$E$3371,'Canola records'!$C$2:$C$3371,A33,'Canola records'!$D$2:$D$3371,2024)=0,"",SUMIFS('Canola records'!$E$2:$E$3371,'Canola records'!$C$2:$C$3371,A33,'Canola records'!$D$2:$D$3371,2024))</x:f>
        <x:v>29304</x:v>
      </x:c>
      <x:c r="E33" s="54" t="n">
        <x:f>IFERROR(SUMIFS('Canola records'!$G$2:$G$3371,'Canola records'!$C$2:$C$3371,A33,'Canola records'!$D$2:$D$3371,2024)/D33,"")</x:f>
        <x:v>32.504135954135954</x:v>
      </x:c>
      <x:c r="F33" s="56" t="n">
        <x:f>COUNTIFS('Canola records'!$C$2:$C$3371,A33,'Canola records'!$D$2:$D$3371,2025,'Canola records'!$F$2:$F$3371,"&gt;0")</x:f>
        <x:v>10</x:v>
      </x:c>
    </x:row>
    <x:row r="34">
      <x:c r="A34" s="53" t="str">
        <x:v>DK801LL</x:v>
      </x:c>
      <x:c r="B34" s="55" t="n">
        <x:f>SUMIFS('Canola records'!$E$2:$E$3371,'Canola records'!$C$2:$C$3371,A34,'Canola records'!$D$2:$D$3371,2025)</x:f>
        <x:v>25763</x:v>
      </x:c>
      <x:c r="C34" s="54" t="n">
        <x:f>SUMIFS('Canola records'!$G$2:$G$3371,'Canola records'!$C$2:$C$3371,A34,'Canola records'!$D$2:$D$3371,2025)/B34</x:f>
        <x:v>50.468412063812444</x:v>
      </x:c>
      <x:c r="D34" s="63" t="str">
        <x:f>IF(SUMIFS('Canola records'!$E$2:$E$3371,'Canola records'!$C$2:$C$3371,A34,'Canola records'!$D$2:$D$3371,2024)=0,"",SUMIFS('Canola records'!$E$2:$E$3371,'Canola records'!$C$2:$C$3371,A34,'Canola records'!$D$2:$D$3371,2024))</x:f>
      </x:c>
      <x:c r="E34" s="54" t="str">
        <x:f>IFERROR(SUMIFS('Canola records'!$G$2:$G$3371,'Canola records'!$C$2:$C$3371,A34,'Canola records'!$D$2:$D$3371,2024)/D34,"")</x:f>
      </x:c>
      <x:c r="F34" s="56" t="n">
        <x:f>COUNTIFS('Canola records'!$C$2:$C$3371,A34,'Canola records'!$D$2:$D$3371,2025,'Canola records'!$F$2:$F$3371,"&gt;0")</x:f>
        <x:v>14</x:v>
      </x:c>
    </x:row>
    <x:row r="35">
      <x:c r="A35" s="53" t="str">
        <x:v>P508CL</x:v>
      </x:c>
      <x:c r="B35" s="55" t="n">
        <x:f>SUMIFS('Canola records'!$E$2:$E$3371,'Canola records'!$C$2:$C$3371,A35,'Canola records'!$D$2:$D$3371,2025)</x:f>
        <x:v>24134</x:v>
      </x:c>
      <x:c r="C35" s="54" t="n">
        <x:f>SUMIFS('Canola records'!$G$2:$G$3371,'Canola records'!$C$2:$C$3371,A35,'Canola records'!$D$2:$D$3371,2025)/B35</x:f>
        <x:v>46.32609596419989</x:v>
      </x:c>
      <x:c r="D35" s="63" t="str">
        <x:f>IF(SUMIFS('Canola records'!$E$2:$E$3371,'Canola records'!$C$2:$C$3371,A35,'Canola records'!$D$2:$D$3371,2024)=0,"",SUMIFS('Canola records'!$E$2:$E$3371,'Canola records'!$C$2:$C$3371,A35,'Canola records'!$D$2:$D$3371,2024))</x:f>
      </x:c>
      <x:c r="E35" s="54" t="str">
        <x:f>IFERROR(SUMIFS('Canola records'!$G$2:$G$3371,'Canola records'!$C$2:$C$3371,A35,'Canola records'!$D$2:$D$3371,2024)/D35,"")</x:f>
      </x:c>
      <x:c r="F35" s="56" t="n">
        <x:f>COUNTIFS('Canola records'!$C$2:$C$3371,A35,'Canola records'!$D$2:$D$3371,2025,'Canola records'!$F$2:$F$3371,"&gt;0")</x:f>
        <x:v>6</x:v>
      </x:c>
    </x:row>
    <x:row r="36">
      <x:c r="A36" s="53" t="str">
        <x:v>PV 681 LC</x:v>
      </x:c>
      <x:c r="B36" s="55" t="n">
        <x:f>SUMIFS('Canola records'!$E$2:$E$3371,'Canola records'!$C$2:$C$3371,A36,'Canola records'!$D$2:$D$3371,2025)</x:f>
        <x:v>24005</x:v>
      </x:c>
      <x:c r="C36" s="54" t="n">
        <x:f>SUMIFS('Canola records'!$G$2:$G$3371,'Canola records'!$C$2:$C$3371,A36,'Canola records'!$D$2:$D$3371,2025)/B36</x:f>
        <x:v>41.97378879400125</x:v>
      </x:c>
      <x:c r="D36" s="63" t="n">
        <x:f>IF(SUMIFS('Canola records'!$E$2:$E$3371,'Canola records'!$C$2:$C$3371,A36,'Canola records'!$D$2:$D$3371,2024)=0,"",SUMIFS('Canola records'!$E$2:$E$3371,'Canola records'!$C$2:$C$3371,A36,'Canola records'!$D$2:$D$3371,2024))</x:f>
        <x:v>29498</x:v>
      </x:c>
      <x:c r="E36" s="54" t="n">
        <x:f>IFERROR(SUMIFS('Canola records'!$G$2:$G$3371,'Canola records'!$C$2:$C$3371,A36,'Canola records'!$D$2:$D$3371,2024)/D36,"")</x:f>
        <x:v>31.939955251203468</x:v>
      </x:c>
      <x:c r="F36" s="56" t="n">
        <x:f>COUNTIFS('Canola records'!$C$2:$C$3371,A36,'Canola records'!$D$2:$D$3371,2025,'Canola records'!$F$2:$F$3371,"&gt;0")</x:f>
        <x:v>10</x:v>
      </x:c>
    </x:row>
    <x:row r="37">
      <x:c r="A37" s="53" t="str">
        <x:v>P519L</x:v>
      </x:c>
      <x:c r="B37" s="55" t="n">
        <x:f>SUMIFS('Canola records'!$E$2:$E$3371,'Canola records'!$C$2:$C$3371,A37,'Canola records'!$D$2:$D$3371,2025)</x:f>
        <x:v>23059</x:v>
      </x:c>
      <x:c r="C37" s="54" t="n">
        <x:f>SUMIFS('Canola records'!$G$2:$G$3371,'Canola records'!$C$2:$C$3371,A37,'Canola records'!$D$2:$D$3371,2025)/B37</x:f>
        <x:v>47.825330673489745</x:v>
      </x:c>
      <x:c r="D37" s="63" t="n">
        <x:f>IF(SUMIFS('Canola records'!$E$2:$E$3371,'Canola records'!$C$2:$C$3371,A37,'Canola records'!$D$2:$D$3371,2024)=0,"",SUMIFS('Canola records'!$E$2:$E$3371,'Canola records'!$C$2:$C$3371,A37,'Canola records'!$D$2:$D$3371,2024))</x:f>
        <x:v>2435</x:v>
      </x:c>
      <x:c r="E37" s="54" t="n">
        <x:f>IFERROR(SUMIFS('Canola records'!$G$2:$G$3371,'Canola records'!$C$2:$C$3371,A37,'Canola records'!$D$2:$D$3371,2024)/D37,"")</x:f>
        <x:v>37.4611498973306</x:v>
      </x:c>
      <x:c r="F37" s="56" t="n">
        <x:f>COUNTIFS('Canola records'!$C$2:$C$3371,A37,'Canola records'!$D$2:$D$3371,2025,'Canola records'!$F$2:$F$3371,"&gt;0")</x:f>
        <x:v>7</x:v>
      </x:c>
    </x:row>
    <x:row r="38">
      <x:c r="A38" s="53" t="str">
        <x:v>B3020</x:v>
      </x:c>
      <x:c r="B38" s="55" t="n">
        <x:f>SUMIFS('Canola records'!$E$2:$E$3371,'Canola records'!$C$2:$C$3371,A38,'Canola records'!$D$2:$D$3371,2025)</x:f>
        <x:v>22158</x:v>
      </x:c>
      <x:c r="C38" s="54" t="n">
        <x:f>SUMIFS('Canola records'!$G$2:$G$3371,'Canola records'!$C$2:$C$3371,A38,'Canola records'!$D$2:$D$3371,2025)/B38</x:f>
        <x:v>40.232719559527034</x:v>
      </x:c>
      <x:c r="D38" s="63" t="n">
        <x:f>IF(SUMIFS('Canola records'!$E$2:$E$3371,'Canola records'!$C$2:$C$3371,A38,'Canola records'!$D$2:$D$3371,2024)=0,"",SUMIFS('Canola records'!$E$2:$E$3371,'Canola records'!$C$2:$C$3371,A38,'Canola records'!$D$2:$D$3371,2024))</x:f>
        <x:v>632</x:v>
      </x:c>
      <x:c r="E38" s="54" t="n">
        <x:f>IFERROR(SUMIFS('Canola records'!$G$2:$G$3371,'Canola records'!$C$2:$C$3371,A38,'Canola records'!$D$2:$D$3371,2024)/D38,"")</x:f>
        <x:v>38.8</x:v>
      </x:c>
      <x:c r="F38" s="56" t="n">
        <x:f>COUNTIFS('Canola records'!$C$2:$C$3371,A38,'Canola records'!$D$2:$D$3371,2025,'Canola records'!$F$2:$F$3371,"&gt;0")</x:f>
        <x:v>12</x:v>
      </x:c>
    </x:row>
    <x:row r="39">
      <x:c r="A39" s="53" t="str">
        <x:v>PV661 LCM</x:v>
      </x:c>
      <x:c r="B39" s="55" t="n">
        <x:f>SUMIFS('Canola records'!$E$2:$E$3371,'Canola records'!$C$2:$C$3371,A39,'Canola records'!$D$2:$D$3371,2025)</x:f>
        <x:v>21290</x:v>
      </x:c>
      <x:c r="C39" s="54" t="n">
        <x:f>SUMIFS('Canola records'!$G$2:$G$3371,'Canola records'!$C$2:$C$3371,A39,'Canola records'!$D$2:$D$3371,2025)/B39</x:f>
        <x:v>39.48289807421324</x:v>
      </x:c>
      <x:c r="D39" s="63" t="n">
        <x:f>IF(SUMIFS('Canola records'!$E$2:$E$3371,'Canola records'!$C$2:$C$3371,A39,'Canola records'!$D$2:$D$3371,2024)=0,"",SUMIFS('Canola records'!$E$2:$E$3371,'Canola records'!$C$2:$C$3371,A39,'Canola records'!$D$2:$D$3371,2024))</x:f>
        <x:v>33199</x:v>
      </x:c>
      <x:c r="E39" s="54" t="n">
        <x:f>IFERROR(SUMIFS('Canola records'!$G$2:$G$3371,'Canola records'!$C$2:$C$3371,A39,'Canola records'!$D$2:$D$3371,2024)/D39,"")</x:f>
        <x:v>31.105201963914578</x:v>
      </x:c>
      <x:c r="F39" s="56" t="n">
        <x:f>COUNTIFS('Canola records'!$C$2:$C$3371,A39,'Canola records'!$D$2:$D$3371,2025,'Canola records'!$F$2:$F$3371,"&gt;0")</x:f>
        <x:v>9</x:v>
      </x:c>
    </x:row>
    <x:row r="40">
      <x:c r="A40" s="53" t="str">
        <x:v>DKTFLL 21 SC</x:v>
      </x:c>
      <x:c r="B40" s="55" t="n">
        <x:f>SUMIFS('Canola records'!$E$2:$E$3371,'Canola records'!$C$2:$C$3371,A40,'Canola records'!$D$2:$D$3371,2025)</x:f>
        <x:v>21051</x:v>
      </x:c>
      <x:c r="C40" s="54" t="n">
        <x:f>SUMIFS('Canola records'!$G$2:$G$3371,'Canola records'!$C$2:$C$3371,A40,'Canola records'!$D$2:$D$3371,2025)/B40</x:f>
        <x:v>31.19638021946701</x:v>
      </x:c>
      <x:c r="D40" s="63" t="n">
        <x:f>IF(SUMIFS('Canola records'!$E$2:$E$3371,'Canola records'!$C$2:$C$3371,A40,'Canola records'!$D$2:$D$3371,2024)=0,"",SUMIFS('Canola records'!$E$2:$E$3371,'Canola records'!$C$2:$C$3371,A40,'Canola records'!$D$2:$D$3371,2024))</x:f>
        <x:v>61742</x:v>
      </x:c>
      <x:c r="E40" s="54" t="n">
        <x:f>IFERROR(SUMIFS('Canola records'!$G$2:$G$3371,'Canola records'!$C$2:$C$3371,A40,'Canola records'!$D$2:$D$3371,2024)/D40,"")</x:f>
        <x:v>23.28328042499433</x:v>
      </x:c>
      <x:c r="F40" s="56" t="n">
        <x:f>COUNTIFS('Canola records'!$C$2:$C$3371,A40,'Canola records'!$D$2:$D$3371,2025,'Canola records'!$F$2:$F$3371,"&gt;0")</x:f>
        <x:v>6</x:v>
      </x:c>
    </x:row>
    <x:row r="41">
      <x:c r="A41" s="53" t="str">
        <x:v>B4015</x:v>
      </x:c>
      <x:c r="B41" s="55" t="n">
        <x:f>SUMIFS('Canola records'!$E$2:$E$3371,'Canola records'!$C$2:$C$3371,A41,'Canola records'!$D$2:$D$3371,2025)</x:f>
        <x:v>20994</x:v>
      </x:c>
      <x:c r="C41" s="54" t="n">
        <x:f>SUMIFS('Canola records'!$G$2:$G$3371,'Canola records'!$C$2:$C$3371,A41,'Canola records'!$D$2:$D$3371,2025)/B41</x:f>
        <x:v>40.553777269696106</x:v>
      </x:c>
      <x:c r="D41" s="63" t="n">
        <x:f>IF(SUMIFS('Canola records'!$E$2:$E$3371,'Canola records'!$C$2:$C$3371,A41,'Canola records'!$D$2:$D$3371,2024)=0,"",SUMIFS('Canola records'!$E$2:$E$3371,'Canola records'!$C$2:$C$3371,A41,'Canola records'!$D$2:$D$3371,2024))</x:f>
        <x:v>11119</x:v>
      </x:c>
      <x:c r="E41" s="54" t="n">
        <x:f>IFERROR(SUMIFS('Canola records'!$G$2:$G$3371,'Canola records'!$C$2:$C$3371,A41,'Canola records'!$D$2:$D$3371,2024)/D41,"")</x:f>
        <x:v>33.918391941721374</x:v>
      </x:c>
      <x:c r="F41" s="56" t="n">
        <x:f>COUNTIFS('Canola records'!$C$2:$C$3371,A41,'Canola records'!$D$2:$D$3371,2025,'Canola records'!$F$2:$F$3371,"&gt;0")</x:f>
        <x:v>6</x:v>
      </x:c>
    </x:row>
    <x:row r="42">
      <x:c r="A42" s="53" t="str">
        <x:v>CS3300 TF</x:v>
      </x:c>
      <x:c r="B42" s="55" t="n">
        <x:f>SUMIFS('Canola records'!$E$2:$E$3371,'Canola records'!$C$2:$C$3371,A42,'Canola records'!$D$2:$D$3371,2025)</x:f>
        <x:v>19038</x:v>
      </x:c>
      <x:c r="C42" s="54" t="n">
        <x:f>SUMIFS('Canola records'!$G$2:$G$3371,'Canola records'!$C$2:$C$3371,A42,'Canola records'!$D$2:$D$3371,2025)/B42</x:f>
        <x:v>49.19796722344784</x:v>
      </x:c>
      <x:c r="D42" s="63" t="str">
        <x:f>IF(SUMIFS('Canola records'!$E$2:$E$3371,'Canola records'!$C$2:$C$3371,A42,'Canola records'!$D$2:$D$3371,2024)=0,"",SUMIFS('Canola records'!$E$2:$E$3371,'Canola records'!$C$2:$C$3371,A42,'Canola records'!$D$2:$D$3371,2024))</x:f>
      </x:c>
      <x:c r="E42" s="54" t="str">
        <x:f>IFERROR(SUMIFS('Canola records'!$G$2:$G$3371,'Canola records'!$C$2:$C$3371,A42,'Canola records'!$D$2:$D$3371,2024)/D42,"")</x:f>
      </x:c>
      <x:c r="F42" s="56" t="n">
        <x:f>COUNTIFS('Canola records'!$C$2:$C$3371,A42,'Canola records'!$D$2:$D$3371,2025,'Canola records'!$F$2:$F$3371,"&gt;0")</x:f>
        <x:v>9</x:v>
      </x:c>
    </x:row>
    <x:row r="43">
      <x:c r="A43" s="53" t="str">
        <x:v>P510G</x:v>
      </x:c>
      <x:c r="B43" s="55" t="n">
        <x:f>SUMIFS('Canola records'!$E$2:$E$3371,'Canola records'!$C$2:$C$3371,A43,'Canola records'!$D$2:$D$3371,2025)</x:f>
        <x:v>18506</x:v>
      </x:c>
      <x:c r="C43" s="54" t="n">
        <x:f>SUMIFS('Canola records'!$G$2:$G$3371,'Canola records'!$C$2:$C$3371,A43,'Canola records'!$D$2:$D$3371,2025)/B43</x:f>
        <x:v>45.2460175078353</x:v>
      </x:c>
      <x:c r="D43" s="63" t="n">
        <x:f>IF(SUMIFS('Canola records'!$E$2:$E$3371,'Canola records'!$C$2:$C$3371,A43,'Canola records'!$D$2:$D$3371,2024)=0,"",SUMIFS('Canola records'!$E$2:$E$3371,'Canola records'!$C$2:$C$3371,A43,'Canola records'!$D$2:$D$3371,2024))</x:f>
        <x:v>24872</x:v>
      </x:c>
      <x:c r="E43" s="54" t="n">
        <x:f>IFERROR(SUMIFS('Canola records'!$G$2:$G$3371,'Canola records'!$C$2:$C$3371,A43,'Canola records'!$D$2:$D$3371,2024)/D43,"")</x:f>
        <x:v>34.92066982952718</x:v>
      </x:c>
      <x:c r="F43" s="56" t="n">
        <x:f>COUNTIFS('Canola records'!$C$2:$C$3371,A43,'Canola records'!$D$2:$D$3371,2025,'Canola records'!$F$2:$F$3371,"&gt;0")</x:f>
        <x:v>7</x:v>
      </x:c>
    </x:row>
    <x:row r="44">
      <x:c r="A44" s="53" t="str">
        <x:v>P1540L</x:v>
      </x:c>
      <x:c r="B44" s="55" t="n">
        <x:f>SUMIFS('Canola records'!$E$2:$E$3371,'Canola records'!$C$2:$C$3371,A44,'Canola records'!$D$2:$D$3371,2025)</x:f>
        <x:v>18274</x:v>
      </x:c>
      <x:c r="C44" s="54" t="n">
        <x:f>SUMIFS('Canola records'!$G$2:$G$3371,'Canola records'!$C$2:$C$3371,A44,'Canola records'!$D$2:$D$3371,2025)/B44</x:f>
        <x:v>48.80368282806173</x:v>
      </x:c>
      <x:c r="D44" s="63" t="str">
        <x:f>IF(SUMIFS('Canola records'!$E$2:$E$3371,'Canola records'!$C$2:$C$3371,A44,'Canola records'!$D$2:$D$3371,2024)=0,"",SUMIFS('Canola records'!$E$2:$E$3371,'Canola records'!$C$2:$C$3371,A44,'Canola records'!$D$2:$D$3371,2024))</x:f>
      </x:c>
      <x:c r="E44" s="54" t="str">
        <x:f>IFERROR(SUMIFS('Canola records'!$G$2:$G$3371,'Canola records'!$C$2:$C$3371,A44,'Canola records'!$D$2:$D$3371,2024)/D44,"")</x:f>
      </x:c>
      <x:c r="F44" s="56" t="n">
        <x:f>COUNTIFS('Canola records'!$C$2:$C$3371,A44,'Canola records'!$D$2:$D$3371,2025,'Canola records'!$F$2:$F$3371,"&gt;0")</x:f>
        <x:v>12</x:v>
      </x:c>
    </x:row>
    <x:row r="45">
      <x:c r="A45" s="53" t="str">
        <x:v>CS3200 TF</x:v>
      </x:c>
      <x:c r="B45" s="55" t="n">
        <x:f>SUMIFS('Canola records'!$E$2:$E$3371,'Canola records'!$C$2:$C$3371,A45,'Canola records'!$D$2:$D$3371,2025)</x:f>
        <x:v>16828</x:v>
      </x:c>
      <x:c r="C45" s="54" t="n">
        <x:f>SUMIFS('Canola records'!$G$2:$G$3371,'Canola records'!$C$2:$C$3371,A45,'Canola records'!$D$2:$D$3371,2025)/B45</x:f>
        <x:v>49.48983836463038</x:v>
      </x:c>
      <x:c r="D45" s="63" t="n">
        <x:f>IF(SUMIFS('Canola records'!$E$2:$E$3371,'Canola records'!$C$2:$C$3371,A45,'Canola records'!$D$2:$D$3371,2024)=0,"",SUMIFS('Canola records'!$E$2:$E$3371,'Canola records'!$C$2:$C$3371,A45,'Canola records'!$D$2:$D$3371,2024))</x:f>
        <x:v>2317</x:v>
      </x:c>
      <x:c r="E45" s="54" t="n">
        <x:f>IFERROR(SUMIFS('Canola records'!$G$2:$G$3371,'Canola records'!$C$2:$C$3371,A45,'Canola records'!$D$2:$D$3371,2024)/D45,"")</x:f>
        <x:v>40.95002157962884</x:v>
      </x:c>
      <x:c r="F45" s="56" t="n">
        <x:f>COUNTIFS('Canola records'!$C$2:$C$3371,A45,'Canola records'!$D$2:$D$3371,2025,'Canola records'!$F$2:$F$3371,"&gt;0")</x:f>
        <x:v>4</x:v>
      </x:c>
    </x:row>
    <x:row r="46">
      <x:c r="A46" s="53" t="str">
        <x:v>BY 5125CL</x:v>
      </x:c>
      <x:c r="B46" s="55" t="n">
        <x:f>SUMIFS('Canola records'!$E$2:$E$3371,'Canola records'!$C$2:$C$3371,A46,'Canola records'!$D$2:$D$3371,2025)</x:f>
        <x:v>16539</x:v>
      </x:c>
      <x:c r="C46" s="54" t="n">
        <x:f>SUMIFS('Canola records'!$G$2:$G$3371,'Canola records'!$C$2:$C$3371,A46,'Canola records'!$D$2:$D$3371,2025)/B46</x:f>
        <x:v>39.21552089001754</x:v>
      </x:c>
      <x:c r="D46" s="63" t="n">
        <x:f>IF(SUMIFS('Canola records'!$E$2:$E$3371,'Canola records'!$C$2:$C$3371,A46,'Canola records'!$D$2:$D$3371,2024)=0,"",SUMIFS('Canola records'!$E$2:$E$3371,'Canola records'!$C$2:$C$3371,A46,'Canola records'!$D$2:$D$3371,2024))</x:f>
        <x:v>10282</x:v>
      </x:c>
      <x:c r="E46" s="54" t="n">
        <x:f>IFERROR(SUMIFS('Canola records'!$G$2:$G$3371,'Canola records'!$C$2:$C$3371,A46,'Canola records'!$D$2:$D$3371,2024)/D46,"")</x:f>
        <x:v>34.712001556117485</x:v>
      </x:c>
      <x:c r="F46" s="56" t="n">
        <x:f>COUNTIFS('Canola records'!$C$2:$C$3371,A46,'Canola records'!$D$2:$D$3371,2025,'Canola records'!$F$2:$F$3371,"&gt;0")</x:f>
        <x:v>5</x:v>
      </x:c>
    </x:row>
    <x:row r="47">
      <x:c r="A47" s="53" t="str">
        <x:v>B3019</x:v>
      </x:c>
      <x:c r="B47" s="55" t="n">
        <x:f>SUMIFS('Canola records'!$E$2:$E$3371,'Canola records'!$C$2:$C$3371,A47,'Canola records'!$D$2:$D$3371,2025)</x:f>
        <x:v>15955</x:v>
      </x:c>
      <x:c r="C47" s="54" t="n">
        <x:f>SUMIFS('Canola records'!$G$2:$G$3371,'Canola records'!$C$2:$C$3371,A47,'Canola records'!$D$2:$D$3371,2025)/B47</x:f>
        <x:v>43.35299279222814</x:v>
      </x:c>
      <x:c r="D47" s="63" t="n">
        <x:f>IF(SUMIFS('Canola records'!$E$2:$E$3371,'Canola records'!$C$2:$C$3371,A47,'Canola records'!$D$2:$D$3371,2024)=0,"",SUMIFS('Canola records'!$E$2:$E$3371,'Canola records'!$C$2:$C$3371,A47,'Canola records'!$D$2:$D$3371,2024))</x:f>
        <x:v>1107</x:v>
      </x:c>
      <x:c r="E47" s="54" t="n">
        <x:f>IFERROR(SUMIFS('Canola records'!$G$2:$G$3371,'Canola records'!$C$2:$C$3371,A47,'Canola records'!$D$2:$D$3371,2024)/D47,"")</x:f>
        <x:v>41.85682023486901</x:v>
      </x:c>
      <x:c r="F47" s="56" t="n">
        <x:f>COUNTIFS('Canola records'!$C$2:$C$3371,A47,'Canola records'!$D$2:$D$3371,2025,'Canola records'!$F$2:$F$3371,"&gt;0")</x:f>
        <x:v>6</x:v>
      </x:c>
    </x:row>
    <x:row r="48">
      <x:c r="A48" s="53" t="str">
        <x:v>P612L</x:v>
      </x:c>
      <x:c r="B48" s="55" t="n">
        <x:f>SUMIFS('Canola records'!$E$2:$E$3371,'Canola records'!$C$2:$C$3371,A48,'Canola records'!$D$2:$D$3371,2025)</x:f>
        <x:v>15084</x:v>
      </x:c>
      <x:c r="C48" s="54" t="n">
        <x:f>SUMIFS('Canola records'!$G$2:$G$3371,'Canola records'!$C$2:$C$3371,A48,'Canola records'!$D$2:$D$3371,2025)/B48</x:f>
        <x:v>50.28273667462212</x:v>
      </x:c>
      <x:c r="D48" s="63" t="n">
        <x:f>IF(SUMIFS('Canola records'!$E$2:$E$3371,'Canola records'!$C$2:$C$3371,A48,'Canola records'!$D$2:$D$3371,2024)=0,"",SUMIFS('Canola records'!$E$2:$E$3371,'Canola records'!$C$2:$C$3371,A48,'Canola records'!$D$2:$D$3371,2024))</x:f>
        <x:v>23269</x:v>
      </x:c>
      <x:c r="E48" s="54" t="n">
        <x:f>IFERROR(SUMIFS('Canola records'!$G$2:$G$3371,'Canola records'!$C$2:$C$3371,A48,'Canola records'!$D$2:$D$3371,2024)/D48,"")</x:f>
        <x:v>31.166874382225277</x:v>
      </x:c>
      <x:c r="F48" s="56" t="n">
        <x:f>COUNTIFS('Canola records'!$C$2:$C$3371,A48,'Canola records'!$D$2:$D$3371,2025,'Canola records'!$F$2:$F$3371,"&gt;0")</x:f>
        <x:v>4</x:v>
      </x:c>
    </x:row>
    <x:row r="49">
      <x:c r="A49" s="53" t="str">
        <x:v>PV 761 TM</x:v>
      </x:c>
      <x:c r="B49" s="55" t="n">
        <x:f>SUMIFS('Canola records'!$E$2:$E$3371,'Canola records'!$C$2:$C$3371,A49,'Canola records'!$D$2:$D$3371,2025)</x:f>
        <x:v>13887</x:v>
      </x:c>
      <x:c r="C49" s="54" t="n">
        <x:f>SUMIFS('Canola records'!$G$2:$G$3371,'Canola records'!$C$2:$C$3371,A49,'Canola records'!$D$2:$D$3371,2025)/B49</x:f>
        <x:v>41.660481025419465</x:v>
      </x:c>
      <x:c r="D49" s="63" t="n">
        <x:f>IF(SUMIFS('Canola records'!$E$2:$E$3371,'Canola records'!$C$2:$C$3371,A49,'Canola records'!$D$2:$D$3371,2024)=0,"",SUMIFS('Canola records'!$E$2:$E$3371,'Canola records'!$C$2:$C$3371,A49,'Canola records'!$D$2:$D$3371,2024))</x:f>
        <x:v>28960</x:v>
      </x:c>
      <x:c r="E49" s="54" t="n">
        <x:f>IFERROR(SUMIFS('Canola records'!$G$2:$G$3371,'Canola records'!$C$2:$C$3371,A49,'Canola records'!$D$2:$D$3371,2024)/D49,"")</x:f>
        <x:v>33.83672306629834</x:v>
      </x:c>
      <x:c r="F49" s="56" t="n">
        <x:f>COUNTIFS('Canola records'!$C$2:$C$3371,A49,'Canola records'!$D$2:$D$3371,2025,'Canola records'!$F$2:$F$3371,"&gt;0")</x:f>
        <x:v>5</x:v>
      </x:c>
    </x:row>
    <x:row r="50">
      <x:c r="A50" s="53" t="str">
        <x:v>P514CL</x:v>
      </x:c>
      <x:c r="B50" s="55" t="n">
        <x:f>SUMIFS('Canola records'!$E$2:$E$3371,'Canola records'!$C$2:$C$3371,A50,'Canola records'!$D$2:$D$3371,2025)</x:f>
        <x:v>13866</x:v>
      </x:c>
      <x:c r="C50" s="54" t="n">
        <x:f>SUMIFS('Canola records'!$G$2:$G$3371,'Canola records'!$C$2:$C$3371,A50,'Canola records'!$D$2:$D$3371,2025)/B50</x:f>
        <x:v>43.022681378912445</x:v>
      </x:c>
      <x:c r="D50" s="63" t="n">
        <x:f>IF(SUMIFS('Canola records'!$E$2:$E$3371,'Canola records'!$C$2:$C$3371,A50,'Canola records'!$D$2:$D$3371,2024)=0,"",SUMIFS('Canola records'!$E$2:$E$3371,'Canola records'!$C$2:$C$3371,A50,'Canola records'!$D$2:$D$3371,2024))</x:f>
        <x:v>7294</x:v>
      </x:c>
      <x:c r="E50" s="54" t="n">
        <x:f>IFERROR(SUMIFS('Canola records'!$G$2:$G$3371,'Canola records'!$C$2:$C$3371,A50,'Canola records'!$D$2:$D$3371,2024)/D50,"")</x:f>
        <x:v>35.80921305182341</x:v>
      </x:c>
      <x:c r="F50" s="56" t="n">
        <x:f>COUNTIFS('Canola records'!$C$2:$C$3371,A50,'Canola records'!$D$2:$D$3371,2025,'Canola records'!$F$2:$F$3371,"&gt;0")</x:f>
        <x:v>6</x:v>
      </x:c>
    </x:row>
    <x:row r="51">
      <x:c r="A51" s="53" t="str">
        <x:v>45CM39</x:v>
      </x:c>
      <x:c r="B51" s="55" t="n">
        <x:f>SUMIFS('Canola records'!$E$2:$E$3371,'Canola records'!$C$2:$C$3371,A51,'Canola records'!$D$2:$D$3371,2025)</x:f>
        <x:v>13210</x:v>
      </x:c>
      <x:c r="C51" s="54" t="n">
        <x:f>SUMIFS('Canola records'!$G$2:$G$3371,'Canola records'!$C$2:$C$3371,A51,'Canola records'!$D$2:$D$3371,2025)/B51</x:f>
        <x:v>49.20846328538986</x:v>
      </x:c>
      <x:c r="D51" s="63" t="n">
        <x:f>IF(SUMIFS('Canola records'!$E$2:$E$3371,'Canola records'!$C$2:$C$3371,A51,'Canola records'!$D$2:$D$3371,2024)=0,"",SUMIFS('Canola records'!$E$2:$E$3371,'Canola records'!$C$2:$C$3371,A51,'Canola records'!$D$2:$D$3371,2024))</x:f>
        <x:v>36774</x:v>
      </x:c>
      <x:c r="E51" s="54" t="n">
        <x:f>IFERROR(SUMIFS('Canola records'!$G$2:$G$3371,'Canola records'!$C$2:$C$3371,A51,'Canola records'!$D$2:$D$3371,2024)/D51,"")</x:f>
        <x:v>40.058965573503016</x:v>
      </x:c>
      <x:c r="F51" s="56" t="n">
        <x:f>COUNTIFS('Canola records'!$C$2:$C$3371,A51,'Canola records'!$D$2:$D$3371,2025,'Canola records'!$F$2:$F$3371,"&gt;0")</x:f>
        <x:v>3</x:v>
      </x:c>
    </x:row>
    <x:row r="52">
      <x:c r="A52" s="53" t="str">
        <x:v>DK901TF</x:v>
      </x:c>
      <x:c r="B52" s="55" t="n">
        <x:f>SUMIFS('Canola records'!$E$2:$E$3371,'Canola records'!$C$2:$C$3371,A52,'Canola records'!$D$2:$D$3371,2025)</x:f>
        <x:v>12802</x:v>
      </x:c>
      <x:c r="C52" s="54" t="n">
        <x:f>SUMIFS('Canola records'!$G$2:$G$3371,'Canola records'!$C$2:$C$3371,A52,'Canola records'!$D$2:$D$3371,2025)/B52</x:f>
        <x:v>39.431776284955475</x:v>
      </x:c>
      <x:c r="D52" s="63" t="n">
        <x:f>IF(SUMIFS('Canola records'!$E$2:$E$3371,'Canola records'!$C$2:$C$3371,A52,'Canola records'!$D$2:$D$3371,2024)=0,"",SUMIFS('Canola records'!$E$2:$E$3371,'Canola records'!$C$2:$C$3371,A52,'Canola records'!$D$2:$D$3371,2024))</x:f>
        <x:v>11829</x:v>
      </x:c>
      <x:c r="E52" s="54" t="n">
        <x:f>IFERROR(SUMIFS('Canola records'!$G$2:$G$3371,'Canola records'!$C$2:$C$3371,A52,'Canola records'!$D$2:$D$3371,2024)/D52,"")</x:f>
        <x:v>33.114202383971595</x:v>
      </x:c>
      <x:c r="F52" s="56" t="n">
        <x:f>COUNTIFS('Canola records'!$C$2:$C$3371,A52,'Canola records'!$D$2:$D$3371,2025,'Canola records'!$F$2:$F$3371,"&gt;0")</x:f>
        <x:v>6</x:v>
      </x:c>
    </x:row>
    <x:row r="53">
      <x:c r="A53" s="53" t="str">
        <x:v>P508MCL</x:v>
      </x:c>
      <x:c r="B53" s="55" t="n">
        <x:f>SUMIFS('Canola records'!$E$2:$E$3371,'Canola records'!$C$2:$C$3371,A53,'Canola records'!$D$2:$D$3371,2025)</x:f>
        <x:v>12768</x:v>
      </x:c>
      <x:c r="C53" s="54" t="n">
        <x:f>SUMIFS('Canola records'!$G$2:$G$3371,'Canola records'!$C$2:$C$3371,A53,'Canola records'!$D$2:$D$3371,2025)/B53</x:f>
        <x:v>45.6281171679198</x:v>
      </x:c>
      <x:c r="D53" s="63" t="n">
        <x:f>IF(SUMIFS('Canola records'!$E$2:$E$3371,'Canola records'!$C$2:$C$3371,A53,'Canola records'!$D$2:$D$3371,2024)=0,"",SUMIFS('Canola records'!$E$2:$E$3371,'Canola records'!$C$2:$C$3371,A53,'Canola records'!$D$2:$D$3371,2024))</x:f>
        <x:v>23258</x:v>
      </x:c>
      <x:c r="E53" s="54" t="n">
        <x:f>IFERROR(SUMIFS('Canola records'!$G$2:$G$3371,'Canola records'!$C$2:$C$3371,A53,'Canola records'!$D$2:$D$3371,2024)/D53,"")</x:f>
        <x:v>38.8588270702554</x:v>
      </x:c>
      <x:c r="F53" s="56" t="n">
        <x:f>COUNTIFS('Canola records'!$C$2:$C$3371,A53,'Canola records'!$D$2:$D$3371,2025,'Canola records'!$F$2:$F$3371,"&gt;0")</x:f>
        <x:v>5</x:v>
      </x:c>
    </x:row>
    <x:row r="54">
      <x:c r="A54" s="53" t="str">
        <x:v>45M35</x:v>
      </x:c>
      <x:c r="B54" s="55" t="n">
        <x:f>SUMIFS('Canola records'!$E$2:$E$3371,'Canola records'!$C$2:$C$3371,A54,'Canola records'!$D$2:$D$3371,2025)</x:f>
        <x:v>11294</x:v>
      </x:c>
      <x:c r="C54" s="54" t="n">
        <x:f>SUMIFS('Canola records'!$G$2:$G$3371,'Canola records'!$C$2:$C$3371,A54,'Canola records'!$D$2:$D$3371,2025)/B54</x:f>
        <x:v>50.55307242783779</x:v>
      </x:c>
      <x:c r="D54" s="63" t="n">
        <x:f>IF(SUMIFS('Canola records'!$E$2:$E$3371,'Canola records'!$C$2:$C$3371,A54,'Canola records'!$D$2:$D$3371,2024)=0,"",SUMIFS('Canola records'!$E$2:$E$3371,'Canola records'!$C$2:$C$3371,A54,'Canola records'!$D$2:$D$3371,2024))</x:f>
        <x:v>14156</x:v>
      </x:c>
      <x:c r="E54" s="54" t="n">
        <x:f>IFERROR(SUMIFS('Canola records'!$G$2:$G$3371,'Canola records'!$C$2:$C$3371,A54,'Canola records'!$D$2:$D$3371,2024)/D54,"")</x:f>
        <x:v>40.64829047753602</x:v>
      </x:c>
      <x:c r="F54" s="56" t="n">
        <x:f>COUNTIFS('Canola records'!$C$2:$C$3371,A54,'Canola records'!$D$2:$D$3371,2025,'Canola records'!$F$2:$F$3371,"&gt;0")</x:f>
        <x:v>3</x:v>
      </x:c>
    </x:row>
    <x:row r="55">
      <x:c r="A55" s="53" t="str">
        <x:v>45H42</x:v>
      </x:c>
      <x:c r="B55" s="55" t="n">
        <x:f>SUMIFS('Canola records'!$E$2:$E$3371,'Canola records'!$C$2:$C$3371,A55,'Canola records'!$D$2:$D$3371,2025)</x:f>
        <x:v>10977</x:v>
      </x:c>
      <x:c r="C55" s="54" t="n">
        <x:f>SUMIFS('Canola records'!$G$2:$G$3371,'Canola records'!$C$2:$C$3371,A55,'Canola records'!$D$2:$D$3371,2025)/B55</x:f>
        <x:v>41.812180012753934</x:v>
      </x:c>
      <x:c r="D55" s="63" t="n">
        <x:f>IF(SUMIFS('Canola records'!$E$2:$E$3371,'Canola records'!$C$2:$C$3371,A55,'Canola records'!$D$2:$D$3371,2024)=0,"",SUMIFS('Canola records'!$E$2:$E$3371,'Canola records'!$C$2:$C$3371,A55,'Canola records'!$D$2:$D$3371,2024))</x:f>
        <x:v>29636</x:v>
      </x:c>
      <x:c r="E55" s="54" t="n">
        <x:f>IFERROR(SUMIFS('Canola records'!$G$2:$G$3371,'Canola records'!$C$2:$C$3371,A55,'Canola records'!$D$2:$D$3371,2024)/D55,"")</x:f>
        <x:v>34.52181805911729</x:v>
      </x:c>
      <x:c r="F55" s="56" t="n">
        <x:f>COUNTIFS('Canola records'!$C$2:$C$3371,A55,'Canola records'!$D$2:$D$3371,2025,'Canola records'!$F$2:$F$3371,"&gt;0")</x:f>
        <x:v>4</x:v>
      </x:c>
    </x:row>
    <x:row r="56">
      <x:c r="A56" s="53" t="str">
        <x:v>L234PC</x:v>
      </x:c>
      <x:c r="B56" s="55" t="n">
        <x:f>SUMIFS('Canola records'!$E$2:$E$3371,'Canola records'!$C$2:$C$3371,A56,'Canola records'!$D$2:$D$3371,2025)</x:f>
        <x:v>10726</x:v>
      </x:c>
      <x:c r="C56" s="54" t="n">
        <x:f>SUMIFS('Canola records'!$G$2:$G$3371,'Canola records'!$C$2:$C$3371,A56,'Canola records'!$D$2:$D$3371,2025)/B56</x:f>
        <x:v>45.324780906209206</x:v>
      </x:c>
      <x:c r="D56" s="63" t="n">
        <x:f>IF(SUMIFS('Canola records'!$E$2:$E$3371,'Canola records'!$C$2:$C$3371,A56,'Canola records'!$D$2:$D$3371,2024)=0,"",SUMIFS('Canola records'!$E$2:$E$3371,'Canola records'!$C$2:$C$3371,A56,'Canola records'!$D$2:$D$3371,2024))</x:f>
        <x:v>8734</x:v>
      </x:c>
      <x:c r="E56" s="54" t="n">
        <x:f>IFERROR(SUMIFS('Canola records'!$G$2:$G$3371,'Canola records'!$C$2:$C$3371,A56,'Canola records'!$D$2:$D$3371,2024)/D56,"")</x:f>
        <x:v>42.16258300893062</x:v>
      </x:c>
      <x:c r="F56" s="56" t="n">
        <x:f>COUNTIFS('Canola records'!$C$2:$C$3371,A56,'Canola records'!$D$2:$D$3371,2025,'Canola records'!$F$2:$F$3371,"&gt;0")</x:f>
        <x:v>6</x:v>
      </x:c>
    </x:row>
    <x:row r="57">
      <x:c r="A57" s="53" t="str">
        <x:v>L230</x:v>
      </x:c>
      <x:c r="B57" s="55" t="n">
        <x:f>SUMIFS('Canola records'!$E$2:$E$3371,'Canola records'!$C$2:$C$3371,A57,'Canola records'!$D$2:$D$3371,2025)</x:f>
        <x:v>10120</x:v>
      </x:c>
      <x:c r="C57" s="54" t="n">
        <x:f>SUMIFS('Canola records'!$G$2:$G$3371,'Canola records'!$C$2:$C$3371,A57,'Canola records'!$D$2:$D$3371,2025)/B57</x:f>
        <x:v>48.39748023715415</x:v>
      </x:c>
      <x:c r="D57" s="63" t="n">
        <x:f>IF(SUMIFS('Canola records'!$E$2:$E$3371,'Canola records'!$C$2:$C$3371,A57,'Canola records'!$D$2:$D$3371,2024)=0,"",SUMIFS('Canola records'!$E$2:$E$3371,'Canola records'!$C$2:$C$3371,A57,'Canola records'!$D$2:$D$3371,2024))</x:f>
        <x:v>1036</x:v>
      </x:c>
      <x:c r="E57" s="54" t="n">
        <x:f>IFERROR(SUMIFS('Canola records'!$G$2:$G$3371,'Canola records'!$C$2:$C$3371,A57,'Canola records'!$D$2:$D$3371,2024)/D57,"")</x:f>
        <x:v>43.7</x:v>
      </x:c>
      <x:c r="F57" s="56" t="n">
        <x:f>COUNTIFS('Canola records'!$C$2:$C$3371,A57,'Canola records'!$D$2:$D$3371,2025,'Canola records'!$F$2:$F$3371,"&gt;0")</x:f>
        <x:v>4</x:v>
      </x:c>
    </x:row>
    <x:row r="58">
      <x:c r="A58" s="53" t="str">
        <x:v>P617SL</x:v>
      </x:c>
      <x:c r="B58" s="55" t="n">
        <x:f>SUMIFS('Canola records'!$E$2:$E$3371,'Canola records'!$C$2:$C$3371,A58,'Canola records'!$D$2:$D$3371,2025)</x:f>
        <x:v>10022</x:v>
      </x:c>
      <x:c r="C58" s="54" t="n">
        <x:f>SUMIFS('Canola records'!$G$2:$G$3371,'Canola records'!$C$2:$C$3371,A58,'Canola records'!$D$2:$D$3371,2025)/B58</x:f>
        <x:v>42.73441428856516</x:v>
      </x:c>
      <x:c r="D58" s="63" t="str">
        <x:f>IF(SUMIFS('Canola records'!$E$2:$E$3371,'Canola records'!$C$2:$C$3371,A58,'Canola records'!$D$2:$D$3371,2024)=0,"",SUMIFS('Canola records'!$E$2:$E$3371,'Canola records'!$C$2:$C$3371,A58,'Canola records'!$D$2:$D$3371,2024))</x:f>
      </x:c>
      <x:c r="E58" s="54" t="str">
        <x:f>IFERROR(SUMIFS('Canola records'!$G$2:$G$3371,'Canola records'!$C$2:$C$3371,A58,'Canola records'!$D$2:$D$3371,2024)/D58,"")</x:f>
      </x:c>
      <x:c r="F58" s="56" t="n">
        <x:f>COUNTIFS('Canola records'!$C$2:$C$3371,A58,'Canola records'!$D$2:$D$3371,2025,'Canola records'!$F$2:$F$3371,"&gt;0")</x:f>
        <x:v>7</x:v>
      </x:c>
    </x:row>
    <x:row r="59">
      <x:c r="A59" s="53" t="str">
        <x:v>P1530G</x:v>
      </x:c>
      <x:c r="B59" s="55" t="n">
        <x:f>SUMIFS('Canola records'!$E$2:$E$3371,'Canola records'!$C$2:$C$3371,A59,'Canola records'!$D$2:$D$3371,2025)</x:f>
        <x:v>8709</x:v>
      </x:c>
      <x:c r="C59" s="54" t="n">
        <x:f>SUMIFS('Canola records'!$G$2:$G$3371,'Canola records'!$C$2:$C$3371,A59,'Canola records'!$D$2:$D$3371,2025)/B59</x:f>
        <x:v>48.29540705017798</x:v>
      </x:c>
      <x:c r="D59" s="63" t="str">
        <x:f>IF(SUMIFS('Canola records'!$E$2:$E$3371,'Canola records'!$C$2:$C$3371,A59,'Canola records'!$D$2:$D$3371,2024)=0,"",SUMIFS('Canola records'!$E$2:$E$3371,'Canola records'!$C$2:$C$3371,A59,'Canola records'!$D$2:$D$3371,2024))</x:f>
      </x:c>
      <x:c r="E59" s="54" t="str">
        <x:f>IFERROR(SUMIFS('Canola records'!$G$2:$G$3371,'Canola records'!$C$2:$C$3371,A59,'Canola records'!$D$2:$D$3371,2024)/D59,"")</x:f>
      </x:c>
      <x:c r="F59" s="56" t="n">
        <x:f>COUNTIFS('Canola records'!$C$2:$C$3371,A59,'Canola records'!$D$2:$D$3371,2025,'Canola records'!$F$2:$F$3371,"&gt;0")</x:f>
        <x:v>7</x:v>
      </x:c>
    </x:row>
    <x:row r="60">
      <x:c r="A60" s="53" t="str">
        <x:v>P501L</x:v>
      </x:c>
      <x:c r="B60" s="55" t="n">
        <x:f>SUMIFS('Canola records'!$E$2:$E$3371,'Canola records'!$C$2:$C$3371,A60,'Canola records'!$D$2:$D$3371,2025)</x:f>
        <x:v>7546</x:v>
      </x:c>
      <x:c r="C60" s="54" t="n">
        <x:f>SUMIFS('Canola records'!$G$2:$G$3371,'Canola records'!$C$2:$C$3371,A60,'Canola records'!$D$2:$D$3371,2025)/B60</x:f>
        <x:v>39.306838059899285</x:v>
      </x:c>
      <x:c r="D60" s="63" t="n">
        <x:f>IF(SUMIFS('Canola records'!$E$2:$E$3371,'Canola records'!$C$2:$C$3371,A60,'Canola records'!$D$2:$D$3371,2024)=0,"",SUMIFS('Canola records'!$E$2:$E$3371,'Canola records'!$C$2:$C$3371,A60,'Canola records'!$D$2:$D$3371,2024))</x:f>
        <x:v>7334</x:v>
      </x:c>
      <x:c r="E60" s="54" t="n">
        <x:f>IFERROR(SUMIFS('Canola records'!$G$2:$G$3371,'Canola records'!$C$2:$C$3371,A60,'Canola records'!$D$2:$D$3371,2024)/D60,"")</x:f>
        <x:v>39.13314698663758</x:v>
      </x:c>
      <x:c r="F60" s="56" t="n">
        <x:f>COUNTIFS('Canola records'!$C$2:$C$3371,A60,'Canola records'!$D$2:$D$3371,2025,'Canola records'!$F$2:$F$3371,"&gt;0")</x:f>
        <x:v>4</x:v>
      </x:c>
    </x:row>
    <x:row r="61">
      <x:c r="A61" s="53" t="str">
        <x:v>BY 6214TF</x:v>
      </x:c>
      <x:c r="B61" s="55" t="n">
        <x:f>SUMIFS('Canola records'!$E$2:$E$3371,'Canola records'!$C$2:$C$3371,A61,'Canola records'!$D$2:$D$3371,2025)</x:f>
        <x:v>5369</x:v>
      </x:c>
      <x:c r="C61" s="54" t="n">
        <x:f>SUMIFS('Canola records'!$G$2:$G$3371,'Canola records'!$C$2:$C$3371,A61,'Canola records'!$D$2:$D$3371,2025)/B61</x:f>
        <x:v>45.82739802570311</x:v>
      </x:c>
      <x:c r="D61" s="63" t="n">
        <x:f>IF(SUMIFS('Canola records'!$E$2:$E$3371,'Canola records'!$C$2:$C$3371,A61,'Canola records'!$D$2:$D$3371,2024)=0,"",SUMIFS('Canola records'!$E$2:$E$3371,'Canola records'!$C$2:$C$3371,A61,'Canola records'!$D$2:$D$3371,2024))</x:f>
        <x:v>11111</x:v>
      </x:c>
      <x:c r="E61" s="54" t="n">
        <x:f>IFERROR(SUMIFS('Canola records'!$G$2:$G$3371,'Canola records'!$C$2:$C$3371,A61,'Canola records'!$D$2:$D$3371,2024)/D61,"")</x:f>
        <x:v>33.30588605886059</x:v>
      </x:c>
      <x:c r="F61" s="56" t="n">
        <x:f>COUNTIFS('Canola records'!$C$2:$C$3371,A61,'Canola records'!$D$2:$D$3371,2025,'Canola records'!$F$2:$F$3371,"&gt;0")</x:f>
        <x:v>5</x:v>
      </x:c>
    </x:row>
    <x:row r="62">
      <x:c r="A62" s="53" t="str">
        <x:v>L140P</x:v>
      </x:c>
      <x:c r="B62" s="55" t="n">
        <x:f>SUMIFS('Canola records'!$E$2:$E$3371,'Canola records'!$C$2:$C$3371,A62,'Canola records'!$D$2:$D$3371,2025)</x:f>
        <x:v>4846</x:v>
      </x:c>
      <x:c r="C62" s="54" t="n">
        <x:f>SUMIFS('Canola records'!$G$2:$G$3371,'Canola records'!$C$2:$C$3371,A62,'Canola records'!$D$2:$D$3371,2025)/B62</x:f>
        <x:v>46.42789929839042</x:v>
      </x:c>
      <x:c r="D62" s="63" t="n">
        <x:f>IF(SUMIFS('Canola records'!$E$2:$E$3371,'Canola records'!$C$2:$C$3371,A62,'Canola records'!$D$2:$D$3371,2024)=0,"",SUMIFS('Canola records'!$E$2:$E$3371,'Canola records'!$C$2:$C$3371,A62,'Canola records'!$D$2:$D$3371,2024))</x:f>
        <x:v>7203</x:v>
      </x:c>
      <x:c r="E62" s="54" t="n">
        <x:f>IFERROR(SUMIFS('Canola records'!$G$2:$G$3371,'Canola records'!$C$2:$C$3371,A62,'Canola records'!$D$2:$D$3371,2024)/D62,"")</x:f>
        <x:v>39.09037900874635</x:v>
      </x:c>
      <x:c r="F62" s="56" t="n">
        <x:f>COUNTIFS('Canola records'!$C$2:$C$3371,A62,'Canola records'!$D$2:$D$3371,2025,'Canola records'!$F$2:$F$3371,"&gt;0")</x:f>
        <x:v>4</x:v>
      </x:c>
    </x:row>
    <x:row r="63">
      <x:c r="A63" s="53" t="str">
        <x:v>CP21L3C</x:v>
      </x:c>
      <x:c r="B63" s="55" t="n">
        <x:f>SUMIFS('Canola records'!$E$2:$E$3371,'Canola records'!$C$2:$C$3371,A63,'Canola records'!$D$2:$D$3371,2025)</x:f>
        <x:v>4114</x:v>
      </x:c>
      <x:c r="C63" s="54" t="n">
        <x:f>SUMIFS('Canola records'!$G$2:$G$3371,'Canola records'!$C$2:$C$3371,A63,'Canola records'!$D$2:$D$3371,2025)/B63</x:f>
        <x:v>45.32809917355372</x:v>
      </x:c>
      <x:c r="D63" s="63" t="n">
        <x:f>IF(SUMIFS('Canola records'!$E$2:$E$3371,'Canola records'!$C$2:$C$3371,A63,'Canola records'!$D$2:$D$3371,2024)=0,"",SUMIFS('Canola records'!$E$2:$E$3371,'Canola records'!$C$2:$C$3371,A63,'Canola records'!$D$2:$D$3371,2024))</x:f>
        <x:v>2660</x:v>
      </x:c>
      <x:c r="E63" s="54" t="n">
        <x:f>IFERROR(SUMIFS('Canola records'!$G$2:$G$3371,'Canola records'!$C$2:$C$3371,A63,'Canola records'!$D$2:$D$3371,2024)/D63,"")</x:f>
        <x:v>45.9</x:v>
      </x:c>
      <x:c r="F63" s="56" t="n">
        <x:f>COUNTIFS('Canola records'!$C$2:$C$3371,A63,'Canola records'!$D$2:$D$3371,2025,'Canola records'!$F$2:$F$3371,"&gt;0")</x:f>
        <x:v>2</x:v>
      </x:c>
    </x:row>
    <x:row r="64">
      <x:c r="A64" s="53" t="str">
        <x:v>B3012</x:v>
      </x:c>
      <x:c r="B64" s="55" t="n">
        <x:f>SUMIFS('Canola records'!$E$2:$E$3371,'Canola records'!$C$2:$C$3371,A64,'Canola records'!$D$2:$D$3371,2025)</x:f>
        <x:v>3960</x:v>
      </x:c>
      <x:c r="C64" s="54" t="n">
        <x:f>SUMIFS('Canola records'!$G$2:$G$3371,'Canola records'!$C$2:$C$3371,A64,'Canola records'!$D$2:$D$3371,2025)/B64</x:f>
        <x:v>42.00151515151515</x:v>
      </x:c>
      <x:c r="D64" s="63" t="n">
        <x:f>IF(SUMIFS('Canola records'!$E$2:$E$3371,'Canola records'!$C$2:$C$3371,A64,'Canola records'!$D$2:$D$3371,2024)=0,"",SUMIFS('Canola records'!$E$2:$E$3371,'Canola records'!$C$2:$C$3371,A64,'Canola records'!$D$2:$D$3371,2024))</x:f>
        <x:v>15201</x:v>
      </x:c>
      <x:c r="E64" s="54" t="n">
        <x:f>IFERROR(SUMIFS('Canola records'!$G$2:$G$3371,'Canola records'!$C$2:$C$3371,A64,'Canola records'!$D$2:$D$3371,2024)/D64,"")</x:f>
        <x:v>36.831004539175055</x:v>
      </x:c>
      <x:c r="F64" s="56" t="n">
        <x:f>COUNTIFS('Canola records'!$C$2:$C$3371,A64,'Canola records'!$D$2:$D$3371,2025,'Canola records'!$F$2:$F$3371,"&gt;0")</x:f>
        <x:v>2</x:v>
      </x:c>
    </x:row>
    <x:row r="65">
      <x:c r="A65" s="53" t="str">
        <x:v>PV 760 TM</x:v>
      </x:c>
      <x:c r="B65" s="55" t="n">
        <x:f>SUMIFS('Canola records'!$E$2:$E$3371,'Canola records'!$C$2:$C$3371,A65,'Canola records'!$D$2:$D$3371,2025)</x:f>
        <x:v>3695</x:v>
      </x:c>
      <x:c r="C65" s="54" t="n">
        <x:f>SUMIFS('Canola records'!$G$2:$G$3371,'Canola records'!$C$2:$C$3371,A65,'Canola records'!$D$2:$D$3371,2025)/B65</x:f>
        <x:v>44.935561569688765</x:v>
      </x:c>
      <x:c r="D65" s="63" t="n">
        <x:f>IF(SUMIFS('Canola records'!$E$2:$E$3371,'Canola records'!$C$2:$C$3371,A65,'Canola records'!$D$2:$D$3371,2024)=0,"",SUMIFS('Canola records'!$E$2:$E$3371,'Canola records'!$C$2:$C$3371,A65,'Canola records'!$D$2:$D$3371,2024))</x:f>
        <x:v>5149</x:v>
      </x:c>
      <x:c r="E65" s="54" t="n">
        <x:f>IFERROR(SUMIFS('Canola records'!$G$2:$G$3371,'Canola records'!$C$2:$C$3371,A65,'Canola records'!$D$2:$D$3371,2024)/D65,"")</x:f>
        <x:v>31.305593319091084</x:v>
      </x:c>
      <x:c r="F65" s="56" t="n">
        <x:f>COUNTIFS('Canola records'!$C$2:$C$3371,A65,'Canola records'!$D$2:$D$3371,2025,'Canola records'!$F$2:$F$3371,"&gt;0")</x:f>
        <x:v>4</x:v>
      </x:c>
    </x:row>
    <x:row r="66">
      <x:c r="A66" s="53" t="str">
        <x:v>DKLL 83 SC</x:v>
      </x:c>
      <x:c r="B66" s="55" t="n">
        <x:f>SUMIFS('Canola records'!$E$2:$E$3371,'Canola records'!$C$2:$C$3371,A66,'Canola records'!$D$2:$D$3371,2025)</x:f>
        <x:v>3563</x:v>
      </x:c>
      <x:c r="C66" s="54" t="n">
        <x:f>SUMIFS('Canola records'!$G$2:$G$3371,'Canola records'!$C$2:$C$3371,A66,'Canola records'!$D$2:$D$3371,2025)/B66</x:f>
        <x:v>51.91683974179063</x:v>
      </x:c>
      <x:c r="D66" s="63" t="n">
        <x:f>IF(SUMIFS('Canola records'!$E$2:$E$3371,'Canola records'!$C$2:$C$3371,A66,'Canola records'!$D$2:$D$3371,2024)=0,"",SUMIFS('Canola records'!$E$2:$E$3371,'Canola records'!$C$2:$C$3371,A66,'Canola records'!$D$2:$D$3371,2024))</x:f>
        <x:v>79782</x:v>
      </x:c>
      <x:c r="E66" s="54" t="n">
        <x:f>IFERROR(SUMIFS('Canola records'!$G$2:$G$3371,'Canola records'!$C$2:$C$3371,A66,'Canola records'!$D$2:$D$3371,2024)/D66,"")</x:f>
        <x:v>29.136031937028402</x:v>
      </x:c>
      <x:c r="F66" s="56" t="n">
        <x:f>COUNTIFS('Canola records'!$C$2:$C$3371,A66,'Canola records'!$D$2:$D$3371,2025,'Canola records'!$F$2:$F$3371,"&gt;0")</x:f>
        <x:v>3</x:v>
      </x:c>
    </x:row>
    <x:row r="67">
      <x:c r="A67" s="53" t="str">
        <x:v>L255PC</x:v>
      </x:c>
      <x:c r="B67" s="55" t="n">
        <x:f>SUMIFS('Canola records'!$E$2:$E$3371,'Canola records'!$C$2:$C$3371,A67,'Canola records'!$D$2:$D$3371,2025)</x:f>
        <x:v>3537</x:v>
      </x:c>
      <x:c r="C67" s="54" t="n">
        <x:f>SUMIFS('Canola records'!$G$2:$G$3371,'Canola records'!$C$2:$C$3371,A67,'Canola records'!$D$2:$D$3371,2025)/B67</x:f>
        <x:v>52.87902176986146</x:v>
      </x:c>
      <x:c r="D67" s="63" t="n">
        <x:f>IF(SUMIFS('Canola records'!$E$2:$E$3371,'Canola records'!$C$2:$C$3371,A67,'Canola records'!$D$2:$D$3371,2024)=0,"",SUMIFS('Canola records'!$E$2:$E$3371,'Canola records'!$C$2:$C$3371,A67,'Canola records'!$D$2:$D$3371,2024))</x:f>
        <x:v>570</x:v>
      </x:c>
      <x:c r="E67" s="54" t="n">
        <x:f>IFERROR(SUMIFS('Canola records'!$G$2:$G$3371,'Canola records'!$C$2:$C$3371,A67,'Canola records'!$D$2:$D$3371,2024)/D67,"")</x:f>
        <x:v>28</x:v>
      </x:c>
      <x:c r="F67" s="56" t="n">
        <x:f>COUNTIFS('Canola records'!$C$2:$C$3371,A67,'Canola records'!$D$2:$D$3371,2025,'Canola records'!$F$2:$F$3371,"&gt;0")</x:f>
        <x:v>2</x:v>
      </x:c>
    </x:row>
    <x:row r="68">
      <x:c r="A68" s="53" t="str">
        <x:v>CS3100 TF</x:v>
      </x:c>
      <x:c r="B68" s="55" t="n">
        <x:f>SUMIFS('Canola records'!$E$2:$E$3371,'Canola records'!$C$2:$C$3371,A68,'Canola records'!$D$2:$D$3371,2025)</x:f>
        <x:v>2985</x:v>
      </x:c>
      <x:c r="C68" s="54" t="n">
        <x:f>SUMIFS('Canola records'!$G$2:$G$3371,'Canola records'!$C$2:$C$3371,A68,'Canola records'!$D$2:$D$3371,2025)/B68</x:f>
        <x:v>38.21427135678392</x:v>
      </x:c>
      <x:c r="D68" s="63" t="n">
        <x:f>IF(SUMIFS('Canola records'!$E$2:$E$3371,'Canola records'!$C$2:$C$3371,A68,'Canola records'!$D$2:$D$3371,2024)=0,"",SUMIFS('Canola records'!$E$2:$E$3371,'Canola records'!$C$2:$C$3371,A68,'Canola records'!$D$2:$D$3371,2024))</x:f>
        <x:v>4353</x:v>
      </x:c>
      <x:c r="E68" s="54" t="n">
        <x:f>IFERROR(SUMIFS('Canola records'!$G$2:$G$3371,'Canola records'!$C$2:$C$3371,A68,'Canola records'!$D$2:$D$3371,2024)/D68,"")</x:f>
        <x:v>40.799127038823805</x:v>
      </x:c>
      <x:c r="F68" s="56" t="n">
        <x:f>COUNTIFS('Canola records'!$C$2:$C$3371,A68,'Canola records'!$D$2:$D$3371,2025,'Canola records'!$F$2:$F$3371,"&gt;0")</x:f>
        <x:v>2</x:v>
      </x:c>
    </x:row>
    <x:row r="69">
      <x:c r="A69" s="53" t="str">
        <x:v>P511G</x:v>
      </x:c>
      <x:c r="B69" s="55" t="n">
        <x:f>SUMIFS('Canola records'!$E$2:$E$3371,'Canola records'!$C$2:$C$3371,A69,'Canola records'!$D$2:$D$3371,2025)</x:f>
        <x:v>2661</x:v>
      </x:c>
      <x:c r="C69" s="54" t="n">
        <x:f>SUMIFS('Canola records'!$G$2:$G$3371,'Canola records'!$C$2:$C$3371,A69,'Canola records'!$D$2:$D$3371,2025)/B69</x:f>
        <x:v>39.262908680947014</x:v>
      </x:c>
      <x:c r="D69" s="63" t="n">
        <x:f>IF(SUMIFS('Canola records'!$E$2:$E$3371,'Canola records'!$C$2:$C$3371,A69,'Canola records'!$D$2:$D$3371,2024)=0,"",SUMIFS('Canola records'!$E$2:$E$3371,'Canola records'!$C$2:$C$3371,A69,'Canola records'!$D$2:$D$3371,2024))</x:f>
        <x:v>2134</x:v>
      </x:c>
      <x:c r="E69" s="54" t="n">
        <x:f>IFERROR(SUMIFS('Canola records'!$G$2:$G$3371,'Canola records'!$C$2:$C$3371,A69,'Canola records'!$D$2:$D$3371,2024)/D69,"")</x:f>
        <x:v>29</x:v>
      </x:c>
      <x:c r="F69" s="56" t="n">
        <x:f>COUNTIFS('Canola records'!$C$2:$C$3371,A69,'Canola records'!$D$2:$D$3371,2025,'Canola records'!$F$2:$F$3371,"&gt;0")</x:f>
        <x:v>2</x:v>
      </x:c>
    </x:row>
    <x:row r="70">
      <x:c r="A70" s="53" t="str">
        <x:v>44H44</x:v>
      </x:c>
      <x:c r="B70" s="55" t="n">
        <x:f>SUMIFS('Canola records'!$E$2:$E$3371,'Canola records'!$C$2:$C$3371,A70,'Canola records'!$D$2:$D$3371,2025)</x:f>
        <x:v>2601</x:v>
      </x:c>
      <x:c r="C70" s="54" t="n">
        <x:f>SUMIFS('Canola records'!$G$2:$G$3371,'Canola records'!$C$2:$C$3371,A70,'Canola records'!$D$2:$D$3371,2025)/B70</x:f>
        <x:v>41.7</x:v>
      </x:c>
      <x:c r="D70" s="63" t="n">
        <x:f>IF(SUMIFS('Canola records'!$E$2:$E$3371,'Canola records'!$C$2:$C$3371,A70,'Canola records'!$D$2:$D$3371,2024)=0,"",SUMIFS('Canola records'!$E$2:$E$3371,'Canola records'!$C$2:$C$3371,A70,'Canola records'!$D$2:$D$3371,2024))</x:f>
        <x:v>3323</x:v>
      </x:c>
      <x:c r="E70" s="54" t="n">
        <x:f>IFERROR(SUMIFS('Canola records'!$G$2:$G$3371,'Canola records'!$C$2:$C$3371,A70,'Canola records'!$D$2:$D$3371,2024)/D70,"")</x:f>
        <x:v>36.2</x:v>
      </x:c>
      <x:c r="F70" s="56" t="n">
        <x:f>COUNTIFS('Canola records'!$C$2:$C$3371,A70,'Canola records'!$D$2:$D$3371,2025,'Canola records'!$F$2:$F$3371,"&gt;0")</x:f>
        <x:v>1</x:v>
      </x:c>
    </x:row>
    <x:row r="71">
      <x:c r="A71" s="53" t="str">
        <x:v>PV 780 TC</x:v>
      </x:c>
      <x:c r="B71" s="55" t="n">
        <x:f>SUMIFS('Canola records'!$E$2:$E$3371,'Canola records'!$C$2:$C$3371,A71,'Canola records'!$D$2:$D$3371,2025)</x:f>
        <x:v>2460</x:v>
      </x:c>
      <x:c r="C71" s="54" t="n">
        <x:f>SUMIFS('Canola records'!$G$2:$G$3371,'Canola records'!$C$2:$C$3371,A71,'Canola records'!$D$2:$D$3371,2025)/B71</x:f>
        <x:v>51.8609756097561</x:v>
      </x:c>
      <x:c r="D71" s="63" t="n">
        <x:f>IF(SUMIFS('Canola records'!$E$2:$E$3371,'Canola records'!$C$2:$C$3371,A71,'Canola records'!$D$2:$D$3371,2024)=0,"",SUMIFS('Canola records'!$E$2:$E$3371,'Canola records'!$C$2:$C$3371,A71,'Canola records'!$D$2:$D$3371,2024))</x:f>
        <x:v>621</x:v>
      </x:c>
      <x:c r="E71" s="54" t="n">
        <x:f>IFERROR(SUMIFS('Canola records'!$G$2:$G$3371,'Canola records'!$C$2:$C$3371,A71,'Canola records'!$D$2:$D$3371,2024)/D71,"")</x:f>
        <x:v>46.5</x:v>
      </x:c>
      <x:c r="F71" s="56" t="n">
        <x:f>COUNTIFS('Canola records'!$C$2:$C$3371,A71,'Canola records'!$D$2:$D$3371,2025,'Canola records'!$F$2:$F$3371,"&gt;0")</x:f>
        <x:v>3</x:v>
      </x:c>
    </x:row>
    <x:row r="72">
      <x:c r="A72" s="53" t="str">
        <x:v>45H52</x:v>
      </x:c>
      <x:c r="B72" s="55" t="n">
        <x:f>SUMIFS('Canola records'!$E$2:$E$3371,'Canola records'!$C$2:$C$3371,A72,'Canola records'!$D$2:$D$3371,2025)</x:f>
        <x:v>2425</x:v>
      </x:c>
      <x:c r="C72" s="54" t="n">
        <x:f>SUMIFS('Canola records'!$G$2:$G$3371,'Canola records'!$C$2:$C$3371,A72,'Canola records'!$D$2:$D$3371,2025)/B72</x:f>
        <x:v>39.5</x:v>
      </x:c>
      <x:c r="D72" s="63" t="n">
        <x:f>IF(SUMIFS('Canola records'!$E$2:$E$3371,'Canola records'!$C$2:$C$3371,A72,'Canola records'!$D$2:$D$3371,2024)=0,"",SUMIFS('Canola records'!$E$2:$E$3371,'Canola records'!$C$2:$C$3371,A72,'Canola records'!$D$2:$D$3371,2024))</x:f>
        <x:v>861</x:v>
      </x:c>
      <x:c r="E72" s="54" t="n">
        <x:f>IFERROR(SUMIFS('Canola records'!$G$2:$G$3371,'Canola records'!$C$2:$C$3371,A72,'Canola records'!$D$2:$D$3371,2024)/D72,"")</x:f>
        <x:v>17.8</x:v>
      </x:c>
      <x:c r="F72" s="56" t="n">
        <x:f>COUNTIFS('Canola records'!$C$2:$C$3371,A72,'Canola records'!$D$2:$D$3371,2025,'Canola records'!$F$2:$F$3371,"&gt;0")</x:f>
        <x:v>1</x:v>
      </x:c>
    </x:row>
    <x:row r="73">
      <x:c r="A73" s="53" t="str">
        <x:v>CS3000 TF</x:v>
      </x:c>
      <x:c r="B73" s="55" t="n">
        <x:f>SUMIFS('Canola records'!$E$2:$E$3371,'Canola records'!$C$2:$C$3371,A73,'Canola records'!$D$2:$D$3371,2025)</x:f>
        <x:v>2407</x:v>
      </x:c>
      <x:c r="C73" s="54" t="n">
        <x:f>SUMIFS('Canola records'!$G$2:$G$3371,'Canola records'!$C$2:$C$3371,A73,'Canola records'!$D$2:$D$3371,2025)/B73</x:f>
        <x:v>48.15874532613211</x:v>
      </x:c>
      <x:c r="D73" s="63" t="n">
        <x:f>IF(SUMIFS('Canola records'!$E$2:$E$3371,'Canola records'!$C$2:$C$3371,A73,'Canola records'!$D$2:$D$3371,2024)=0,"",SUMIFS('Canola records'!$E$2:$E$3371,'Canola records'!$C$2:$C$3371,A73,'Canola records'!$D$2:$D$3371,2024))</x:f>
        <x:v>6152</x:v>
      </x:c>
      <x:c r="E73" s="54" t="n">
        <x:f>IFERROR(SUMIFS('Canola records'!$G$2:$G$3371,'Canola records'!$C$2:$C$3371,A73,'Canola records'!$D$2:$D$3371,2024)/D73,"")</x:f>
        <x:v>34.97602405721717</x:v>
      </x:c>
      <x:c r="F73" s="56" t="n">
        <x:f>COUNTIFS('Canola records'!$C$2:$C$3371,A73,'Canola records'!$D$2:$D$3371,2025,'Canola records'!$F$2:$F$3371,"&gt;0")</x:f>
        <x:v>4</x:v>
      </x:c>
    </x:row>
    <x:row r="74">
      <x:c r="A74" s="53" t="str">
        <x:v>BY 6216TF</x:v>
      </x:c>
      <x:c r="B74" s="55" t="n">
        <x:f>SUMIFS('Canola records'!$E$2:$E$3371,'Canola records'!$C$2:$C$3371,A74,'Canola records'!$D$2:$D$3371,2025)</x:f>
        <x:v>2140</x:v>
      </x:c>
      <x:c r="C74" s="54" t="n">
        <x:f>SUMIFS('Canola records'!$G$2:$G$3371,'Canola records'!$C$2:$C$3371,A74,'Canola records'!$D$2:$D$3371,2025)/B74</x:f>
        <x:v>44.64710280373832</x:v>
      </x:c>
      <x:c r="D74" s="63" t="n">
        <x:f>IF(SUMIFS('Canola records'!$E$2:$E$3371,'Canola records'!$C$2:$C$3371,A74,'Canola records'!$D$2:$D$3371,2024)=0,"",SUMIFS('Canola records'!$E$2:$E$3371,'Canola records'!$C$2:$C$3371,A74,'Canola records'!$D$2:$D$3371,2024))</x:f>
        <x:v>922</x:v>
      </x:c>
      <x:c r="E74" s="54" t="n">
        <x:f>IFERROR(SUMIFS('Canola records'!$G$2:$G$3371,'Canola records'!$C$2:$C$3371,A74,'Canola records'!$D$2:$D$3371,2024)/D74,"")</x:f>
        <x:v>38</x:v>
      </x:c>
      <x:c r="F74" s="56" t="n">
        <x:f>COUNTIFS('Canola records'!$C$2:$C$3371,A74,'Canola records'!$D$2:$D$3371,2025,'Canola records'!$F$2:$F$3371,"&gt;0")</x:f>
        <x:v>2</x:v>
      </x:c>
    </x:row>
    <x:row r="75">
      <x:c r="A75" s="53" t="str">
        <x:v>46A65</x:v>
      </x:c>
      <x:c r="B75" s="55" t="n">
        <x:f>SUMIFS('Canola records'!$E$2:$E$3371,'Canola records'!$C$2:$C$3371,A75,'Canola records'!$D$2:$D$3371,2025)</x:f>
        <x:v>2045</x:v>
      </x:c>
      <x:c r="C75" s="54" t="n">
        <x:f>SUMIFS('Canola records'!$G$2:$G$3371,'Canola records'!$C$2:$C$3371,A75,'Canola records'!$D$2:$D$3371,2025)/B75</x:f>
        <x:v>31.4</x:v>
      </x:c>
      <x:c r="D75" s="63" t="n">
        <x:f>IF(SUMIFS('Canola records'!$E$2:$E$3371,'Canola records'!$C$2:$C$3371,A75,'Canola records'!$D$2:$D$3371,2024)=0,"",SUMIFS('Canola records'!$E$2:$E$3371,'Canola records'!$C$2:$C$3371,A75,'Canola records'!$D$2:$D$3371,2024))</x:f>
        <x:v>1132</x:v>
      </x:c>
      <x:c r="E75" s="54" t="n">
        <x:f>IFERROR(SUMIFS('Canola records'!$G$2:$G$3371,'Canola records'!$C$2:$C$3371,A75,'Canola records'!$D$2:$D$3371,2024)/D75,"")</x:f>
        <x:v>24.7</x:v>
      </x:c>
      <x:c r="F75" s="56" t="n">
        <x:f>COUNTIFS('Canola records'!$C$2:$C$3371,A75,'Canola records'!$D$2:$D$3371,2025,'Canola records'!$F$2:$F$3371,"&gt;0")</x:f>
        <x:v>1</x:v>
      </x:c>
    </x:row>
    <x:row r="76">
      <x:c r="A76" s="53" t="str">
        <x:v>B3016</x:v>
      </x:c>
      <x:c r="B76" s="55" t="n">
        <x:f>SUMIFS('Canola records'!$E$2:$E$3371,'Canola records'!$C$2:$C$3371,A76,'Canola records'!$D$2:$D$3371,2025)</x:f>
        <x:v>1874</x:v>
      </x:c>
      <x:c r="C76" s="54" t="n">
        <x:f>SUMIFS('Canola records'!$G$2:$G$3371,'Canola records'!$C$2:$C$3371,A76,'Canola records'!$D$2:$D$3371,2025)/B76</x:f>
        <x:v>40.6</x:v>
      </x:c>
      <x:c r="D76" s="63" t="str">
        <x:f>IF(SUMIFS('Canola records'!$E$2:$E$3371,'Canola records'!$C$2:$C$3371,A76,'Canola records'!$D$2:$D$3371,2024)=0,"",SUMIFS('Canola records'!$E$2:$E$3371,'Canola records'!$C$2:$C$3371,A76,'Canola records'!$D$2:$D$3371,2024))</x:f>
      </x:c>
      <x:c r="E76" s="54" t="str">
        <x:f>IFERROR(SUMIFS('Canola records'!$G$2:$G$3371,'Canola records'!$C$2:$C$3371,A76,'Canola records'!$D$2:$D$3371,2024)/D76,"")</x:f>
      </x:c>
      <x:c r="F76" s="56" t="n">
        <x:f>COUNTIFS('Canola records'!$C$2:$C$3371,A76,'Canola records'!$D$2:$D$3371,2025,'Canola records'!$F$2:$F$3371,"&gt;0")</x:f>
        <x:v>1</x:v>
      </x:c>
    </x:row>
    <x:row r="77">
      <x:c r="A77" s="53" t="str">
        <x:v>PV 782 TCN</x:v>
      </x:c>
      <x:c r="B77" s="55" t="n">
        <x:f>SUMIFS('Canola records'!$E$2:$E$3371,'Canola records'!$C$2:$C$3371,A77,'Canola records'!$D$2:$D$3371,2025)</x:f>
        <x:v>1769</x:v>
      </x:c>
      <x:c r="C77" s="54" t="n">
        <x:f>SUMIFS('Canola records'!$G$2:$G$3371,'Canola records'!$C$2:$C$3371,A77,'Canola records'!$D$2:$D$3371,2025)/B77</x:f>
        <x:v>45.79446014697569</x:v>
      </x:c>
      <x:c r="D77" s="63" t="n">
        <x:f>IF(SUMIFS('Canola records'!$E$2:$E$3371,'Canola records'!$C$2:$C$3371,A77,'Canola records'!$D$2:$D$3371,2024)=0,"",SUMIFS('Canola records'!$E$2:$E$3371,'Canola records'!$C$2:$C$3371,A77,'Canola records'!$D$2:$D$3371,2024))</x:f>
        <x:v>747</x:v>
      </x:c>
      <x:c r="E77" s="54" t="n">
        <x:f>IFERROR(SUMIFS('Canola records'!$G$2:$G$3371,'Canola records'!$C$2:$C$3371,A77,'Canola records'!$D$2:$D$3371,2024)/D77,"")</x:f>
        <x:v>32.8</x:v>
      </x:c>
      <x:c r="F77" s="56" t="n">
        <x:f>COUNTIFS('Canola records'!$C$2:$C$3371,A77,'Canola records'!$D$2:$D$3371,2025,'Canola records'!$F$2:$F$3371,"&gt;0")</x:f>
        <x:v>2</x:v>
      </x:c>
    </x:row>
    <x:row r="78">
      <x:c r="A78" s="53" t="str">
        <x:v>P509L</x:v>
      </x:c>
      <x:c r="B78" s="55" t="n">
        <x:f>SUMIFS('Canola records'!$E$2:$E$3371,'Canola records'!$C$2:$C$3371,A78,'Canola records'!$D$2:$D$3371,2025)</x:f>
        <x:v>1684</x:v>
      </x:c>
      <x:c r="C78" s="54" t="n">
        <x:f>SUMIFS('Canola records'!$G$2:$G$3371,'Canola records'!$C$2:$C$3371,A78,'Canola records'!$D$2:$D$3371,2025)/B78</x:f>
        <x:v>49.953206650831355</x:v>
      </x:c>
      <x:c r="D78" s="63" t="n">
        <x:f>IF(SUMIFS('Canola records'!$E$2:$E$3371,'Canola records'!$C$2:$C$3371,A78,'Canola records'!$D$2:$D$3371,2024)=0,"",SUMIFS('Canola records'!$E$2:$E$3371,'Canola records'!$C$2:$C$3371,A78,'Canola records'!$D$2:$D$3371,2024))</x:f>
        <x:v>4533</x:v>
      </x:c>
      <x:c r="E78" s="54" t="n">
        <x:f>IFERROR(SUMIFS('Canola records'!$G$2:$G$3371,'Canola records'!$C$2:$C$3371,A78,'Canola records'!$D$2:$D$3371,2024)/D78,"")</x:f>
        <x:v>38.146150452239134</x:v>
      </x:c>
      <x:c r="F78" s="56" t="n">
        <x:f>COUNTIFS('Canola records'!$C$2:$C$3371,A78,'Canola records'!$D$2:$D$3371,2025,'Canola records'!$F$2:$F$3371,"&gt;0")</x:f>
        <x:v>2</x:v>
      </x:c>
    </x:row>
    <x:row r="79">
      <x:c r="A79" s="53" t="str">
        <x:v>45H37</x:v>
      </x:c>
      <x:c r="B79" s="55" t="n">
        <x:f>SUMIFS('Canola records'!$E$2:$E$3371,'Canola records'!$C$2:$C$3371,A79,'Canola records'!$D$2:$D$3371,2025)</x:f>
        <x:v>1657</x:v>
      </x:c>
      <x:c r="C79" s="54" t="n">
        <x:f>SUMIFS('Canola records'!$G$2:$G$3371,'Canola records'!$C$2:$C$3371,A79,'Canola records'!$D$2:$D$3371,2025)/B79</x:f>
        <x:v>49.4</x:v>
      </x:c>
      <x:c r="D79" s="63" t="str">
        <x:f>IF(SUMIFS('Canola records'!$E$2:$E$3371,'Canola records'!$C$2:$C$3371,A79,'Canola records'!$D$2:$D$3371,2024)=0,"",SUMIFS('Canola records'!$E$2:$E$3371,'Canola records'!$C$2:$C$3371,A79,'Canola records'!$D$2:$D$3371,2024))</x:f>
      </x:c>
      <x:c r="E79" s="54" t="str">
        <x:f>IFERROR(SUMIFS('Canola records'!$G$2:$G$3371,'Canola records'!$C$2:$C$3371,A79,'Canola records'!$D$2:$D$3371,2024)/D79,"")</x:f>
      </x:c>
      <x:c r="F79" s="56" t="n">
        <x:f>COUNTIFS('Canola records'!$C$2:$C$3371,A79,'Canola records'!$D$2:$D$3371,2025,'Canola records'!$F$2:$F$3371,"&gt;0")</x:f>
        <x:v>1</x:v>
      </x:c>
    </x:row>
    <x:row r="80">
      <x:c r="A80" s="53" t="str">
        <x:v>401 HYOLA</x:v>
      </x:c>
      <x:c r="B80" s="55" t="n">
        <x:f>SUMIFS('Canola records'!$E$2:$E$3371,'Canola records'!$C$2:$C$3371,A80,'Canola records'!$D$2:$D$3371,2025)</x:f>
        <x:v>1429</x:v>
      </x:c>
      <x:c r="C80" s="54" t="n">
        <x:f>SUMIFS('Canola records'!$G$2:$G$3371,'Canola records'!$C$2:$C$3371,A80,'Canola records'!$D$2:$D$3371,2025)/B80</x:f>
        <x:v>51.5</x:v>
      </x:c>
      <x:c r="D80" s="63" t="str">
        <x:f>IF(SUMIFS('Canola records'!$E$2:$E$3371,'Canola records'!$C$2:$C$3371,A80,'Canola records'!$D$2:$D$3371,2024)=0,"",SUMIFS('Canola records'!$E$2:$E$3371,'Canola records'!$C$2:$C$3371,A80,'Canola records'!$D$2:$D$3371,2024))</x:f>
      </x:c>
      <x:c r="E80" s="54" t="str">
        <x:f>IFERROR(SUMIFS('Canola records'!$G$2:$G$3371,'Canola records'!$C$2:$C$3371,A80,'Canola records'!$D$2:$D$3371,2024)/D80,"")</x:f>
      </x:c>
      <x:c r="F80" s="56" t="n">
        <x:f>COUNTIFS('Canola records'!$C$2:$C$3371,A80,'Canola records'!$D$2:$D$3371,2025,'Canola records'!$F$2:$F$3371,"&gt;0")</x:f>
        <x:v>1</x:v>
      </x:c>
    </x:row>
    <x:row r="81">
      <x:c r="A81" s="53" t="str">
        <x:v>P502CL</x:v>
      </x:c>
      <x:c r="B81" s="55" t="n">
        <x:f>SUMIFS('Canola records'!$E$2:$E$3371,'Canola records'!$C$2:$C$3371,A81,'Canola records'!$D$2:$D$3371,2025)</x:f>
        <x:v>1420</x:v>
      </x:c>
      <x:c r="C81" s="54" t="n">
        <x:f>SUMIFS('Canola records'!$G$2:$G$3371,'Canola records'!$C$2:$C$3371,A81,'Canola records'!$D$2:$D$3371,2025)/B81</x:f>
        <x:v>46.09330985915493</x:v>
      </x:c>
      <x:c r="D81" s="63" t="str">
        <x:f>IF(SUMIFS('Canola records'!$E$2:$E$3371,'Canola records'!$C$2:$C$3371,A81,'Canola records'!$D$2:$D$3371,2024)=0,"",SUMIFS('Canola records'!$E$2:$E$3371,'Canola records'!$C$2:$C$3371,A81,'Canola records'!$D$2:$D$3371,2024))</x:f>
      </x:c>
      <x:c r="E81" s="54" t="str">
        <x:f>IFERROR(SUMIFS('Canola records'!$G$2:$G$3371,'Canola records'!$C$2:$C$3371,A81,'Canola records'!$D$2:$D$3371,2024)/D81,"")</x:f>
      </x:c>
      <x:c r="F81" s="56" t="n">
        <x:f>COUNTIFS('Canola records'!$C$2:$C$3371,A81,'Canola records'!$D$2:$D$3371,2025,'Canola records'!$F$2:$F$3371,"&gt;0")</x:f>
        <x:v>2</x:v>
      </x:c>
    </x:row>
    <x:row r="82">
      <x:c r="A82" s="53" t="str">
        <x:v>B3010M</x:v>
      </x:c>
      <x:c r="B82" s="55" t="n">
        <x:f>SUMIFS('Canola records'!$E$2:$E$3371,'Canola records'!$C$2:$C$3371,A82,'Canola records'!$D$2:$D$3371,2025)</x:f>
        <x:v>1344</x:v>
      </x:c>
      <x:c r="C82" s="54" t="n">
        <x:f>SUMIFS('Canola records'!$G$2:$G$3371,'Canola records'!$C$2:$C$3371,A82,'Canola records'!$D$2:$D$3371,2025)/B82</x:f>
        <x:v>38.3</x:v>
      </x:c>
      <x:c r="D82" s="63" t="n">
        <x:f>IF(SUMIFS('Canola records'!$E$2:$E$3371,'Canola records'!$C$2:$C$3371,A82,'Canola records'!$D$2:$D$3371,2024)=0,"",SUMIFS('Canola records'!$E$2:$E$3371,'Canola records'!$C$2:$C$3371,A82,'Canola records'!$D$2:$D$3371,2024))</x:f>
        <x:v>3080</x:v>
      </x:c>
      <x:c r="E82" s="54" t="n">
        <x:f>IFERROR(SUMIFS('Canola records'!$G$2:$G$3371,'Canola records'!$C$2:$C$3371,A82,'Canola records'!$D$2:$D$3371,2024)/D82,"")</x:f>
        <x:v>43.5</x:v>
      </x:c>
      <x:c r="F82" s="56" t="n">
        <x:f>COUNTIFS('Canola records'!$C$2:$C$3371,A82,'Canola records'!$D$2:$D$3371,2025,'Canola records'!$F$2:$F$3371,"&gt;0")</x:f>
        <x:v>1</x:v>
      </x:c>
    </x:row>
    <x:row r="83">
      <x:c r="A83" s="53" t="str">
        <x:v>L150</x:v>
      </x:c>
      <x:c r="B83" s="55" t="n">
        <x:f>SUMIFS('Canola records'!$E$2:$E$3371,'Canola records'!$C$2:$C$3371,A83,'Canola records'!$D$2:$D$3371,2025)</x:f>
        <x:v>1306</x:v>
      </x:c>
      <x:c r="C83" s="54" t="n">
        <x:f>SUMIFS('Canola records'!$G$2:$G$3371,'Canola records'!$C$2:$C$3371,A83,'Canola records'!$D$2:$D$3371,2025)/B83</x:f>
        <x:v>38</x:v>
      </x:c>
      <x:c r="D83" s="63" t="str">
        <x:f>IF(SUMIFS('Canola records'!$E$2:$E$3371,'Canola records'!$C$2:$C$3371,A83,'Canola records'!$D$2:$D$3371,2024)=0,"",SUMIFS('Canola records'!$E$2:$E$3371,'Canola records'!$C$2:$C$3371,A83,'Canola records'!$D$2:$D$3371,2024))</x:f>
      </x:c>
      <x:c r="E83" s="54" t="str">
        <x:f>IFERROR(SUMIFS('Canola records'!$G$2:$G$3371,'Canola records'!$C$2:$C$3371,A83,'Canola records'!$D$2:$D$3371,2024)/D83,"")</x:f>
      </x:c>
      <x:c r="F83" s="56" t="n">
        <x:f>COUNTIFS('Canola records'!$C$2:$C$3371,A83,'Canola records'!$D$2:$D$3371,2025,'Canola records'!$F$2:$F$3371,"&gt;0")</x:f>
        <x:v>1</x:v>
      </x:c>
    </x:row>
    <x:row r="84">
      <x:c r="A84" s="53" t="str">
        <x:v>CP24L3C</x:v>
      </x:c>
      <x:c r="B84" s="55" t="n">
        <x:f>SUMIFS('Canola records'!$E$2:$E$3371,'Canola records'!$C$2:$C$3371,A84,'Canola records'!$D$2:$D$3371,2025)</x:f>
        <x:v>1291</x:v>
      </x:c>
      <x:c r="C84" s="54" t="n">
        <x:f>SUMIFS('Canola records'!$G$2:$G$3371,'Canola records'!$C$2:$C$3371,A84,'Canola records'!$D$2:$D$3371,2025)/B84</x:f>
        <x:v>44.20457010069713</x:v>
      </x:c>
      <x:c r="D84" s="63" t="str">
        <x:f>IF(SUMIFS('Canola records'!$E$2:$E$3371,'Canola records'!$C$2:$C$3371,A84,'Canola records'!$D$2:$D$3371,2024)=0,"",SUMIFS('Canola records'!$E$2:$E$3371,'Canola records'!$C$2:$C$3371,A84,'Canola records'!$D$2:$D$3371,2024))</x:f>
      </x:c>
      <x:c r="E84" s="54" t="str">
        <x:f>IFERROR(SUMIFS('Canola records'!$G$2:$G$3371,'Canola records'!$C$2:$C$3371,A84,'Canola records'!$D$2:$D$3371,2024)/D84,"")</x:f>
      </x:c>
      <x:c r="F84" s="56" t="n">
        <x:f>COUNTIFS('Canola records'!$C$2:$C$3371,A84,'Canola records'!$D$2:$D$3371,2025,'Canola records'!$F$2:$F$3371,"&gt;0")</x:f>
        <x:v>2</x:v>
      </x:c>
    </x:row>
    <x:row r="85">
      <x:c r="A85" s="53" t="str">
        <x:v>5440 INVIGOR</x:v>
      </x:c>
      <x:c r="B85" s="55" t="n">
        <x:f>SUMIFS('Canola records'!$E$2:$E$3371,'Canola records'!$C$2:$C$3371,A85,'Canola records'!$D$2:$D$3371,2025)</x:f>
        <x:v>1175</x:v>
      </x:c>
      <x:c r="C85" s="54" t="n">
        <x:f>SUMIFS('Canola records'!$G$2:$G$3371,'Canola records'!$C$2:$C$3371,A85,'Canola records'!$D$2:$D$3371,2025)/B85</x:f>
        <x:v>46.6</x:v>
      </x:c>
      <x:c r="D85" s="63" t="str">
        <x:f>IF(SUMIFS('Canola records'!$E$2:$E$3371,'Canola records'!$C$2:$C$3371,A85,'Canola records'!$D$2:$D$3371,2024)=0,"",SUMIFS('Canola records'!$E$2:$E$3371,'Canola records'!$C$2:$C$3371,A85,'Canola records'!$D$2:$D$3371,2024))</x:f>
      </x:c>
      <x:c r="E85" s="54" t="str">
        <x:f>IFERROR(SUMIFS('Canola records'!$G$2:$G$3371,'Canola records'!$C$2:$C$3371,A85,'Canola records'!$D$2:$D$3371,2024)/D85,"")</x:f>
      </x:c>
      <x:c r="F85" s="56" t="n">
        <x:f>COUNTIFS('Canola records'!$C$2:$C$3371,A85,'Canola records'!$D$2:$D$3371,2025,'Canola records'!$F$2:$F$3371,"&gt;0")</x:f>
        <x:v>1</x:v>
      </x:c>
    </x:row>
    <x:row r="86">
      <x:c r="A86" s="53" t="str">
        <x:v>CS2800 CL</x:v>
      </x:c>
      <x:c r="B86" s="55" t="n">
        <x:f>SUMIFS('Canola records'!$E$2:$E$3371,'Canola records'!$C$2:$C$3371,A86,'Canola records'!$D$2:$D$3371,2025)</x:f>
        <x:v>1138</x:v>
      </x:c>
      <x:c r="C86" s="54" t="n">
        <x:f>SUMIFS('Canola records'!$G$2:$G$3371,'Canola records'!$C$2:$C$3371,A86,'Canola records'!$D$2:$D$3371,2025)/B86</x:f>
        <x:v>49.2</x:v>
      </x:c>
      <x:c r="D86" s="63" t="str">
        <x:f>IF(SUMIFS('Canola records'!$E$2:$E$3371,'Canola records'!$C$2:$C$3371,A86,'Canola records'!$D$2:$D$3371,2024)=0,"",SUMIFS('Canola records'!$E$2:$E$3371,'Canola records'!$C$2:$C$3371,A86,'Canola records'!$D$2:$D$3371,2024))</x:f>
      </x:c>
      <x:c r="E86" s="54" t="str">
        <x:f>IFERROR(SUMIFS('Canola records'!$G$2:$G$3371,'Canola records'!$C$2:$C$3371,A86,'Canola records'!$D$2:$D$3371,2024)/D86,"")</x:f>
      </x:c>
      <x:c r="F86" s="56" t="n">
        <x:f>COUNTIFS('Canola records'!$C$2:$C$3371,A86,'Canola records'!$D$2:$D$3371,2025,'Canola records'!$F$2:$F$3371,"&gt;0")</x:f>
        <x:v>1</x:v>
      </x:c>
    </x:row>
    <x:row r="87">
      <x:c r="A87" s="53" t="str">
        <x:v>46A76</x:v>
      </x:c>
      <x:c r="B87" s="55" t="n">
        <x:f>SUMIFS('Canola records'!$E$2:$E$3371,'Canola records'!$C$2:$C$3371,A87,'Canola records'!$D$2:$D$3371,2025)</x:f>
        <x:v>1120</x:v>
      </x:c>
      <x:c r="C87" s="54" t="n">
        <x:f>SUMIFS('Canola records'!$G$2:$G$3371,'Canola records'!$C$2:$C$3371,A87,'Canola records'!$D$2:$D$3371,2025)/B87</x:f>
        <x:v>22.5</x:v>
      </x:c>
      <x:c r="D87" s="63" t="n">
        <x:f>IF(SUMIFS('Canola records'!$E$2:$E$3371,'Canola records'!$C$2:$C$3371,A87,'Canola records'!$D$2:$D$3371,2024)=0,"",SUMIFS('Canola records'!$E$2:$E$3371,'Canola records'!$C$2:$C$3371,A87,'Canola records'!$D$2:$D$3371,2024))</x:f>
        <x:v>1063</x:v>
      </x:c>
      <x:c r="E87" s="54" t="n">
        <x:f>IFERROR(SUMIFS('Canola records'!$G$2:$G$3371,'Canola records'!$C$2:$C$3371,A87,'Canola records'!$D$2:$D$3371,2024)/D87,"")</x:f>
        <x:v>29.5</x:v>
      </x:c>
      <x:c r="F87" s="56" t="n">
        <x:f>COUNTIFS('Canola records'!$C$2:$C$3371,A87,'Canola records'!$D$2:$D$3371,2025,'Canola records'!$F$2:$F$3371,"&gt;0")</x:f>
        <x:v>1</x:v>
      </x:c>
    </x:row>
    <x:row r="88">
      <x:c r="A88" s="53" t="str">
        <x:v>L357P</x:v>
      </x:c>
      <x:c r="B88" s="55" t="n">
        <x:f>SUMIFS('Canola records'!$E$2:$E$3371,'Canola records'!$C$2:$C$3371,A88,'Canola records'!$D$2:$D$3371,2025)</x:f>
        <x:v>1118</x:v>
      </x:c>
      <x:c r="C88" s="54" t="n">
        <x:f>SUMIFS('Canola records'!$G$2:$G$3371,'Canola records'!$C$2:$C$3371,A88,'Canola records'!$D$2:$D$3371,2025)/B88</x:f>
        <x:v>52.9</x:v>
      </x:c>
      <x:c r="D88" s="63" t="n">
        <x:f>IF(SUMIFS('Canola records'!$E$2:$E$3371,'Canola records'!$C$2:$C$3371,A88,'Canola records'!$D$2:$D$3371,2024)=0,"",SUMIFS('Canola records'!$E$2:$E$3371,'Canola records'!$C$2:$C$3371,A88,'Canola records'!$D$2:$D$3371,2024))</x:f>
        <x:v>436</x:v>
      </x:c>
      <x:c r="E88" s="54" t="n">
        <x:f>IFERROR(SUMIFS('Canola records'!$G$2:$G$3371,'Canola records'!$C$2:$C$3371,A88,'Canola records'!$D$2:$D$3371,2024)/D88,"")</x:f>
        <x:v>39.2</x:v>
      </x:c>
      <x:c r="F88" s="56" t="n">
        <x:f>COUNTIFS('Canola records'!$C$2:$C$3371,A88,'Canola records'!$D$2:$D$3371,2025,'Canola records'!$F$2:$F$3371,"&gt;0")</x:f>
        <x:v>1</x:v>
      </x:c>
    </x:row>
    <x:row r="89">
      <x:c r="A89" s="53" t="str">
        <x:v>2600 CS CR-T</x:v>
      </x:c>
      <x:c r="B89" s="55" t="n">
        <x:f>SUMIFS('Canola records'!$E$2:$E$3371,'Canola records'!$C$2:$C$3371,A89,'Canola records'!$D$2:$D$3371,2025)</x:f>
        <x:v>1083</x:v>
      </x:c>
      <x:c r="C89" s="54" t="n">
        <x:f>SUMIFS('Canola records'!$G$2:$G$3371,'Canola records'!$C$2:$C$3371,A89,'Canola records'!$D$2:$D$3371,2025)/B89</x:f>
        <x:v>41.27710064635272</x:v>
      </x:c>
      <x:c r="D89" s="63" t="n">
        <x:f>IF(SUMIFS('Canola records'!$E$2:$E$3371,'Canola records'!$C$2:$C$3371,A89,'Canola records'!$D$2:$D$3371,2024)=0,"",SUMIFS('Canola records'!$E$2:$E$3371,'Canola records'!$C$2:$C$3371,A89,'Canola records'!$D$2:$D$3371,2024))</x:f>
        <x:v>5736</x:v>
      </x:c>
      <x:c r="E89" s="54" t="n">
        <x:f>IFERROR(SUMIFS('Canola records'!$G$2:$G$3371,'Canola records'!$C$2:$C$3371,A89,'Canola records'!$D$2:$D$3371,2024)/D89,"")</x:f>
        <x:v>36.68124128312413</x:v>
      </x:c>
      <x:c r="F89" s="56" t="n">
        <x:f>COUNTIFS('Canola records'!$C$2:$C$3371,A89,'Canola records'!$D$2:$D$3371,2025,'Canola records'!$F$2:$F$3371,"&gt;0")</x:f>
        <x:v>2</x:v>
      </x:c>
    </x:row>
    <x:row r="90">
      <x:c r="A90" s="53" t="str">
        <x:v>L352C</x:v>
      </x:c>
      <x:c r="B90" s="55" t="n">
        <x:f>SUMIFS('Canola records'!$E$2:$E$3371,'Canola records'!$C$2:$C$3371,A90,'Canola records'!$D$2:$D$3371,2025)</x:f>
        <x:v>1082</x:v>
      </x:c>
      <x:c r="C90" s="54" t="n">
        <x:f>SUMIFS('Canola records'!$G$2:$G$3371,'Canola records'!$C$2:$C$3371,A90,'Canola records'!$D$2:$D$3371,2025)/B90</x:f>
        <x:v>47.6</x:v>
      </x:c>
      <x:c r="D90" s="63" t="str">
        <x:f>IF(SUMIFS('Canola records'!$E$2:$E$3371,'Canola records'!$C$2:$C$3371,A90,'Canola records'!$D$2:$D$3371,2024)=0,"",SUMIFS('Canola records'!$E$2:$E$3371,'Canola records'!$C$2:$C$3371,A90,'Canola records'!$D$2:$D$3371,2024))</x:f>
      </x:c>
      <x:c r="E90" s="54" t="str">
        <x:f>IFERROR(SUMIFS('Canola records'!$G$2:$G$3371,'Canola records'!$C$2:$C$3371,A90,'Canola records'!$D$2:$D$3371,2024)/D90,"")</x:f>
      </x:c>
      <x:c r="F90" s="56" t="n">
        <x:f>COUNTIFS('Canola records'!$C$2:$C$3371,A90,'Canola records'!$D$2:$D$3371,2025,'Canola records'!$F$2:$F$3371,"&gt;0")</x:f>
        <x:v>1</x:v>
      </x:c>
    </x:row>
    <x:row r="91">
      <x:c r="A91" s="53" t="str">
        <x:v>45H35</x:v>
      </x:c>
      <x:c r="B91" s="55" t="n">
        <x:f>SUMIFS('Canola records'!$E$2:$E$3371,'Canola records'!$C$2:$C$3371,A91,'Canola records'!$D$2:$D$3371,2025)</x:f>
        <x:v>1050</x:v>
      </x:c>
      <x:c r="C91" s="54" t="n">
        <x:f>SUMIFS('Canola records'!$G$2:$G$3371,'Canola records'!$C$2:$C$3371,A91,'Canola records'!$D$2:$D$3371,2025)/B91</x:f>
        <x:v>44.6</x:v>
      </x:c>
      <x:c r="D91" s="63" t="n">
        <x:f>IF(SUMIFS('Canola records'!$E$2:$E$3371,'Canola records'!$C$2:$C$3371,A91,'Canola records'!$D$2:$D$3371,2024)=0,"",SUMIFS('Canola records'!$E$2:$E$3371,'Canola records'!$C$2:$C$3371,A91,'Canola records'!$D$2:$D$3371,2024))</x:f>
        <x:v>1610</x:v>
      </x:c>
      <x:c r="E91" s="54" t="n">
        <x:f>IFERROR(SUMIFS('Canola records'!$G$2:$G$3371,'Canola records'!$C$2:$C$3371,A91,'Canola records'!$D$2:$D$3371,2024)/D91,"")</x:f>
        <x:v>38.7</x:v>
      </x:c>
      <x:c r="F91" s="56" t="n">
        <x:f>COUNTIFS('Canola records'!$C$2:$C$3371,A91,'Canola records'!$D$2:$D$3371,2025,'Canola records'!$F$2:$F$3371,"&gt;0")</x:f>
        <x:v>1</x:v>
      </x:c>
    </x:row>
    <x:row r="92">
      <x:c r="A92" s="53" t="str">
        <x:v>BY 7102LL</x:v>
      </x:c>
      <x:c r="B92" s="55" t="n">
        <x:f>SUMIFS('Canola records'!$E$2:$E$3371,'Canola records'!$C$2:$C$3371,A92,'Canola records'!$D$2:$D$3371,2025)</x:f>
        <x:v>1002</x:v>
      </x:c>
      <x:c r="C92" s="54" t="n">
        <x:f>SUMIFS('Canola records'!$G$2:$G$3371,'Canola records'!$C$2:$C$3371,A92,'Canola records'!$D$2:$D$3371,2025)/B92</x:f>
        <x:v>37.1</x:v>
      </x:c>
      <x:c r="D92" s="63" t="n">
        <x:f>IF(SUMIFS('Canola records'!$E$2:$E$3371,'Canola records'!$C$2:$C$3371,A92,'Canola records'!$D$2:$D$3371,2024)=0,"",SUMIFS('Canola records'!$E$2:$E$3371,'Canola records'!$C$2:$C$3371,A92,'Canola records'!$D$2:$D$3371,2024))</x:f>
        <x:v>2481</x:v>
      </x:c>
      <x:c r="E92" s="54" t="n">
        <x:f>IFERROR(SUMIFS('Canola records'!$G$2:$G$3371,'Canola records'!$C$2:$C$3371,A92,'Canola records'!$D$2:$D$3371,2024)/D92,"")</x:f>
        <x:v>32.7</x:v>
      </x:c>
      <x:c r="F92" s="56" t="n">
        <x:f>COUNTIFS('Canola records'!$C$2:$C$3371,A92,'Canola records'!$D$2:$D$3371,2025,'Canola records'!$F$2:$F$3371,"&gt;0")</x:f>
        <x:v>1</x:v>
      </x:c>
    </x:row>
    <x:row r="93">
      <x:c r="A93" s="53" t="str">
        <x:v>CS2700 CL</x:v>
      </x:c>
      <x:c r="B93" s="55" t="n">
        <x:f>SUMIFS('Canola records'!$E$2:$E$3371,'Canola records'!$C$2:$C$3371,A93,'Canola records'!$D$2:$D$3371,2025)</x:f>
        <x:v>999</x:v>
      </x:c>
      <x:c r="C93" s="54" t="n">
        <x:f>SUMIFS('Canola records'!$G$2:$G$3371,'Canola records'!$C$2:$C$3371,A93,'Canola records'!$D$2:$D$3371,2025)/B93</x:f>
        <x:v>33.928928928928926</x:v>
      </x:c>
      <x:c r="D93" s="63" t="n">
        <x:f>IF(SUMIFS('Canola records'!$E$2:$E$3371,'Canola records'!$C$2:$C$3371,A93,'Canola records'!$D$2:$D$3371,2024)=0,"",SUMIFS('Canola records'!$E$2:$E$3371,'Canola records'!$C$2:$C$3371,A93,'Canola records'!$D$2:$D$3371,2024))</x:f>
        <x:v>610</x:v>
      </x:c>
      <x:c r="E93" s="54" t="n">
        <x:f>IFERROR(SUMIFS('Canola records'!$G$2:$G$3371,'Canola records'!$C$2:$C$3371,A93,'Canola records'!$D$2:$D$3371,2024)/D93,"")</x:f>
        <x:v>44.7</x:v>
      </x:c>
      <x:c r="F93" s="56" t="n">
        <x:f>COUNTIFS('Canola records'!$C$2:$C$3371,A93,'Canola records'!$D$2:$D$3371,2025,'Canola records'!$F$2:$F$3371,"&gt;0")</x:f>
        <x:v>2</x:v>
      </x:c>
    </x:row>
    <x:row r="94">
      <x:c r="A94" s="53" t="str">
        <x:v>BY 6204TF</x:v>
      </x:c>
      <x:c r="B94" s="55" t="n">
        <x:f>SUMIFS('Canola records'!$E$2:$E$3371,'Canola records'!$C$2:$C$3371,A94,'Canola records'!$D$2:$D$3371,2025)</x:f>
        <x:v>952</x:v>
      </x:c>
      <x:c r="C94" s="54" t="n">
        <x:f>SUMIFS('Canola records'!$G$2:$G$3371,'Canola records'!$C$2:$C$3371,A94,'Canola records'!$D$2:$D$3371,2025)/B94</x:f>
        <x:v>41.4</x:v>
      </x:c>
      <x:c r="D94" s="63" t="n">
        <x:f>IF(SUMIFS('Canola records'!$E$2:$E$3371,'Canola records'!$C$2:$C$3371,A94,'Canola records'!$D$2:$D$3371,2024)=0,"",SUMIFS('Canola records'!$E$2:$E$3371,'Canola records'!$C$2:$C$3371,A94,'Canola records'!$D$2:$D$3371,2024))</x:f>
        <x:v>1560</x:v>
      </x:c>
      <x:c r="E94" s="54" t="n">
        <x:f>IFERROR(SUMIFS('Canola records'!$G$2:$G$3371,'Canola records'!$C$2:$C$3371,A94,'Canola records'!$D$2:$D$3371,2024)/D94,"")</x:f>
        <x:v>34.7</x:v>
      </x:c>
      <x:c r="F94" s="56" t="n">
        <x:f>COUNTIFS('Canola records'!$C$2:$C$3371,A94,'Canola records'!$D$2:$D$3371,2025,'Canola records'!$F$2:$F$3371,"&gt;0")</x:f>
        <x:v>1</x:v>
      </x:c>
    </x:row>
    <x:row r="95">
      <x:c r="A95" s="53" t="str">
        <x:v>PV 660 LCM</x:v>
      </x:c>
      <x:c r="B95" s="55" t="n">
        <x:f>SUMIFS('Canola records'!$E$2:$E$3371,'Canola records'!$C$2:$C$3371,A95,'Canola records'!$D$2:$D$3371,2025)</x:f>
        <x:v>948</x:v>
      </x:c>
      <x:c r="C95" s="54" t="n">
        <x:f>SUMIFS('Canola records'!$G$2:$G$3371,'Canola records'!$C$2:$C$3371,A95,'Canola records'!$D$2:$D$3371,2025)/B95</x:f>
        <x:v>30.3</x:v>
      </x:c>
      <x:c r="D95" s="63" t="n">
        <x:f>IF(SUMIFS('Canola records'!$E$2:$E$3371,'Canola records'!$C$2:$C$3371,A95,'Canola records'!$D$2:$D$3371,2024)=0,"",SUMIFS('Canola records'!$E$2:$E$3371,'Canola records'!$C$2:$C$3371,A95,'Canola records'!$D$2:$D$3371,2024))</x:f>
        <x:v>475</x:v>
      </x:c>
      <x:c r="E95" s="54" t="n">
        <x:f>IFERROR(SUMIFS('Canola records'!$G$2:$G$3371,'Canola records'!$C$2:$C$3371,A95,'Canola records'!$D$2:$D$3371,2024)/D95,"")</x:f>
        <x:v>36.2</x:v>
      </x:c>
      <x:c r="F95" s="56" t="n">
        <x:f>COUNTIFS('Canola records'!$C$2:$C$3371,A95,'Canola records'!$D$2:$D$3371,2025,'Canola records'!$F$2:$F$3371,"&gt;0")</x:f>
        <x:v>1</x:v>
      </x:c>
    </x:row>
    <x:row r="96">
      <x:c r="A96" s="53" t="str">
        <x:v>PV 881 OCM</x:v>
      </x:c>
      <x:c r="B96" s="55" t="n">
        <x:f>SUMIFS('Canola records'!$E$2:$E$3371,'Canola records'!$C$2:$C$3371,A96,'Canola records'!$D$2:$D$3371,2025)</x:f>
        <x:v>803</x:v>
      </x:c>
      <x:c r="C96" s="54" t="n">
        <x:f>SUMIFS('Canola records'!$G$2:$G$3371,'Canola records'!$C$2:$C$3371,A96,'Canola records'!$D$2:$D$3371,2025)/B96</x:f>
        <x:v>37.6</x:v>
      </x:c>
      <x:c r="D96" s="63" t="str">
        <x:f>IF(SUMIFS('Canola records'!$E$2:$E$3371,'Canola records'!$C$2:$C$3371,A96,'Canola records'!$D$2:$D$3371,2024)=0,"",SUMIFS('Canola records'!$E$2:$E$3371,'Canola records'!$C$2:$C$3371,A96,'Canola records'!$D$2:$D$3371,2024))</x:f>
      </x:c>
      <x:c r="E96" s="54" t="str">
        <x:f>IFERROR(SUMIFS('Canola records'!$G$2:$G$3371,'Canola records'!$C$2:$C$3371,A96,'Canola records'!$D$2:$D$3371,2024)/D96,"")</x:f>
      </x:c>
      <x:c r="F96" s="56" t="n">
        <x:f>COUNTIFS('Canola records'!$C$2:$C$3371,A96,'Canola records'!$D$2:$D$3371,2025,'Canola records'!$F$2:$F$3371,"&gt;0")</x:f>
        <x:v>1</x:v>
      </x:c>
    </x:row>
    <x:row r="97">
      <x:c r="A97" s="53" t="str">
        <x:v>519 HYOLA RR</x:v>
      </x:c>
      <x:c r="B97" s="55" t="n">
        <x:f>SUMIFS('Canola records'!$E$2:$E$3371,'Canola records'!$C$2:$C$3371,A97,'Canola records'!$D$2:$D$3371,2025)</x:f>
        <x:v>794</x:v>
      </x:c>
      <x:c r="C97" s="54" t="n">
        <x:f>SUMIFS('Canola records'!$G$2:$G$3371,'Canola records'!$C$2:$C$3371,A97,'Canola records'!$D$2:$D$3371,2025)/B97</x:f>
        <x:v>37.1</x:v>
      </x:c>
      <x:c r="D97" s="63" t="str">
        <x:f>IF(SUMIFS('Canola records'!$E$2:$E$3371,'Canola records'!$C$2:$C$3371,A97,'Canola records'!$D$2:$D$3371,2024)=0,"",SUMIFS('Canola records'!$E$2:$E$3371,'Canola records'!$C$2:$C$3371,A97,'Canola records'!$D$2:$D$3371,2024))</x:f>
      </x:c>
      <x:c r="E97" s="54" t="str">
        <x:f>IFERROR(SUMIFS('Canola records'!$G$2:$G$3371,'Canola records'!$C$2:$C$3371,A97,'Canola records'!$D$2:$D$3371,2024)/D97,"")</x:f>
      </x:c>
      <x:c r="F97" s="56" t="n">
        <x:f>COUNTIFS('Canola records'!$C$2:$C$3371,A97,'Canola records'!$D$2:$D$3371,2025,'Canola records'!$F$2:$F$3371,"&gt;0")</x:f>
        <x:v>1</x:v>
      </x:c>
    </x:row>
    <x:row r="98">
      <x:c r="A98" s="53" t="str">
        <x:v>CS2600 CRT</x:v>
      </x:c>
      <x:c r="B98" s="55" t="n">
        <x:f>SUMIFS('Canola records'!$E$2:$E$3371,'Canola records'!$C$2:$C$3371,A98,'Canola records'!$D$2:$D$3371,2025)</x:f>
        <x:v>766</x:v>
      </x:c>
      <x:c r="C98" s="54" t="n">
        <x:f>SUMIFS('Canola records'!$G$2:$G$3371,'Canola records'!$C$2:$C$3371,A98,'Canola records'!$D$2:$D$3371,2025)/B98</x:f>
        <x:v>34.5</x:v>
      </x:c>
      <x:c r="D98" s="63" t="str">
        <x:f>IF(SUMIFS('Canola records'!$E$2:$E$3371,'Canola records'!$C$2:$C$3371,A98,'Canola records'!$D$2:$D$3371,2024)=0,"",SUMIFS('Canola records'!$E$2:$E$3371,'Canola records'!$C$2:$C$3371,A98,'Canola records'!$D$2:$D$3371,2024))</x:f>
      </x:c>
      <x:c r="E98" s="54" t="str">
        <x:f>IFERROR(SUMIFS('Canola records'!$G$2:$G$3371,'Canola records'!$C$2:$C$3371,A98,'Canola records'!$D$2:$D$3371,2024)/D98,"")</x:f>
      </x:c>
      <x:c r="F98" s="56" t="n">
        <x:f>COUNTIFS('Canola records'!$C$2:$C$3371,A98,'Canola records'!$D$2:$D$3371,2025,'Canola records'!$F$2:$F$3371,"&gt;0")</x:f>
        <x:v>1</x:v>
      </x:c>
    </x:row>
    <x:row r="99">
      <x:c r="A99" s="53" t="str">
        <x:v>NC527CRTF</x:v>
      </x:c>
      <x:c r="B99" s="55" t="n">
        <x:f>SUMIFS('Canola records'!$E$2:$E$3371,'Canola records'!$C$2:$C$3371,A99,'Canola records'!$D$2:$D$3371,2025)</x:f>
        <x:v>765</x:v>
      </x:c>
      <x:c r="C99" s="54" t="n">
        <x:f>SUMIFS('Canola records'!$G$2:$G$3371,'Canola records'!$C$2:$C$3371,A99,'Canola records'!$D$2:$D$3371,2025)/B99</x:f>
        <x:v>29</x:v>
      </x:c>
      <x:c r="D99" s="63" t="n">
        <x:f>IF(SUMIFS('Canola records'!$E$2:$E$3371,'Canola records'!$C$2:$C$3371,A99,'Canola records'!$D$2:$D$3371,2024)=0,"",SUMIFS('Canola records'!$E$2:$E$3371,'Canola records'!$C$2:$C$3371,A99,'Canola records'!$D$2:$D$3371,2024))</x:f>
        <x:v>1295</x:v>
      </x:c>
      <x:c r="E99" s="54" t="n">
        <x:f>IFERROR(SUMIFS('Canola records'!$G$2:$G$3371,'Canola records'!$C$2:$C$3371,A99,'Canola records'!$D$2:$D$3371,2024)/D99,"")</x:f>
        <x:v>30.7</x:v>
      </x:c>
      <x:c r="F99" s="56" t="n">
        <x:f>COUNTIFS('Canola records'!$C$2:$C$3371,A99,'Canola records'!$D$2:$D$3371,2025,'Canola records'!$F$2:$F$3371,"&gt;0")</x:f>
        <x:v>1</x:v>
      </x:c>
    </x:row>
    <x:row r="100">
      <x:c r="A100" s="53" t="str">
        <x:v>CP21T3P</x:v>
      </x:c>
      <x:c r="B100" s="55" t="n">
        <x:f>SUMIFS('Canola records'!$E$2:$E$3371,'Canola records'!$C$2:$C$3371,A100,'Canola records'!$D$2:$D$3371,2025)</x:f>
        <x:v>582</x:v>
      </x:c>
      <x:c r="C100" s="54" t="n">
        <x:f>SUMIFS('Canola records'!$G$2:$G$3371,'Canola records'!$C$2:$C$3371,A100,'Canola records'!$D$2:$D$3371,2025)/B100</x:f>
        <x:v>41.4</x:v>
      </x:c>
      <x:c r="D100" s="63" t="n">
        <x:f>IF(SUMIFS('Canola records'!$E$2:$E$3371,'Canola records'!$C$2:$C$3371,A100,'Canola records'!$D$2:$D$3371,2024)=0,"",SUMIFS('Canola records'!$E$2:$E$3371,'Canola records'!$C$2:$C$3371,A100,'Canola records'!$D$2:$D$3371,2024))</x:f>
        <x:v>478</x:v>
      </x:c>
      <x:c r="E100" s="54" t="n">
        <x:f>IFERROR(SUMIFS('Canola records'!$G$2:$G$3371,'Canola records'!$C$2:$C$3371,A100,'Canola records'!$D$2:$D$3371,2024)/D100,"")</x:f>
        <x:v>8.7</x:v>
      </x:c>
      <x:c r="F100" s="56" t="n">
        <x:f>COUNTIFS('Canola records'!$C$2:$C$3371,A100,'Canola records'!$D$2:$D$3371,2025,'Canola records'!$F$2:$F$3371,"&gt;0")</x:f>
        <x:v>1</x:v>
      </x:c>
    </x:row>
    <x:row r="101">
      <x:c r="A101" s="53" t="str">
        <x:v>505 HYOLA RR</x:v>
      </x:c>
      <x:c r="B101" s="55" t="n">
        <x:f>SUMIFS('Canola records'!$E$2:$E$3371,'Canola records'!$C$2:$C$3371,A101,'Canola records'!$D$2:$D$3371,2025)</x:f>
        <x:v>420</x:v>
      </x:c>
      <x:c r="C101" s="54" t="n">
        <x:f>SUMIFS('Canola records'!$G$2:$G$3371,'Canola records'!$C$2:$C$3371,A101,'Canola records'!$D$2:$D$3371,2025)/B101</x:f>
        <x:v>52.5</x:v>
      </x:c>
      <x:c r="D101" s="63" t="n">
        <x:f>IF(SUMIFS('Canola records'!$E$2:$E$3371,'Canola records'!$C$2:$C$3371,A101,'Canola records'!$D$2:$D$3371,2024)=0,"",SUMIFS('Canola records'!$E$2:$E$3371,'Canola records'!$C$2:$C$3371,A101,'Canola records'!$D$2:$D$3371,2024))</x:f>
        <x:v>662</x:v>
      </x:c>
      <x:c r="E101" s="54" t="n">
        <x:f>IFERROR(SUMIFS('Canola records'!$G$2:$G$3371,'Canola records'!$C$2:$C$3371,A101,'Canola records'!$D$2:$D$3371,2024)/D101,"")</x:f>
        <x:v>37.1</x:v>
      </x:c>
      <x:c r="F101" s="56" t="n">
        <x:f>COUNTIFS('Canola records'!$C$2:$C$3371,A101,'Canola records'!$D$2:$D$3371,2025,'Canola records'!$F$2:$F$3371,"&gt;0")</x:f>
        <x:v>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20" hidden="0" customWidth="1"/>
    <x:col min="4" max="4" width="10" hidden="0" customWidth="1"/>
    <x:col min="5" max="5" width="14" hidden="0" customWidth="1"/>
    <x:col min="6" max="6" width="12" hidden="0" customWidth="1"/>
    <x:col min="7" max="7" width="20" hidden="0" customWidth="1"/>
  </x:cols>
  <x:sheetData>
    <x:row r="1">
      <x:c r="A1" s="44" t="str">
        <x:v>Risk_Zone</x:v>
      </x:c>
      <x:c r="B1" s="44" t="str">
        <x:v>Crop</x:v>
      </x:c>
      <x:c r="C1" s="44" t="str">
        <x:v>Variety</x:v>
      </x:c>
      <x:c r="D1" s="44" t="str">
        <x:v>Year</x:v>
      </x:c>
      <x:c r="E1" s="44" t="str">
        <x:v>Acres</x:v>
      </x:c>
      <x:c r="F1" s="44" t="str">
        <x:v>Yield</x:v>
      </x:c>
      <x:c r="G1" s="44" t="str">
        <x:v>Acre-yield total</x:v>
      </x:c>
    </x:row>
    <x:row r="2">
      <x:c r="A2" s="66" t="n">
        <x:v>1</x:v>
      </x:c>
      <x:c r="B2" s="44" t="str">
        <x:v>Canola/Rapeseed</x:v>
      </x:c>
      <x:c r="C2" s="44" t="str">
        <x:v>BY 7204LL</x:v>
      </x:c>
      <x:c r="D2" s="66" t="n">
        <x:v>2021</x:v>
      </x:c>
      <x:c r="E2" s="67"/>
      <x:c r="F2" s="68"/>
      <x:c r="G2" s="69" t="str">
        <x:f>IF(COUNT(E2:F2)=2,E2*F2,"")</x:f>
      </x:c>
    </x:row>
    <x:row r="3">
      <x:c r="A3" s="66" t="n">
        <x:v>1</x:v>
      </x:c>
      <x:c r="B3" s="44" t="str">
        <x:v>Canola/Rapeseed</x:v>
      </x:c>
      <x:c r="C3" s="44" t="str">
        <x:v>BY 7204LL</x:v>
      </x:c>
      <x:c r="D3" s="66" t="n">
        <x:v>2022</x:v>
      </x:c>
      <x:c r="E3" s="67"/>
      <x:c r="F3" s="68"/>
      <x:c r="G3" s="69" t="str">
        <x:f>IF(COUNT(E3:F3)=2,E3*F3,"")</x:f>
      </x:c>
    </x:row>
    <x:row r="4">
      <x:c r="A4" s="66" t="n">
        <x:v>1</x:v>
      </x:c>
      <x:c r="B4" s="44" t="str">
        <x:v>Canola/Rapeseed</x:v>
      </x:c>
      <x:c r="C4" s="44" t="str">
        <x:v>BY 7204LL</x:v>
      </x:c>
      <x:c r="D4" s="66" t="n">
        <x:v>2023</x:v>
      </x:c>
      <x:c r="E4" s="67"/>
      <x:c r="F4" s="68"/>
      <x:c r="G4" s="69" t="str">
        <x:f>IF(COUNT(E4:F4)=2,E4*F4,"")</x:f>
      </x:c>
    </x:row>
    <x:row r="5">
      <x:c r="A5" s="66" t="n">
        <x:v>1</x:v>
      </x:c>
      <x:c r="B5" s="44" t="str">
        <x:v>Canola/Rapeseed</x:v>
      </x:c>
      <x:c r="C5" s="44" t="str">
        <x:v>BY 7204LL</x:v>
      </x:c>
      <x:c r="D5" s="66" t="n">
        <x:v>2024</x:v>
      </x:c>
      <x:c r="E5" s="67" t="n">
        <x:v>1189</x:v>
      </x:c>
      <x:c r="F5" s="68" t="n">
        <x:v>37.4</x:v>
      </x:c>
      <x:c r="G5" s="69" t="n">
        <x:f>IF(COUNT(E5:F5)=2,E5*F5,"")</x:f>
        <x:v>44468.6</x:v>
      </x:c>
    </x:row>
    <x:row r="6">
      <x:c r="A6" s="66" t="n">
        <x:v>1</x:v>
      </x:c>
      <x:c r="B6" s="44" t="str">
        <x:v>Canola/Rapeseed</x:v>
      </x:c>
      <x:c r="C6" s="44" t="str">
        <x:v>BY 7204LL</x:v>
      </x:c>
      <x:c r="D6" s="66" t="n">
        <x:v>2025</x:v>
      </x:c>
      <x:c r="E6" s="67" t="n">
        <x:v>1380</x:v>
      </x:c>
      <x:c r="F6" s="68" t="n">
        <x:v>52.1</x:v>
      </x:c>
      <x:c r="G6" s="69" t="n">
        <x:f>IF(COUNT(E6:F6)=2,E6*F6,"")</x:f>
        <x:v>71898</x:v>
      </x:c>
    </x:row>
    <x:row r="7">
      <x:c r="A7" s="66" t="n">
        <x:v>1</x:v>
      </x:c>
      <x:c r="B7" s="44" t="str">
        <x:v>Canola/Rapeseed</x:v>
      </x:c>
      <x:c r="C7" s="44" t="str">
        <x:v>CS4000 LL</x:v>
      </x:c>
      <x:c r="D7" s="66" t="n">
        <x:v>2021</x:v>
      </x:c>
      <x:c r="E7" s="67"/>
      <x:c r="F7" s="68"/>
      <x:c r="G7" s="69" t="str">
        <x:f>IF(COUNT(E7:F7)=2,E7*F7,"")</x:f>
      </x:c>
    </x:row>
    <x:row r="8">
      <x:c r="A8" s="66" t="n">
        <x:v>1</x:v>
      </x:c>
      <x:c r="B8" s="44" t="str">
        <x:v>Canola/Rapeseed</x:v>
      </x:c>
      <x:c r="C8" s="44" t="str">
        <x:v>CS4000 LL</x:v>
      </x:c>
      <x:c r="D8" s="66" t="n">
        <x:v>2022</x:v>
      </x:c>
      <x:c r="E8" s="67"/>
      <x:c r="F8" s="68"/>
      <x:c r="G8" s="69" t="str">
        <x:f>IF(COUNT(E8:F8)=2,E8*F8,"")</x:f>
      </x:c>
    </x:row>
    <x:row r="9">
      <x:c r="A9" s="66" t="n">
        <x:v>1</x:v>
      </x:c>
      <x:c r="B9" s="44" t="str">
        <x:v>Canola/Rapeseed</x:v>
      </x:c>
      <x:c r="C9" s="44" t="str">
        <x:v>CS4000 LL</x:v>
      </x:c>
      <x:c r="D9" s="66" t="n">
        <x:v>2023</x:v>
      </x:c>
      <x:c r="E9" s="67" t="n">
        <x:v>868</x:v>
      </x:c>
      <x:c r="F9" s="68" t="n">
        <x:v>32.6</x:v>
      </x:c>
      <x:c r="G9" s="69" t="n">
        <x:f>IF(COUNT(E9:F9)=2,E9*F9,"")</x:f>
        <x:v>28296.800000000003</x:v>
      </x:c>
    </x:row>
    <x:row r="10">
      <x:c r="A10" s="66" t="n">
        <x:v>1</x:v>
      </x:c>
      <x:c r="B10" s="44" t="str">
        <x:v>Canola/Rapeseed</x:v>
      </x:c>
      <x:c r="C10" s="44" t="str">
        <x:v>CS4000 LL</x:v>
      </x:c>
      <x:c r="D10" s="66" t="n">
        <x:v>2024</x:v>
      </x:c>
      <x:c r="E10" s="67" t="n">
        <x:v>1508</x:v>
      </x:c>
      <x:c r="F10" s="68" t="n">
        <x:v>40.4</x:v>
      </x:c>
      <x:c r="G10" s="69" t="n">
        <x:f>IF(COUNT(E10:F10)=2,E10*F10,"")</x:f>
        <x:v>60923.2</x:v>
      </x:c>
    </x:row>
    <x:row r="11">
      <x:c r="A11" s="66" t="n">
        <x:v>1</x:v>
      </x:c>
      <x:c r="B11" s="44" t="str">
        <x:v>Canola/Rapeseed</x:v>
      </x:c>
      <x:c r="C11" s="44" t="str">
        <x:v>CS4000 LL</x:v>
      </x:c>
      <x:c r="D11" s="66" t="n">
        <x:v>2025</x:v>
      </x:c>
      <x:c r="E11" s="67" t="n">
        <x:v>791</x:v>
      </x:c>
      <x:c r="F11" s="68" t="n">
        <x:v>45.5</x:v>
      </x:c>
      <x:c r="G11" s="69" t="n">
        <x:f>IF(COUNT(E11:F11)=2,E11*F11,"")</x:f>
        <x:v>35990.5</x:v>
      </x:c>
    </x:row>
    <x:row r="12">
      <x:c r="A12" s="66" t="n">
        <x:v>1</x:v>
      </x:c>
      <x:c r="B12" s="44" t="str">
        <x:v>Canola/Rapeseed</x:v>
      </x:c>
      <x:c r="C12" s="44" t="str">
        <x:v>CS4100 LL</x:v>
      </x:c>
      <x:c r="D12" s="66" t="n">
        <x:v>2021</x:v>
      </x:c>
      <x:c r="E12" s="67"/>
      <x:c r="F12" s="68"/>
      <x:c r="G12" s="69" t="str">
        <x:f>IF(COUNT(E12:F12)=2,E12*F12,"")</x:f>
      </x:c>
    </x:row>
    <x:row r="13">
      <x:c r="A13" s="66" t="n">
        <x:v>1</x:v>
      </x:c>
      <x:c r="B13" s="44" t="str">
        <x:v>Canola/Rapeseed</x:v>
      </x:c>
      <x:c r="C13" s="44" t="str">
        <x:v>CS4100 LL</x:v>
      </x:c>
      <x:c r="D13" s="66" t="n">
        <x:v>2022</x:v>
      </x:c>
      <x:c r="E13" s="67"/>
      <x:c r="F13" s="68"/>
      <x:c r="G13" s="69" t="str">
        <x:f>IF(COUNT(E13:F13)=2,E13*F13,"")</x:f>
      </x:c>
    </x:row>
    <x:row r="14">
      <x:c r="A14" s="66" t="n">
        <x:v>1</x:v>
      </x:c>
      <x:c r="B14" s="44" t="str">
        <x:v>Canola/Rapeseed</x:v>
      </x:c>
      <x:c r="C14" s="44" t="str">
        <x:v>CS4100 LL</x:v>
      </x:c>
      <x:c r="D14" s="66" t="n">
        <x:v>2023</x:v>
      </x:c>
      <x:c r="E14" s="67"/>
      <x:c r="F14" s="68"/>
      <x:c r="G14" s="69" t="str">
        <x:f>IF(COUNT(E14:F14)=2,E14*F14,"")</x:f>
      </x:c>
    </x:row>
    <x:row r="15">
      <x:c r="A15" s="66" t="n">
        <x:v>1</x:v>
      </x:c>
      <x:c r="B15" s="44" t="str">
        <x:v>Canola/Rapeseed</x:v>
      </x:c>
      <x:c r="C15" s="44" t="str">
        <x:v>CS4100 LL</x:v>
      </x:c>
      <x:c r="D15" s="66" t="n">
        <x:v>2024</x:v>
      </x:c>
      <x:c r="E15" s="67"/>
      <x:c r="F15" s="68"/>
      <x:c r="G15" s="69" t="str">
        <x:f>IF(COUNT(E15:F15)=2,E15*F15,"")</x:f>
      </x:c>
    </x:row>
    <x:row r="16">
      <x:c r="A16" s="66" t="n">
        <x:v>1</x:v>
      </x:c>
      <x:c r="B16" s="44" t="str">
        <x:v>Canola/Rapeseed</x:v>
      </x:c>
      <x:c r="C16" s="44" t="str">
        <x:v>CS4100 LL</x:v>
      </x:c>
      <x:c r="D16" s="66" t="n">
        <x:v>2025</x:v>
      </x:c>
      <x:c r="E16" s="67" t="n">
        <x:v>4210</x:v>
      </x:c>
      <x:c r="F16" s="68" t="n">
        <x:v>40.3</x:v>
      </x:c>
      <x:c r="G16" s="69" t="n">
        <x:f>IF(COUNT(E16:F16)=2,E16*F16,"")</x:f>
        <x:v>169663</x:v>
      </x:c>
    </x:row>
    <x:row r="17">
      <x:c r="A17" s="66" t="n">
        <x:v>1</x:v>
      </x:c>
      <x:c r="B17" s="44" t="str">
        <x:v>Canola/Rapeseed</x:v>
      </x:c>
      <x:c r="C17" s="44" t="str">
        <x:v>DK 801 LL</x:v>
      </x:c>
      <x:c r="D17" s="66" t="n">
        <x:v>2021</x:v>
      </x:c>
      <x:c r="E17" s="67"/>
      <x:c r="F17" s="68"/>
      <x:c r="G17" s="69" t="str">
        <x:f>IF(COUNT(E17:F17)=2,E17*F17,"")</x:f>
      </x:c>
    </x:row>
    <x:row r="18">
      <x:c r="A18" s="66" t="n">
        <x:v>1</x:v>
      </x:c>
      <x:c r="B18" s="44" t="str">
        <x:v>Canola/Rapeseed</x:v>
      </x:c>
      <x:c r="C18" s="44" t="str">
        <x:v>DK 801 LL</x:v>
      </x:c>
      <x:c r="D18" s="66" t="n">
        <x:v>2022</x:v>
      </x:c>
      <x:c r="E18" s="67"/>
      <x:c r="F18" s="68"/>
      <x:c r="G18" s="69" t="str">
        <x:f>IF(COUNT(E18:F18)=2,E18*F18,"")</x:f>
      </x:c>
    </x:row>
    <x:row r="19">
      <x:c r="A19" s="66" t="n">
        <x:v>1</x:v>
      </x:c>
      <x:c r="B19" s="44" t="str">
        <x:v>Canola/Rapeseed</x:v>
      </x:c>
      <x:c r="C19" s="44" t="str">
        <x:v>DK 801 LL</x:v>
      </x:c>
      <x:c r="D19" s="66" t="n">
        <x:v>2023</x:v>
      </x:c>
      <x:c r="E19" s="67"/>
      <x:c r="F19" s="68"/>
      <x:c r="G19" s="69" t="str">
        <x:f>IF(COUNT(E19:F19)=2,E19*F19,"")</x:f>
      </x:c>
    </x:row>
    <x:row r="20">
      <x:c r="A20" s="66" t="n">
        <x:v>1</x:v>
      </x:c>
      <x:c r="B20" s="44" t="str">
        <x:v>Canola/Rapeseed</x:v>
      </x:c>
      <x:c r="C20" s="44" t="str">
        <x:v>DK 801 LL</x:v>
      </x:c>
      <x:c r="D20" s="66" t="n">
        <x:v>2024</x:v>
      </x:c>
      <x:c r="E20" s="67"/>
      <x:c r="F20" s="68"/>
      <x:c r="G20" s="69" t="str">
        <x:f>IF(COUNT(E20:F20)=2,E20*F20,"")</x:f>
      </x:c>
    </x:row>
    <x:row r="21">
      <x:c r="A21" s="66" t="n">
        <x:v>1</x:v>
      </x:c>
      <x:c r="B21" s="44" t="str">
        <x:v>Canola/Rapeseed</x:v>
      </x:c>
      <x:c r="C21" s="44" t="str">
        <x:v>DK 801 LL</x:v>
      </x:c>
      <x:c r="D21" s="66" t="n">
        <x:v>2025</x:v>
      </x:c>
      <x:c r="E21" s="67" t="n">
        <x:v>1710</x:v>
      </x:c>
      <x:c r="F21" s="68" t="n">
        <x:v>47.8</x:v>
      </x:c>
      <x:c r="G21" s="69" t="n">
        <x:f>IF(COUNT(E21:F21)=2,E21*F21,"")</x:f>
        <x:v>81738</x:v>
      </x:c>
    </x:row>
    <x:row r="22">
      <x:c r="A22" s="66" t="n">
        <x:v>1</x:v>
      </x:c>
      <x:c r="B22" s="44" t="str">
        <x:v>Canola/Rapeseed</x:v>
      </x:c>
      <x:c r="C22" s="44" t="str">
        <x:v>DK400TL</x:v>
      </x:c>
      <x:c r="D22" s="66" t="n">
        <x:v>2021</x:v>
      </x:c>
      <x:c r="E22" s="67"/>
      <x:c r="F22" s="68"/>
      <x:c r="G22" s="69" t="str">
        <x:f>IF(COUNT(E22:F22)=2,E22*F22,"")</x:f>
      </x:c>
    </x:row>
    <x:row r="23">
      <x:c r="A23" s="66" t="n">
        <x:v>1</x:v>
      </x:c>
      <x:c r="B23" s="44" t="str">
        <x:v>Canola/Rapeseed</x:v>
      </x:c>
      <x:c r="C23" s="44" t="str">
        <x:v>DK400TL</x:v>
      </x:c>
      <x:c r="D23" s="66" t="n">
        <x:v>2022</x:v>
      </x:c>
      <x:c r="E23" s="67"/>
      <x:c r="F23" s="68"/>
      <x:c r="G23" s="69" t="str">
        <x:f>IF(COUNT(E23:F23)=2,E23*F23,"")</x:f>
      </x:c>
    </x:row>
    <x:row r="24">
      <x:c r="A24" s="66" t="n">
        <x:v>1</x:v>
      </x:c>
      <x:c r="B24" s="44" t="str">
        <x:v>Canola/Rapeseed</x:v>
      </x:c>
      <x:c r="C24" s="44" t="str">
        <x:v>DK400TL</x:v>
      </x:c>
      <x:c r="D24" s="66" t="n">
        <x:v>2023</x:v>
      </x:c>
      <x:c r="E24" s="67"/>
      <x:c r="F24" s="68"/>
      <x:c r="G24" s="69" t="str">
        <x:f>IF(COUNT(E24:F24)=2,E24*F24,"")</x:f>
      </x:c>
    </x:row>
    <x:row r="25">
      <x:c r="A25" s="66" t="n">
        <x:v>1</x:v>
      </x:c>
      <x:c r="B25" s="44" t="str">
        <x:v>Canola/Rapeseed</x:v>
      </x:c>
      <x:c r="C25" s="44" t="str">
        <x:v>DK400TL</x:v>
      </x:c>
      <x:c r="D25" s="66" t="n">
        <x:v>2024</x:v>
      </x:c>
      <x:c r="E25" s="67" t="n">
        <x:v>2696</x:v>
      </x:c>
      <x:c r="F25" s="68" t="n">
        <x:v>35.8</x:v>
      </x:c>
      <x:c r="G25" s="69" t="n">
        <x:f>IF(COUNT(E25:F25)=2,E25*F25,"")</x:f>
        <x:v>96516.79999999999</x:v>
      </x:c>
    </x:row>
    <x:row r="26">
      <x:c r="A26" s="66" t="n">
        <x:v>1</x:v>
      </x:c>
      <x:c r="B26" s="44" t="str">
        <x:v>Canola/Rapeseed</x:v>
      </x:c>
      <x:c r="C26" s="44" t="str">
        <x:v>DK400TL</x:v>
      </x:c>
      <x:c r="D26" s="66" t="n">
        <x:v>2025</x:v>
      </x:c>
      <x:c r="E26" s="67" t="n">
        <x:v>1648</x:v>
      </x:c>
      <x:c r="F26" s="68" t="n">
        <x:v>53.5</x:v>
      </x:c>
      <x:c r="G26" s="69" t="n">
        <x:f>IF(COUNT(E26:F26)=2,E26*F26,"")</x:f>
        <x:v>88168</x:v>
      </x:c>
    </x:row>
    <x:row r="27">
      <x:c r="A27" s="66" t="n">
        <x:v>1</x:v>
      </x:c>
      <x:c r="B27" s="44" t="str">
        <x:v>Canola/Rapeseed</x:v>
      </x:c>
      <x:c r="C27" s="44" t="str">
        <x:v>DK401TK</x:v>
      </x:c>
      <x:c r="D27" s="66" t="n">
        <x:v>2021</x:v>
      </x:c>
      <x:c r="E27" s="67"/>
      <x:c r="F27" s="68"/>
      <x:c r="G27" s="69" t="str">
        <x:f>IF(COUNT(E27:F27)=2,E27*F27,"")</x:f>
      </x:c>
    </x:row>
    <x:row r="28">
      <x:c r="A28" s="66" t="n">
        <x:v>1</x:v>
      </x:c>
      <x:c r="B28" s="44" t="str">
        <x:v>Canola/Rapeseed</x:v>
      </x:c>
      <x:c r="C28" s="44" t="str">
        <x:v>DK401TK</x:v>
      </x:c>
      <x:c r="D28" s="66" t="n">
        <x:v>2022</x:v>
      </x:c>
      <x:c r="E28" s="67"/>
      <x:c r="F28" s="68"/>
      <x:c r="G28" s="69" t="str">
        <x:f>IF(COUNT(E28:F28)=2,E28*F28,"")</x:f>
      </x:c>
    </x:row>
    <x:row r="29">
      <x:c r="A29" s="66" t="n">
        <x:v>1</x:v>
      </x:c>
      <x:c r="B29" s="44" t="str">
        <x:v>Canola/Rapeseed</x:v>
      </x:c>
      <x:c r="C29" s="44" t="str">
        <x:v>DK401TK</x:v>
      </x:c>
      <x:c r="D29" s="66" t="n">
        <x:v>2023</x:v>
      </x:c>
      <x:c r="E29" s="67"/>
      <x:c r="F29" s="68"/>
      <x:c r="G29" s="69" t="str">
        <x:f>IF(COUNT(E29:F29)=2,E29*F29,"")</x:f>
      </x:c>
    </x:row>
    <x:row r="30">
      <x:c r="A30" s="66" t="n">
        <x:v>1</x:v>
      </x:c>
      <x:c r="B30" s="44" t="str">
        <x:v>Canola/Rapeseed</x:v>
      </x:c>
      <x:c r="C30" s="44" t="str">
        <x:v>DK401TK</x:v>
      </x:c>
      <x:c r="D30" s="66" t="n">
        <x:v>2024</x:v>
      </x:c>
      <x:c r="E30" s="67"/>
      <x:c r="F30" s="68"/>
      <x:c r="G30" s="69" t="str">
        <x:f>IF(COUNT(E30:F30)=2,E30*F30,"")</x:f>
      </x:c>
    </x:row>
    <x:row r="31">
      <x:c r="A31" s="66" t="n">
        <x:v>1</x:v>
      </x:c>
      <x:c r="B31" s="44" t="str">
        <x:v>Canola/Rapeseed</x:v>
      </x:c>
      <x:c r="C31" s="44" t="str">
        <x:v>DK401TK</x:v>
      </x:c>
      <x:c r="D31" s="66" t="n">
        <x:v>2025</x:v>
      </x:c>
      <x:c r="E31" s="67" t="n">
        <x:v>3015</x:v>
      </x:c>
      <x:c r="F31" s="68" t="n">
        <x:v>59.1</x:v>
      </x:c>
      <x:c r="G31" s="69" t="n">
        <x:f>IF(COUNT(E31:F31)=2,E31*F31,"")</x:f>
        <x:v>178186.5</x:v>
      </x:c>
    </x:row>
    <x:row r="32">
      <x:c r="A32" s="66" t="n">
        <x:v>1</x:v>
      </x:c>
      <x:c r="B32" s="44" t="str">
        <x:v>Canola/Rapeseed</x:v>
      </x:c>
      <x:c r="C32" s="44" t="str">
        <x:v>DK800LL</x:v>
      </x:c>
      <x:c r="D32" s="66" t="n">
        <x:v>2021</x:v>
      </x:c>
      <x:c r="E32" s="67"/>
      <x:c r="F32" s="68"/>
      <x:c r="G32" s="69" t="str">
        <x:f>IF(COUNT(E32:F32)=2,E32*F32,"")</x:f>
      </x:c>
    </x:row>
    <x:row r="33">
      <x:c r="A33" s="66" t="n">
        <x:v>1</x:v>
      </x:c>
      <x:c r="B33" s="44" t="str">
        <x:v>Canola/Rapeseed</x:v>
      </x:c>
      <x:c r="C33" s="44" t="str">
        <x:v>DK800LL</x:v>
      </x:c>
      <x:c r="D33" s="66" t="n">
        <x:v>2022</x:v>
      </x:c>
      <x:c r="E33" s="67"/>
      <x:c r="F33" s="68"/>
      <x:c r="G33" s="69" t="str">
        <x:f>IF(COUNT(E33:F33)=2,E33*F33,"")</x:f>
      </x:c>
    </x:row>
    <x:row r="34">
      <x:c r="A34" s="66" t="n">
        <x:v>1</x:v>
      </x:c>
      <x:c r="B34" s="44" t="str">
        <x:v>Canola/Rapeseed</x:v>
      </x:c>
      <x:c r="C34" s="44" t="str">
        <x:v>DK800LL</x:v>
      </x:c>
      <x:c r="D34" s="66" t="n">
        <x:v>2023</x:v>
      </x:c>
      <x:c r="E34" s="67"/>
      <x:c r="F34" s="68"/>
      <x:c r="G34" s="69" t="str">
        <x:f>IF(COUNT(E34:F34)=2,E34*F34,"")</x:f>
      </x:c>
    </x:row>
    <x:row r="35">
      <x:c r="A35" s="66" t="n">
        <x:v>1</x:v>
      </x:c>
      <x:c r="B35" s="44" t="str">
        <x:v>Canola/Rapeseed</x:v>
      </x:c>
      <x:c r="C35" s="44" t="str">
        <x:v>DK800LL</x:v>
      </x:c>
      <x:c r="D35" s="66" t="n">
        <x:v>2024</x:v>
      </x:c>
      <x:c r="E35" s="67"/>
      <x:c r="F35" s="68"/>
      <x:c r="G35" s="69" t="str">
        <x:f>IF(COUNT(E35:F35)=2,E35*F35,"")</x:f>
      </x:c>
    </x:row>
    <x:row r="36">
      <x:c r="A36" s="66" t="n">
        <x:v>1</x:v>
      </x:c>
      <x:c r="B36" s="44" t="str">
        <x:v>Canola/Rapeseed</x:v>
      </x:c>
      <x:c r="C36" s="44" t="str">
        <x:v>DK800LL</x:v>
      </x:c>
      <x:c r="D36" s="66" t="n">
        <x:v>2025</x:v>
      </x:c>
      <x:c r="E36" s="67" t="n">
        <x:v>2797</x:v>
      </x:c>
      <x:c r="F36" s="68" t="n">
        <x:v>41.5</x:v>
      </x:c>
      <x:c r="G36" s="69" t="n">
        <x:f>IF(COUNT(E36:F36)=2,E36*F36,"")</x:f>
        <x:v>116075.5</x:v>
      </x:c>
    </x:row>
    <x:row r="37">
      <x:c r="A37" s="66" t="n">
        <x:v>1</x:v>
      </x:c>
      <x:c r="B37" s="44" t="str">
        <x:v>Canola/Rapeseed</x:v>
      </x:c>
      <x:c r="C37" s="44" t="str">
        <x:v>LR354PC</x:v>
      </x:c>
      <x:c r="D37" s="66" t="n">
        <x:v>2021</x:v>
      </x:c>
      <x:c r="E37" s="67"/>
      <x:c r="F37" s="68"/>
      <x:c r="G37" s="69" t="str">
        <x:f>IF(COUNT(E37:F37)=2,E37*F37,"")</x:f>
      </x:c>
    </x:row>
    <x:row r="38">
      <x:c r="A38" s="66" t="n">
        <x:v>1</x:v>
      </x:c>
      <x:c r="B38" s="44" t="str">
        <x:v>Canola/Rapeseed</x:v>
      </x:c>
      <x:c r="C38" s="44" t="str">
        <x:v>LR354PC</x:v>
      </x:c>
      <x:c r="D38" s="66" t="n">
        <x:v>2022</x:v>
      </x:c>
      <x:c r="E38" s="67"/>
      <x:c r="F38" s="68"/>
      <x:c r="G38" s="69" t="str">
        <x:f>IF(COUNT(E38:F38)=2,E38*F38,"")</x:f>
      </x:c>
    </x:row>
    <x:row r="39">
      <x:c r="A39" s="66" t="n">
        <x:v>1</x:v>
      </x:c>
      <x:c r="B39" s="44" t="str">
        <x:v>Canola/Rapeseed</x:v>
      </x:c>
      <x:c r="C39" s="44" t="str">
        <x:v>LR354PC</x:v>
      </x:c>
      <x:c r="D39" s="66" t="n">
        <x:v>2023</x:v>
      </x:c>
      <x:c r="E39" s="67" t="n">
        <x:v>570</x:v>
      </x:c>
      <x:c r="F39" s="68" t="n">
        <x:v>26.9</x:v>
      </x:c>
      <x:c r="G39" s="69" t="n">
        <x:f>IF(COUNT(E39:F39)=2,E39*F39,"")</x:f>
        <x:v>15333</x:v>
      </x:c>
    </x:row>
    <x:row r="40">
      <x:c r="A40" s="66" t="n">
        <x:v>1</x:v>
      </x:c>
      <x:c r="B40" s="44" t="str">
        <x:v>Canola/Rapeseed</x:v>
      </x:c>
      <x:c r="C40" s="44" t="str">
        <x:v>LR354PC</x:v>
      </x:c>
      <x:c r="D40" s="66" t="n">
        <x:v>2024</x:v>
      </x:c>
      <x:c r="E40" s="67" t="n">
        <x:v>1991</x:v>
      </x:c>
      <x:c r="F40" s="68" t="n">
        <x:v>38.9</x:v>
      </x:c>
      <x:c r="G40" s="69" t="n">
        <x:f>IF(COUNT(E40:F40)=2,E40*F40,"")</x:f>
        <x:v>77449.9</x:v>
      </x:c>
    </x:row>
    <x:row r="41">
      <x:c r="A41" s="66" t="n">
        <x:v>1</x:v>
      </x:c>
      <x:c r="B41" s="44" t="str">
        <x:v>Canola/Rapeseed</x:v>
      </x:c>
      <x:c r="C41" s="44" t="str">
        <x:v>LR354PC</x:v>
      </x:c>
      <x:c r="D41" s="66" t="n">
        <x:v>2025</x:v>
      </x:c>
      <x:c r="E41" s="67" t="n">
        <x:v>466</x:v>
      </x:c>
      <x:c r="F41" s="68" t="n">
        <x:v>35.9</x:v>
      </x:c>
      <x:c r="G41" s="69" t="n">
        <x:f>IF(COUNT(E41:F41)=2,E41*F41,"")</x:f>
        <x:v>16729.399999999998</x:v>
      </x:c>
    </x:row>
    <x:row r="42">
      <x:c r="A42" s="66" t="n">
        <x:v>1</x:v>
      </x:c>
      <x:c r="B42" s="44" t="str">
        <x:v>Canola/Rapeseed</x:v>
      </x:c>
      <x:c r="C42" s="44" t="str">
        <x:v>L233P</x:v>
      </x:c>
      <x:c r="D42" s="66" t="n">
        <x:v>2021</x:v>
      </x:c>
      <x:c r="E42" s="67" t="n">
        <x:v>78076</x:v>
      </x:c>
      <x:c r="F42" s="68" t="n">
        <x:v>34.5</x:v>
      </x:c>
      <x:c r="G42" s="69" t="n">
        <x:f>IF(COUNT(E42:F42)=2,E42*F42,"")</x:f>
        <x:v>2693622</x:v>
      </x:c>
    </x:row>
    <x:row r="43">
      <x:c r="A43" s="66" t="n">
        <x:v>1</x:v>
      </x:c>
      <x:c r="B43" s="44" t="str">
        <x:v>Canola/Rapeseed</x:v>
      </x:c>
      <x:c r="C43" s="44" t="str">
        <x:v>L233P</x:v>
      </x:c>
      <x:c r="D43" s="66" t="n">
        <x:v>2022</x:v>
      </x:c>
      <x:c r="E43" s="67" t="n">
        <x:v>53539</x:v>
      </x:c>
      <x:c r="F43" s="68" t="n">
        <x:v>39.5</x:v>
      </x:c>
      <x:c r="G43" s="69" t="n">
        <x:f>IF(COUNT(E43:F43)=2,E43*F43,"")</x:f>
        <x:v>2114790.5</x:v>
      </x:c>
    </x:row>
    <x:row r="44">
      <x:c r="A44" s="66" t="n">
        <x:v>1</x:v>
      </x:c>
      <x:c r="B44" s="44" t="str">
        <x:v>Canola/Rapeseed</x:v>
      </x:c>
      <x:c r="C44" s="44" t="str">
        <x:v>L233P</x:v>
      </x:c>
      <x:c r="D44" s="66" t="n">
        <x:v>2023</x:v>
      </x:c>
      <x:c r="E44" s="67" t="n">
        <x:v>47458</x:v>
      </x:c>
      <x:c r="F44" s="68" t="n">
        <x:v>37.7</x:v>
      </x:c>
      <x:c r="G44" s="69" t="n">
        <x:f>IF(COUNT(E44:F44)=2,E44*F44,"")</x:f>
        <x:v>1789166.6</x:v>
      </x:c>
    </x:row>
    <x:row r="45">
      <x:c r="A45" s="66" t="n">
        <x:v>1</x:v>
      </x:c>
      <x:c r="B45" s="44" t="str">
        <x:v>Canola/Rapeseed</x:v>
      </x:c>
      <x:c r="C45" s="44" t="str">
        <x:v>L233P</x:v>
      </x:c>
      <x:c r="D45" s="66" t="n">
        <x:v>2024</x:v>
      </x:c>
      <x:c r="E45" s="67" t="n">
        <x:v>17574</x:v>
      </x:c>
      <x:c r="F45" s="68" t="n">
        <x:v>37.7</x:v>
      </x:c>
      <x:c r="G45" s="69" t="n">
        <x:f>IF(COUNT(E45:F45)=2,E45*F45,"")</x:f>
        <x:v>662539.8</x:v>
      </x:c>
    </x:row>
    <x:row r="46">
      <x:c r="A46" s="66" t="n">
        <x:v>1</x:v>
      </x:c>
      <x:c r="B46" s="44" t="str">
        <x:v>Canola/Rapeseed</x:v>
      </x:c>
      <x:c r="C46" s="44" t="str">
        <x:v>L233P</x:v>
      </x:c>
      <x:c r="D46" s="66" t="n">
        <x:v>2025</x:v>
      </x:c>
      <x:c r="E46" s="67" t="n">
        <x:v>4478</x:v>
      </x:c>
      <x:c r="F46" s="68" t="n">
        <x:v>49.6</x:v>
      </x:c>
      <x:c r="G46" s="69" t="n">
        <x:f>IF(COUNT(E46:F46)=2,E46*F46,"")</x:f>
        <x:v>222108.80000000002</x:v>
      </x:c>
    </x:row>
    <x:row r="47">
      <x:c r="A47" s="66" t="n">
        <x:v>1</x:v>
      </x:c>
      <x:c r="B47" s="44" t="str">
        <x:v>Canola/Rapeseed</x:v>
      </x:c>
      <x:c r="C47" s="44" t="str">
        <x:v>L330PC</x:v>
      </x:c>
      <x:c r="D47" s="66" t="n">
        <x:v>2021</x:v>
      </x:c>
      <x:c r="E47" s="67"/>
      <x:c r="F47" s="68"/>
      <x:c r="G47" s="69" t="str">
        <x:f>IF(COUNT(E47:F47)=2,E47*F47,"")</x:f>
      </x:c>
    </x:row>
    <x:row r="48">
      <x:c r="A48" s="66" t="n">
        <x:v>1</x:v>
      </x:c>
      <x:c r="B48" s="44" t="str">
        <x:v>Canola/Rapeseed</x:v>
      </x:c>
      <x:c r="C48" s="44" t="str">
        <x:v>L330PC</x:v>
      </x:c>
      <x:c r="D48" s="66" t="n">
        <x:v>2022</x:v>
      </x:c>
      <x:c r="E48" s="67"/>
      <x:c r="F48" s="68"/>
      <x:c r="G48" s="69" t="str">
        <x:f>IF(COUNT(E48:F48)=2,E48*F48,"")</x:f>
      </x:c>
    </x:row>
    <x:row r="49">
      <x:c r="A49" s="66" t="n">
        <x:v>1</x:v>
      </x:c>
      <x:c r="B49" s="44" t="str">
        <x:v>Canola/Rapeseed</x:v>
      </x:c>
      <x:c r="C49" s="44" t="str">
        <x:v>L330PC</x:v>
      </x:c>
      <x:c r="D49" s="66" t="n">
        <x:v>2023</x:v>
      </x:c>
      <x:c r="E49" s="67"/>
      <x:c r="F49" s="68"/>
      <x:c r="G49" s="69" t="str">
        <x:f>IF(COUNT(E49:F49)=2,E49*F49,"")</x:f>
      </x:c>
    </x:row>
    <x:row r="50">
      <x:c r="A50" s="66" t="n">
        <x:v>1</x:v>
      </x:c>
      <x:c r="B50" s="44" t="str">
        <x:v>Canola/Rapeseed</x:v>
      </x:c>
      <x:c r="C50" s="44" t="str">
        <x:v>L330PC</x:v>
      </x:c>
      <x:c r="D50" s="66" t="n">
        <x:v>2024</x:v>
      </x:c>
      <x:c r="E50" s="67"/>
      <x:c r="F50" s="68"/>
      <x:c r="G50" s="69" t="str">
        <x:f>IF(COUNT(E50:F50)=2,E50*F50,"")</x:f>
      </x:c>
    </x:row>
    <x:row r="51">
      <x:c r="A51" s="66" t="n">
        <x:v>1</x:v>
      </x:c>
      <x:c r="B51" s="44" t="str">
        <x:v>Canola/Rapeseed</x:v>
      </x:c>
      <x:c r="C51" s="44" t="str">
        <x:v>L330PC</x:v>
      </x:c>
      <x:c r="D51" s="66" t="n">
        <x:v>2025</x:v>
      </x:c>
      <x:c r="E51" s="67" t="n">
        <x:v>3966</x:v>
      </x:c>
      <x:c r="F51" s="68" t="n">
        <x:v>48.3</x:v>
      </x:c>
      <x:c r="G51" s="69" t="n">
        <x:f>IF(COUNT(E51:F51)=2,E51*F51,"")</x:f>
        <x:v>191557.8</x:v>
      </x:c>
    </x:row>
    <x:row r="52">
      <x:c r="A52" s="66" t="n">
        <x:v>1</x:v>
      </x:c>
      <x:c r="B52" s="44" t="str">
        <x:v>Canola/Rapeseed</x:v>
      </x:c>
      <x:c r="C52" s="44" t="str">
        <x:v>L333PC</x:v>
      </x:c>
      <x:c r="D52" s="66" t="n">
        <x:v>2021</x:v>
      </x:c>
      <x:c r="E52" s="67"/>
      <x:c r="F52" s="68"/>
      <x:c r="G52" s="69" t="str">
        <x:f>IF(COUNT(E52:F52)=2,E52*F52,"")</x:f>
      </x:c>
    </x:row>
    <x:row r="53">
      <x:c r="A53" s="66" t="n">
        <x:v>1</x:v>
      </x:c>
      <x:c r="B53" s="44" t="str">
        <x:v>Canola/Rapeseed</x:v>
      </x:c>
      <x:c r="C53" s="44" t="str">
        <x:v>L333PC</x:v>
      </x:c>
      <x:c r="D53" s="66" t="n">
        <x:v>2022</x:v>
      </x:c>
      <x:c r="E53" s="67"/>
      <x:c r="F53" s="68"/>
      <x:c r="G53" s="69" t="str">
        <x:f>IF(COUNT(E53:F53)=2,E53*F53,"")</x:f>
      </x:c>
    </x:row>
    <x:row r="54">
      <x:c r="A54" s="66" t="n">
        <x:v>1</x:v>
      </x:c>
      <x:c r="B54" s="44" t="str">
        <x:v>Canola/Rapeseed</x:v>
      </x:c>
      <x:c r="C54" s="44" t="str">
        <x:v>L333PC</x:v>
      </x:c>
      <x:c r="D54" s="66" t="n">
        <x:v>2023</x:v>
      </x:c>
      <x:c r="E54" s="67"/>
      <x:c r="F54" s="68"/>
      <x:c r="G54" s="69" t="str">
        <x:f>IF(COUNT(E54:F54)=2,E54*F54,"")</x:f>
      </x:c>
    </x:row>
    <x:row r="55">
      <x:c r="A55" s="66" t="n">
        <x:v>1</x:v>
      </x:c>
      <x:c r="B55" s="44" t="str">
        <x:v>Canola/Rapeseed</x:v>
      </x:c>
      <x:c r="C55" s="44" t="str">
        <x:v>L333PC</x:v>
      </x:c>
      <x:c r="D55" s="66" t="n">
        <x:v>2024</x:v>
      </x:c>
      <x:c r="E55" s="67"/>
      <x:c r="F55" s="68"/>
      <x:c r="G55" s="69" t="str">
        <x:f>IF(COUNT(E55:F55)=2,E55*F55,"")</x:f>
      </x:c>
    </x:row>
    <x:row r="56">
      <x:c r="A56" s="66" t="n">
        <x:v>1</x:v>
      </x:c>
      <x:c r="B56" s="44" t="str">
        <x:v>Canola/Rapeseed</x:v>
      </x:c>
      <x:c r="C56" s="44" t="str">
        <x:v>L333PC</x:v>
      </x:c>
      <x:c r="D56" s="66" t="n">
        <x:v>2025</x:v>
      </x:c>
      <x:c r="E56" s="67" t="n">
        <x:v>9074</x:v>
      </x:c>
      <x:c r="F56" s="68" t="n">
        <x:v>47.7</x:v>
      </x:c>
      <x:c r="G56" s="69" t="n">
        <x:f>IF(COUNT(E56:F56)=2,E56*F56,"")</x:f>
        <x:v>432829.80000000005</x:v>
      </x:c>
    </x:row>
    <x:row r="57">
      <x:c r="A57" s="66" t="n">
        <x:v>1</x:v>
      </x:c>
      <x:c r="B57" s="44" t="str">
        <x:v>Canola/Rapeseed</x:v>
      </x:c>
      <x:c r="C57" s="44" t="str">
        <x:v>L340PC</x:v>
      </x:c>
      <x:c r="D57" s="66" t="n">
        <x:v>2021</x:v>
      </x:c>
      <x:c r="E57" s="67" t="n">
        <x:v>10949</x:v>
      </x:c>
      <x:c r="F57" s="68" t="n">
        <x:v>31.8</x:v>
      </x:c>
      <x:c r="G57" s="69" t="n">
        <x:f>IF(COUNT(E57:F57)=2,E57*F57,"")</x:f>
        <x:v>348178.2</x:v>
      </x:c>
    </x:row>
    <x:row r="58">
      <x:c r="A58" s="66" t="n">
        <x:v>1</x:v>
      </x:c>
      <x:c r="B58" s="44" t="str">
        <x:v>Canola/Rapeseed</x:v>
      </x:c>
      <x:c r="C58" s="44" t="str">
        <x:v>L340PC</x:v>
      </x:c>
      <x:c r="D58" s="66" t="n">
        <x:v>2022</x:v>
      </x:c>
      <x:c r="E58" s="67" t="n">
        <x:v>64315</x:v>
      </x:c>
      <x:c r="F58" s="68" t="n">
        <x:v>43.5</x:v>
      </x:c>
      <x:c r="G58" s="69" t="n">
        <x:f>IF(COUNT(E58:F58)=2,E58*F58,"")</x:f>
        <x:v>2797702.5</x:v>
      </x:c>
    </x:row>
    <x:row r="59">
      <x:c r="A59" s="66" t="n">
        <x:v>1</x:v>
      </x:c>
      <x:c r="B59" s="44" t="str">
        <x:v>Canola/Rapeseed</x:v>
      </x:c>
      <x:c r="C59" s="44" t="str">
        <x:v>L340PC</x:v>
      </x:c>
      <x:c r="D59" s="66" t="n">
        <x:v>2023</x:v>
      </x:c>
      <x:c r="E59" s="67" t="n">
        <x:v>75706</x:v>
      </x:c>
      <x:c r="F59" s="68" t="n">
        <x:v>39.1</x:v>
      </x:c>
      <x:c r="G59" s="69" t="n">
        <x:f>IF(COUNT(E59:F59)=2,E59*F59,"")</x:f>
        <x:v>2960104.6</x:v>
      </x:c>
    </x:row>
    <x:row r="60">
      <x:c r="A60" s="66" t="n">
        <x:v>1</x:v>
      </x:c>
      <x:c r="B60" s="44" t="str">
        <x:v>Canola/Rapeseed</x:v>
      </x:c>
      <x:c r="C60" s="44" t="str">
        <x:v>L340PC</x:v>
      </x:c>
      <x:c r="D60" s="66" t="n">
        <x:v>2024</x:v>
      </x:c>
      <x:c r="E60" s="67" t="n">
        <x:v>111711</x:v>
      </x:c>
      <x:c r="F60" s="68" t="n">
        <x:v>38.3</x:v>
      </x:c>
      <x:c r="G60" s="69" t="n">
        <x:f>IF(COUNT(E60:F60)=2,E60*F60,"")</x:f>
        <x:v>4278531.3</x:v>
      </x:c>
    </x:row>
    <x:row r="61">
      <x:c r="A61" s="66" t="n">
        <x:v>1</x:v>
      </x:c>
      <x:c r="B61" s="44" t="str">
        <x:v>Canola/Rapeseed</x:v>
      </x:c>
      <x:c r="C61" s="44" t="str">
        <x:v>L340PC</x:v>
      </x:c>
      <x:c r="D61" s="66" t="n">
        <x:v>2025</x:v>
      </x:c>
      <x:c r="E61" s="67" t="n">
        <x:v>121491</x:v>
      </x:c>
      <x:c r="F61" s="68" t="n">
        <x:v>48.5</x:v>
      </x:c>
      <x:c r="G61" s="69" t="n">
        <x:f>IF(COUNT(E61:F61)=2,E61*F61,"")</x:f>
        <x:v>5892313.5</x:v>
      </x:c>
    </x:row>
    <x:row r="62">
      <x:c r="A62" s="66" t="n">
        <x:v>1</x:v>
      </x:c>
      <x:c r="B62" s="44" t="str">
        <x:v>Canola/Rapeseed</x:v>
      </x:c>
      <x:c r="C62" s="44" t="str">
        <x:v>L343PC</x:v>
      </x:c>
      <x:c r="D62" s="66" t="n">
        <x:v>2021</x:v>
      </x:c>
      <x:c r="E62" s="67"/>
      <x:c r="F62" s="68"/>
      <x:c r="G62" s="69" t="str">
        <x:f>IF(COUNT(E62:F62)=2,E62*F62,"")</x:f>
      </x:c>
    </x:row>
    <x:row r="63">
      <x:c r="A63" s="66" t="n">
        <x:v>1</x:v>
      </x:c>
      <x:c r="B63" s="44" t="str">
        <x:v>Canola/Rapeseed</x:v>
      </x:c>
      <x:c r="C63" s="44" t="str">
        <x:v>L343PC</x:v>
      </x:c>
      <x:c r="D63" s="66" t="n">
        <x:v>2022</x:v>
      </x:c>
      <x:c r="E63" s="67" t="n">
        <x:v>1160</x:v>
      </x:c>
      <x:c r="F63" s="68" t="n">
        <x:v>40.5</x:v>
      </x:c>
      <x:c r="G63" s="69" t="n">
        <x:f>IF(COUNT(E63:F63)=2,E63*F63,"")</x:f>
        <x:v>46980</x:v>
      </x:c>
    </x:row>
    <x:row r="64">
      <x:c r="A64" s="66" t="n">
        <x:v>1</x:v>
      </x:c>
      <x:c r="B64" s="44" t="str">
        <x:v>Canola/Rapeseed</x:v>
      </x:c>
      <x:c r="C64" s="44" t="str">
        <x:v>L343PC</x:v>
      </x:c>
      <x:c r="D64" s="66" t="n">
        <x:v>2023</x:v>
      </x:c>
      <x:c r="E64" s="67" t="n">
        <x:v>6300</x:v>
      </x:c>
      <x:c r="F64" s="68" t="n">
        <x:v>34.1</x:v>
      </x:c>
      <x:c r="G64" s="69" t="n">
        <x:f>IF(COUNT(E64:F64)=2,E64*F64,"")</x:f>
        <x:v>214830</x:v>
      </x:c>
    </x:row>
    <x:row r="65">
      <x:c r="A65" s="66" t="n">
        <x:v>1</x:v>
      </x:c>
      <x:c r="B65" s="44" t="str">
        <x:v>Canola/Rapeseed</x:v>
      </x:c>
      <x:c r="C65" s="44" t="str">
        <x:v>L343PC</x:v>
      </x:c>
      <x:c r="D65" s="66" t="n">
        <x:v>2024</x:v>
      </x:c>
      <x:c r="E65" s="67" t="n">
        <x:v>4110</x:v>
      </x:c>
      <x:c r="F65" s="68" t="n">
        <x:v>34.1</x:v>
      </x:c>
      <x:c r="G65" s="69" t="n">
        <x:f>IF(COUNT(E65:F65)=2,E65*F65,"")</x:f>
        <x:v>140151</x:v>
      </x:c>
    </x:row>
    <x:row r="66">
      <x:c r="A66" s="66" t="n">
        <x:v>1</x:v>
      </x:c>
      <x:c r="B66" s="44" t="str">
        <x:v>Canola/Rapeseed</x:v>
      </x:c>
      <x:c r="C66" s="44" t="str">
        <x:v>L343PC</x:v>
      </x:c>
      <x:c r="D66" s="66" t="n">
        <x:v>2025</x:v>
      </x:c>
      <x:c r="E66" s="67" t="n">
        <x:v>5198</x:v>
      </x:c>
      <x:c r="F66" s="68" t="n">
        <x:v>47.8</x:v>
      </x:c>
      <x:c r="G66" s="69" t="n">
        <x:f>IF(COUNT(E66:F66)=2,E66*F66,"")</x:f>
        <x:v>248464.4</x:v>
      </x:c>
    </x:row>
    <x:row r="67">
      <x:c r="A67" s="66" t="n">
        <x:v>1</x:v>
      </x:c>
      <x:c r="B67" s="44" t="str">
        <x:v>Canola/Rapeseed</x:v>
      </x:c>
      <x:c r="C67" s="44" t="str">
        <x:v>L345PC</x:v>
      </x:c>
      <x:c r="D67" s="66" t="n">
        <x:v>2021</x:v>
      </x:c>
      <x:c r="E67" s="67" t="n">
        <x:v>22564</x:v>
      </x:c>
      <x:c r="F67" s="68" t="n">
        <x:v>34.9</x:v>
      </x:c>
      <x:c r="G67" s="69" t="n">
        <x:f>IF(COUNT(E67:F67)=2,E67*F67,"")</x:f>
        <x:v>787483.6</x:v>
      </x:c>
    </x:row>
    <x:row r="68">
      <x:c r="A68" s="66" t="n">
        <x:v>1</x:v>
      </x:c>
      <x:c r="B68" s="44" t="str">
        <x:v>Canola/Rapeseed</x:v>
      </x:c>
      <x:c r="C68" s="44" t="str">
        <x:v>L345PC</x:v>
      </x:c>
      <x:c r="D68" s="66" t="n">
        <x:v>2022</x:v>
      </x:c>
      <x:c r="E68" s="67" t="n">
        <x:v>15880</x:v>
      </x:c>
      <x:c r="F68" s="68" t="n">
        <x:v>41.7</x:v>
      </x:c>
      <x:c r="G68" s="69" t="n">
        <x:f>IF(COUNT(E68:F68)=2,E68*F68,"")</x:f>
        <x:v>662196</x:v>
      </x:c>
    </x:row>
    <x:row r="69">
      <x:c r="A69" s="66" t="n">
        <x:v>1</x:v>
      </x:c>
      <x:c r="B69" s="44" t="str">
        <x:v>Canola/Rapeseed</x:v>
      </x:c>
      <x:c r="C69" s="44" t="str">
        <x:v>L345PC</x:v>
      </x:c>
      <x:c r="D69" s="66" t="n">
        <x:v>2023</x:v>
      </x:c>
      <x:c r="E69" s="67" t="n">
        <x:v>18338</x:v>
      </x:c>
      <x:c r="F69" s="68" t="n">
        <x:v>40.5</x:v>
      </x:c>
      <x:c r="G69" s="69" t="n">
        <x:f>IF(COUNT(E69:F69)=2,E69*F69,"")</x:f>
        <x:v>742689</x:v>
      </x:c>
    </x:row>
    <x:row r="70">
      <x:c r="A70" s="66" t="n">
        <x:v>1</x:v>
      </x:c>
      <x:c r="B70" s="44" t="str">
        <x:v>Canola/Rapeseed</x:v>
      </x:c>
      <x:c r="C70" s="44" t="str">
        <x:v>L345PC</x:v>
      </x:c>
      <x:c r="D70" s="66" t="n">
        <x:v>2024</x:v>
      </x:c>
      <x:c r="E70" s="67" t="n">
        <x:v>17109</x:v>
      </x:c>
      <x:c r="F70" s="68" t="n">
        <x:v>38.9</x:v>
      </x:c>
      <x:c r="G70" s="69" t="n">
        <x:f>IF(COUNT(E70:F70)=2,E70*F70,"")</x:f>
        <x:v>665540.1</x:v>
      </x:c>
    </x:row>
    <x:row r="71">
      <x:c r="A71" s="66" t="n">
        <x:v>1</x:v>
      </x:c>
      <x:c r="B71" s="44" t="str">
        <x:v>Canola/Rapeseed</x:v>
      </x:c>
      <x:c r="C71" s="44" t="str">
        <x:v>L345PC</x:v>
      </x:c>
      <x:c r="D71" s="66" t="n">
        <x:v>2025</x:v>
      </x:c>
      <x:c r="E71" s="67" t="n">
        <x:v>5991</x:v>
      </x:c>
      <x:c r="F71" s="68" t="n">
        <x:v>47.3</x:v>
      </x:c>
      <x:c r="G71" s="69" t="n">
        <x:f>IF(COUNT(E71:F71)=2,E71*F71,"")</x:f>
        <x:v>283374.3</x:v>
      </x:c>
    </x:row>
    <x:row r="72">
      <x:c r="A72" s="66" t="n">
        <x:v>1</x:v>
      </x:c>
      <x:c r="B72" s="44" t="str">
        <x:v>Canola/Rapeseed</x:v>
      </x:c>
      <x:c r="C72" s="44" t="str">
        <x:v>L350PC</x:v>
      </x:c>
      <x:c r="D72" s="66" t="n">
        <x:v>2021</x:v>
      </x:c>
      <x:c r="E72" s="67"/>
      <x:c r="F72" s="68"/>
      <x:c r="G72" s="69" t="str">
        <x:f>IF(COUNT(E72:F72)=2,E72*F72,"")</x:f>
      </x:c>
    </x:row>
    <x:row r="73">
      <x:c r="A73" s="66" t="n">
        <x:v>1</x:v>
      </x:c>
      <x:c r="B73" s="44" t="str">
        <x:v>Canola/Rapeseed</x:v>
      </x:c>
      <x:c r="C73" s="44" t="str">
        <x:v>L350PC</x:v>
      </x:c>
      <x:c r="D73" s="66" t="n">
        <x:v>2022</x:v>
      </x:c>
      <x:c r="E73" s="67"/>
      <x:c r="F73" s="68"/>
      <x:c r="G73" s="69" t="str">
        <x:f>IF(COUNT(E73:F73)=2,E73*F73,"")</x:f>
      </x:c>
    </x:row>
    <x:row r="74">
      <x:c r="A74" s="66" t="n">
        <x:v>1</x:v>
      </x:c>
      <x:c r="B74" s="44" t="str">
        <x:v>Canola/Rapeseed</x:v>
      </x:c>
      <x:c r="C74" s="44" t="str">
        <x:v>L350PC</x:v>
      </x:c>
      <x:c r="D74" s="66" t="n">
        <x:v>2023</x:v>
      </x:c>
      <x:c r="E74" s="67" t="n">
        <x:v>9257</x:v>
      </x:c>
      <x:c r="F74" s="68" t="n">
        <x:v>40.5</x:v>
      </x:c>
      <x:c r="G74" s="69" t="n">
        <x:f>IF(COUNT(E74:F74)=2,E74*F74,"")</x:f>
        <x:v>374908.5</x:v>
      </x:c>
    </x:row>
    <x:row r="75">
      <x:c r="A75" s="66" t="n">
        <x:v>1</x:v>
      </x:c>
      <x:c r="B75" s="44" t="str">
        <x:v>Canola/Rapeseed</x:v>
      </x:c>
      <x:c r="C75" s="44" t="str">
        <x:v>L350PC</x:v>
      </x:c>
      <x:c r="D75" s="66" t="n">
        <x:v>2024</x:v>
      </x:c>
      <x:c r="E75" s="67" t="n">
        <x:v>6157</x:v>
      </x:c>
      <x:c r="F75" s="68" t="n">
        <x:v>35.1</x:v>
      </x:c>
      <x:c r="G75" s="69" t="n">
        <x:f>IF(COUNT(E75:F75)=2,E75*F75,"")</x:f>
        <x:v>216110.7</x:v>
      </x:c>
    </x:row>
    <x:row r="76">
      <x:c r="A76" s="66" t="n">
        <x:v>1</x:v>
      </x:c>
      <x:c r="B76" s="44" t="str">
        <x:v>Canola/Rapeseed</x:v>
      </x:c>
      <x:c r="C76" s="44" t="str">
        <x:v>L350PC</x:v>
      </x:c>
      <x:c r="D76" s="66" t="n">
        <x:v>2025</x:v>
      </x:c>
      <x:c r="E76" s="67" t="n">
        <x:v>6585</x:v>
      </x:c>
      <x:c r="F76" s="68" t="n">
        <x:v>46.6</x:v>
      </x:c>
      <x:c r="G76" s="69" t="n">
        <x:f>IF(COUNT(E76:F76)=2,E76*F76,"")</x:f>
        <x:v>306861</x:v>
      </x:c>
    </x:row>
    <x:row r="77">
      <x:c r="A77" s="66" t="n">
        <x:v>1</x:v>
      </x:c>
      <x:c r="B77" s="44" t="str">
        <x:v>Canola/Rapeseed</x:v>
      </x:c>
      <x:c r="C77" s="44" t="str">
        <x:v>L356PC</x:v>
      </x:c>
      <x:c r="D77" s="66" t="n">
        <x:v>2021</x:v>
      </x:c>
      <x:c r="E77" s="67"/>
      <x:c r="F77" s="68"/>
      <x:c r="G77" s="69" t="str">
        <x:f>IF(COUNT(E77:F77)=2,E77*F77,"")</x:f>
      </x:c>
    </x:row>
    <x:row r="78">
      <x:c r="A78" s="66" t="n">
        <x:v>1</x:v>
      </x:c>
      <x:c r="B78" s="44" t="str">
        <x:v>Canola/Rapeseed</x:v>
      </x:c>
      <x:c r="C78" s="44" t="str">
        <x:v>L356PC</x:v>
      </x:c>
      <x:c r="D78" s="66" t="n">
        <x:v>2022</x:v>
      </x:c>
      <x:c r="E78" s="67" t="n">
        <x:v>10403</x:v>
      </x:c>
      <x:c r="F78" s="68" t="n">
        <x:v>41</x:v>
      </x:c>
      <x:c r="G78" s="69" t="n">
        <x:f>IF(COUNT(E78:F78)=2,E78*F78,"")</x:f>
        <x:v>426523</x:v>
      </x:c>
    </x:row>
    <x:row r="79">
      <x:c r="A79" s="66" t="n">
        <x:v>1</x:v>
      </x:c>
      <x:c r="B79" s="44" t="str">
        <x:v>Canola/Rapeseed</x:v>
      </x:c>
      <x:c r="C79" s="44" t="str">
        <x:v>L356PC</x:v>
      </x:c>
      <x:c r="D79" s="66" t="n">
        <x:v>2023</x:v>
      </x:c>
      <x:c r="E79" s="67" t="n">
        <x:v>28170</x:v>
      </x:c>
      <x:c r="F79" s="68" t="n">
        <x:v>41.8</x:v>
      </x:c>
      <x:c r="G79" s="69" t="n">
        <x:f>IF(COUNT(E79:F79)=2,E79*F79,"")</x:f>
        <x:v>1177506</x:v>
      </x:c>
    </x:row>
    <x:row r="80">
      <x:c r="A80" s="66" t="n">
        <x:v>1</x:v>
      </x:c>
      <x:c r="B80" s="44" t="str">
        <x:v>Canola/Rapeseed</x:v>
      </x:c>
      <x:c r="C80" s="44" t="str">
        <x:v>L356PC</x:v>
      </x:c>
      <x:c r="D80" s="66" t="n">
        <x:v>2024</x:v>
      </x:c>
      <x:c r="E80" s="67" t="n">
        <x:v>45736</x:v>
      </x:c>
      <x:c r="F80" s="68" t="n">
        <x:v>40.3</x:v>
      </x:c>
      <x:c r="G80" s="69" t="n">
        <x:f>IF(COUNT(E80:F80)=2,E80*F80,"")</x:f>
        <x:v>1843160.7999999998</x:v>
      </x:c>
    </x:row>
    <x:row r="81">
      <x:c r="A81" s="66" t="n">
        <x:v>1</x:v>
      </x:c>
      <x:c r="B81" s="44" t="str">
        <x:v>Canola/Rapeseed</x:v>
      </x:c>
      <x:c r="C81" s="44" t="str">
        <x:v>L356PC</x:v>
      </x:c>
      <x:c r="D81" s="66" t="n">
        <x:v>2025</x:v>
      </x:c>
      <x:c r="E81" s="67" t="n">
        <x:v>26988</x:v>
      </x:c>
      <x:c r="F81" s="68" t="n">
        <x:v>50.4</x:v>
      </x:c>
      <x:c r="G81" s="69" t="n">
        <x:f>IF(COUNT(E81:F81)=2,E81*F81,"")</x:f>
        <x:v>1360195.2</x:v>
      </x:c>
    </x:row>
    <x:row r="82">
      <x:c r="A82" s="66" t="n">
        <x:v>1</x:v>
      </x:c>
      <x:c r="B82" s="44" t="str">
        <x:v>Canola/Rapeseed</x:v>
      </x:c>
      <x:c r="C82" s="44" t="str">
        <x:v>PV 661 LCM</x:v>
      </x:c>
      <x:c r="D82" s="66" t="n">
        <x:v>2021</x:v>
      </x:c>
      <x:c r="E82" s="67"/>
      <x:c r="F82" s="68"/>
      <x:c r="G82" s="69" t="str">
        <x:f>IF(COUNT(E82:F82)=2,E82*F82,"")</x:f>
      </x:c>
    </x:row>
    <x:row r="83">
      <x:c r="A83" s="66" t="n">
        <x:v>1</x:v>
      </x:c>
      <x:c r="B83" s="44" t="str">
        <x:v>Canola/Rapeseed</x:v>
      </x:c>
      <x:c r="C83" s="44" t="str">
        <x:v>PV 661 LCM</x:v>
      </x:c>
      <x:c r="D83" s="66" t="n">
        <x:v>2022</x:v>
      </x:c>
      <x:c r="E83" s="67"/>
      <x:c r="F83" s="68"/>
      <x:c r="G83" s="69" t="str">
        <x:f>IF(COUNT(E83:F83)=2,E83*F83,"")</x:f>
      </x:c>
    </x:row>
    <x:row r="84">
      <x:c r="A84" s="66" t="n">
        <x:v>1</x:v>
      </x:c>
      <x:c r="B84" s="44" t="str">
        <x:v>Canola/Rapeseed</x:v>
      </x:c>
      <x:c r="C84" s="44" t="str">
        <x:v>PV 661 LCM</x:v>
      </x:c>
      <x:c r="D84" s="66" t="n">
        <x:v>2023</x:v>
      </x:c>
      <x:c r="E84" s="67"/>
      <x:c r="F84" s="68"/>
      <x:c r="G84" s="69" t="str">
        <x:f>IF(COUNT(E84:F84)=2,E84*F84,"")</x:f>
      </x:c>
    </x:row>
    <x:row r="85">
      <x:c r="A85" s="66" t="n">
        <x:v>1</x:v>
      </x:c>
      <x:c r="B85" s="44" t="str">
        <x:v>Canola/Rapeseed</x:v>
      </x:c>
      <x:c r="C85" s="44" t="str">
        <x:v>PV 661 LCM</x:v>
      </x:c>
      <x:c r="D85" s="66" t="n">
        <x:v>2024</x:v>
      </x:c>
      <x:c r="E85" s="67"/>
      <x:c r="F85" s="68"/>
      <x:c r="G85" s="69" t="str">
        <x:f>IF(COUNT(E85:F85)=2,E85*F85,"")</x:f>
      </x:c>
    </x:row>
    <x:row r="86">
      <x:c r="A86" s="66" t="n">
        <x:v>1</x:v>
      </x:c>
      <x:c r="B86" s="44" t="str">
        <x:v>Canola/Rapeseed</x:v>
      </x:c>
      <x:c r="C86" s="44" t="str">
        <x:v>PV 661 LCM</x:v>
      </x:c>
      <x:c r="D86" s="66" t="n">
        <x:v>2025</x:v>
      </x:c>
      <x:c r="E86" s="67" t="n">
        <x:v>3470</x:v>
      </x:c>
      <x:c r="F86" s="68" t="n">
        <x:v>38.7</x:v>
      </x:c>
      <x:c r="G86" s="69" t="n">
        <x:f>IF(COUNT(E86:F86)=2,E86*F86,"")</x:f>
        <x:v>134289</x:v>
      </x:c>
    </x:row>
    <x:row r="87">
      <x:c r="A87" s="66" t="n">
        <x:v>1</x:v>
      </x:c>
      <x:c r="B87" s="44" t="str">
        <x:v>Canola/Rapeseed</x:v>
      </x:c>
      <x:c r="C87" s="44" t="str">
        <x:v>P520L</x:v>
      </x:c>
      <x:c r="D87" s="66" t="n">
        <x:v>2021</x:v>
      </x:c>
      <x:c r="E87" s="67"/>
      <x:c r="F87" s="68"/>
      <x:c r="G87" s="69" t="str">
        <x:f>IF(COUNT(E87:F87)=2,E87*F87,"")</x:f>
      </x:c>
    </x:row>
    <x:row r="88">
      <x:c r="A88" s="66" t="n">
        <x:v>1</x:v>
      </x:c>
      <x:c r="B88" s="44" t="str">
        <x:v>Canola/Rapeseed</x:v>
      </x:c>
      <x:c r="C88" s="44" t="str">
        <x:v>P520L</x:v>
      </x:c>
      <x:c r="D88" s="66" t="n">
        <x:v>2022</x:v>
      </x:c>
      <x:c r="E88" s="67"/>
      <x:c r="F88" s="68"/>
      <x:c r="G88" s="69" t="str">
        <x:f>IF(COUNT(E88:F88)=2,E88*F88,"")</x:f>
      </x:c>
    </x:row>
    <x:row r="89">
      <x:c r="A89" s="66" t="n">
        <x:v>1</x:v>
      </x:c>
      <x:c r="B89" s="44" t="str">
        <x:v>Canola/Rapeseed</x:v>
      </x:c>
      <x:c r="C89" s="44" t="str">
        <x:v>P520L</x:v>
      </x:c>
      <x:c r="D89" s="66" t="n">
        <x:v>2023</x:v>
      </x:c>
      <x:c r="E89" s="67"/>
      <x:c r="F89" s="68"/>
      <x:c r="G89" s="69" t="str">
        <x:f>IF(COUNT(E89:F89)=2,E89*F89,"")</x:f>
      </x:c>
    </x:row>
    <x:row r="90">
      <x:c r="A90" s="66" t="n">
        <x:v>1</x:v>
      </x:c>
      <x:c r="B90" s="44" t="str">
        <x:v>Canola/Rapeseed</x:v>
      </x:c>
      <x:c r="C90" s="44" t="str">
        <x:v>P520L</x:v>
      </x:c>
      <x:c r="D90" s="66" t="n">
        <x:v>2024</x:v>
      </x:c>
      <x:c r="E90" s="67" t="n">
        <x:v>434</x:v>
      </x:c>
      <x:c r="F90" s="68" t="n">
        <x:v>37.6</x:v>
      </x:c>
      <x:c r="G90" s="69" t="n">
        <x:f>IF(COUNT(E90:F90)=2,E90*F90,"")</x:f>
        <x:v>16318.400000000001</x:v>
      </x:c>
    </x:row>
    <x:row r="91">
      <x:c r="A91" s="66" t="n">
        <x:v>1</x:v>
      </x:c>
      <x:c r="B91" s="44" t="str">
        <x:v>Canola/Rapeseed</x:v>
      </x:c>
      <x:c r="C91" s="44" t="str">
        <x:v>P520L</x:v>
      </x:c>
      <x:c r="D91" s="66" t="n">
        <x:v>2025</x:v>
      </x:c>
      <x:c r="E91" s="67" t="n">
        <x:v>1809</x:v>
      </x:c>
      <x:c r="F91" s="68" t="n">
        <x:v>46.8</x:v>
      </x:c>
      <x:c r="G91" s="69" t="n">
        <x:f>IF(COUNT(E91:F91)=2,E91*F91,"")</x:f>
        <x:v>84661.2</x:v>
      </x:c>
    </x:row>
    <x:row r="92">
      <x:c r="A92" s="66" t="n">
        <x:v>1</x:v>
      </x:c>
      <x:c r="B92" s="44" t="str">
        <x:v>Canola/Rapeseed</x:v>
      </x:c>
      <x:c r="C92" s="44" t="str">
        <x:v>5440 INVIGOR</x:v>
      </x:c>
      <x:c r="D92" s="66" t="n">
        <x:v>2021</x:v>
      </x:c>
      <x:c r="E92" s="67"/>
      <x:c r="F92" s="68"/>
      <x:c r="G92" s="69" t="str">
        <x:f>IF(COUNT(E92:F92)=2,E92*F92,"")</x:f>
      </x:c>
    </x:row>
    <x:row r="93">
      <x:c r="A93" s="66" t="n">
        <x:v>1</x:v>
      </x:c>
      <x:c r="B93" s="44" t="str">
        <x:v>Canola/Rapeseed</x:v>
      </x:c>
      <x:c r="C93" s="44" t="str">
        <x:v>5440 INVIGOR</x:v>
      </x:c>
      <x:c r="D93" s="66" t="n">
        <x:v>2022</x:v>
      </x:c>
      <x:c r="E93" s="67"/>
      <x:c r="F93" s="68"/>
      <x:c r="G93" s="69" t="str">
        <x:f>IF(COUNT(E93:F93)=2,E93*F93,"")</x:f>
      </x:c>
    </x:row>
    <x:row r="94">
      <x:c r="A94" s="66" t="n">
        <x:v>1</x:v>
      </x:c>
      <x:c r="B94" s="44" t="str">
        <x:v>Canola/Rapeseed</x:v>
      </x:c>
      <x:c r="C94" s="44" t="str">
        <x:v>5440 INVIGOR</x:v>
      </x:c>
      <x:c r="D94" s="66" t="n">
        <x:v>2023</x:v>
      </x:c>
      <x:c r="E94" s="67"/>
      <x:c r="F94" s="68"/>
      <x:c r="G94" s="69" t="str">
        <x:f>IF(COUNT(E94:F94)=2,E94*F94,"")</x:f>
      </x:c>
    </x:row>
    <x:row r="95">
      <x:c r="A95" s="66" t="n">
        <x:v>1</x:v>
      </x:c>
      <x:c r="B95" s="44" t="str">
        <x:v>Canola/Rapeseed</x:v>
      </x:c>
      <x:c r="C95" s="44" t="str">
        <x:v>5440 INVIGOR</x:v>
      </x:c>
      <x:c r="D95" s="66" t="n">
        <x:v>2024</x:v>
      </x:c>
      <x:c r="E95" s="67"/>
      <x:c r="F95" s="68"/>
      <x:c r="G95" s="69" t="str">
        <x:f>IF(COUNT(E95:F95)=2,E95*F95,"")</x:f>
      </x:c>
    </x:row>
    <x:row r="96">
      <x:c r="A96" s="66" t="n">
        <x:v>1</x:v>
      </x:c>
      <x:c r="B96" s="44" t="str">
        <x:v>Canola/Rapeseed</x:v>
      </x:c>
      <x:c r="C96" s="44" t="str">
        <x:v>5440 INVIGOR</x:v>
      </x:c>
      <x:c r="D96" s="66" t="n">
        <x:v>2025</x:v>
      </x:c>
      <x:c r="E96" s="67" t="n">
        <x:v>1175</x:v>
      </x:c>
      <x:c r="F96" s="68" t="n">
        <x:v>46.6</x:v>
      </x:c>
      <x:c r="G96" s="69" t="n">
        <x:f>IF(COUNT(E96:F96)=2,E96*F96,"")</x:f>
        <x:v>54755</x:v>
      </x:c>
    </x:row>
    <x:row r="97">
      <x:c r="A97" s="66" t="n">
        <x:v>2</x:v>
      </x:c>
      <x:c r="B97" s="44" t="str">
        <x:v>Canola/Rapeseed</x:v>
      </x:c>
      <x:c r="C97" s="44" t="str">
        <x:v>BY 7204LL</x:v>
      </x:c>
      <x:c r="D97" s="66" t="n">
        <x:v>2021</x:v>
      </x:c>
      <x:c r="E97" s="67"/>
      <x:c r="F97" s="68"/>
      <x:c r="G97" s="69" t="str">
        <x:f>IF(COUNT(E97:F97)=2,E97*F97,"")</x:f>
      </x:c>
    </x:row>
    <x:row r="98">
      <x:c r="A98" s="66" t="n">
        <x:v>2</x:v>
      </x:c>
      <x:c r="B98" s="44" t="str">
        <x:v>Canola/Rapeseed</x:v>
      </x:c>
      <x:c r="C98" s="44" t="str">
        <x:v>BY 7204LL</x:v>
      </x:c>
      <x:c r="D98" s="66" t="n">
        <x:v>2022</x:v>
      </x:c>
      <x:c r="E98" s="67"/>
      <x:c r="F98" s="68"/>
      <x:c r="G98" s="69" t="str">
        <x:f>IF(COUNT(E98:F98)=2,E98*F98,"")</x:f>
      </x:c>
    </x:row>
    <x:row r="99">
      <x:c r="A99" s="66" t="n">
        <x:v>2</x:v>
      </x:c>
      <x:c r="B99" s="44" t="str">
        <x:v>Canola/Rapeseed</x:v>
      </x:c>
      <x:c r="C99" s="44" t="str">
        <x:v>BY 7204LL</x:v>
      </x:c>
      <x:c r="D99" s="66" t="n">
        <x:v>2023</x:v>
      </x:c>
      <x:c r="E99" s="67"/>
      <x:c r="F99" s="68"/>
      <x:c r="G99" s="69" t="str">
        <x:f>IF(COUNT(E99:F99)=2,E99*F99,"")</x:f>
      </x:c>
    </x:row>
    <x:row r="100">
      <x:c r="A100" s="66" t="n">
        <x:v>2</x:v>
      </x:c>
      <x:c r="B100" s="44" t="str">
        <x:v>Canola/Rapeseed</x:v>
      </x:c>
      <x:c r="C100" s="44" t="str">
        <x:v>BY 7204LL</x:v>
      </x:c>
      <x:c r="D100" s="66" t="n">
        <x:v>2024</x:v>
      </x:c>
      <x:c r="E100" s="67" t="n">
        <x:v>3988</x:v>
      </x:c>
      <x:c r="F100" s="68" t="n">
        <x:v>29.8</x:v>
      </x:c>
      <x:c r="G100" s="69" t="n">
        <x:f>IF(COUNT(E100:F100)=2,E100*F100,"")</x:f>
        <x:v>118842.40000000001</x:v>
      </x:c>
    </x:row>
    <x:row r="101">
      <x:c r="A101" s="66" t="n">
        <x:v>2</x:v>
      </x:c>
      <x:c r="B101" s="44" t="str">
        <x:v>Canola/Rapeseed</x:v>
      </x:c>
      <x:c r="C101" s="44" t="str">
        <x:v>BY 7204LL</x:v>
      </x:c>
      <x:c r="D101" s="66" t="n">
        <x:v>2025</x:v>
      </x:c>
      <x:c r="E101" s="67" t="n">
        <x:v>2121</x:v>
      </x:c>
      <x:c r="F101" s="68" t="n">
        <x:v>46</x:v>
      </x:c>
      <x:c r="G101" s="69" t="n">
        <x:f>IF(COUNT(E101:F101)=2,E101*F101,"")</x:f>
        <x:v>97566</x:v>
      </x:c>
    </x:row>
    <x:row r="102">
      <x:c r="A102" s="66" t="n">
        <x:v>2</x:v>
      </x:c>
      <x:c r="B102" s="44" t="str">
        <x:v>Canola/Rapeseed</x:v>
      </x:c>
      <x:c r="C102" s="44" t="str">
        <x:v>CP21T3P</x:v>
      </x:c>
      <x:c r="D102" s="66" t="n">
        <x:v>2021</x:v>
      </x:c>
      <x:c r="E102" s="67"/>
      <x:c r="F102" s="68"/>
      <x:c r="G102" s="69" t="str">
        <x:f>IF(COUNT(E102:F102)=2,E102*F102,"")</x:f>
      </x:c>
    </x:row>
    <x:row r="103">
      <x:c r="A103" s="66" t="n">
        <x:v>2</x:v>
      </x:c>
      <x:c r="B103" s="44" t="str">
        <x:v>Canola/Rapeseed</x:v>
      </x:c>
      <x:c r="C103" s="44" t="str">
        <x:v>CP21T3P</x:v>
      </x:c>
      <x:c r="D103" s="66" t="n">
        <x:v>2022</x:v>
      </x:c>
      <x:c r="E103" s="67" t="n">
        <x:v>1631</x:v>
      </x:c>
      <x:c r="F103" s="68" t="n">
        <x:v>33.5</x:v>
      </x:c>
      <x:c r="G103" s="69" t="n">
        <x:f>IF(COUNT(E103:F103)=2,E103*F103,"")</x:f>
        <x:v>54638.5</x:v>
      </x:c>
    </x:row>
    <x:row r="104">
      <x:c r="A104" s="66" t="n">
        <x:v>2</x:v>
      </x:c>
      <x:c r="B104" s="44" t="str">
        <x:v>Canola/Rapeseed</x:v>
      </x:c>
      <x:c r="C104" s="44" t="str">
        <x:v>CP21T3P</x:v>
      </x:c>
      <x:c r="D104" s="66" t="n">
        <x:v>2023</x:v>
      </x:c>
      <x:c r="E104" s="67" t="n">
        <x:v>880</x:v>
      </x:c>
      <x:c r="F104" s="68" t="n">
        <x:v>16.5</x:v>
      </x:c>
      <x:c r="G104" s="69" t="n">
        <x:f>IF(COUNT(E104:F104)=2,E104*F104,"")</x:f>
        <x:v>14520</x:v>
      </x:c>
    </x:row>
    <x:row r="105">
      <x:c r="A105" s="66" t="n">
        <x:v>2</x:v>
      </x:c>
      <x:c r="B105" s="44" t="str">
        <x:v>Canola/Rapeseed</x:v>
      </x:c>
      <x:c r="C105" s="44" t="str">
        <x:v>CP21T3P</x:v>
      </x:c>
      <x:c r="D105" s="66" t="n">
        <x:v>2024</x:v>
      </x:c>
      <x:c r="E105" s="67" t="n">
        <x:v>478</x:v>
      </x:c>
      <x:c r="F105" s="68" t="n">
        <x:v>8.7</x:v>
      </x:c>
      <x:c r="G105" s="69" t="n">
        <x:f>IF(COUNT(E105:F105)=2,E105*F105,"")</x:f>
        <x:v>4158.599999999999</x:v>
      </x:c>
    </x:row>
    <x:row r="106">
      <x:c r="A106" s="66" t="n">
        <x:v>2</x:v>
      </x:c>
      <x:c r="B106" s="44" t="str">
        <x:v>Canola/Rapeseed</x:v>
      </x:c>
      <x:c r="C106" s="44" t="str">
        <x:v>CP21T3P</x:v>
      </x:c>
      <x:c r="D106" s="66" t="n">
        <x:v>2025</x:v>
      </x:c>
      <x:c r="E106" s="67" t="n">
        <x:v>582</x:v>
      </x:c>
      <x:c r="F106" s="68" t="n">
        <x:v>41.4</x:v>
      </x:c>
      <x:c r="G106" s="69" t="n">
        <x:f>IF(COUNT(E106:F106)=2,E106*F106,"")</x:f>
        <x:v>24094.8</x:v>
      </x:c>
    </x:row>
    <x:row r="107">
      <x:c r="A107" s="66" t="n">
        <x:v>2</x:v>
      </x:c>
      <x:c r="B107" s="44" t="str">
        <x:v>Canola/Rapeseed</x:v>
      </x:c>
      <x:c r="C107" s="44" t="str">
        <x:v>DK 801 LL</x:v>
      </x:c>
      <x:c r="D107" s="66" t="n">
        <x:v>2021</x:v>
      </x:c>
      <x:c r="E107" s="67"/>
      <x:c r="F107" s="68"/>
      <x:c r="G107" s="69" t="str">
        <x:f>IF(COUNT(E107:F107)=2,E107*F107,"")</x:f>
      </x:c>
    </x:row>
    <x:row r="108">
      <x:c r="A108" s="66" t="n">
        <x:v>2</x:v>
      </x:c>
      <x:c r="B108" s="44" t="str">
        <x:v>Canola/Rapeseed</x:v>
      </x:c>
      <x:c r="C108" s="44" t="str">
        <x:v>DK 801 LL</x:v>
      </x:c>
      <x:c r="D108" s="66" t="n">
        <x:v>2022</x:v>
      </x:c>
      <x:c r="E108" s="67"/>
      <x:c r="F108" s="68"/>
      <x:c r="G108" s="69" t="str">
        <x:f>IF(COUNT(E108:F108)=2,E108*F108,"")</x:f>
      </x:c>
    </x:row>
    <x:row r="109">
      <x:c r="A109" s="66" t="n">
        <x:v>2</x:v>
      </x:c>
      <x:c r="B109" s="44" t="str">
        <x:v>Canola/Rapeseed</x:v>
      </x:c>
      <x:c r="C109" s="44" t="str">
        <x:v>DK 801 LL</x:v>
      </x:c>
      <x:c r="D109" s="66" t="n">
        <x:v>2023</x:v>
      </x:c>
      <x:c r="E109" s="67"/>
      <x:c r="F109" s="68"/>
      <x:c r="G109" s="69" t="str">
        <x:f>IF(COUNT(E109:F109)=2,E109*F109,"")</x:f>
      </x:c>
    </x:row>
    <x:row r="110">
      <x:c r="A110" s="66" t="n">
        <x:v>2</x:v>
      </x:c>
      <x:c r="B110" s="44" t="str">
        <x:v>Canola/Rapeseed</x:v>
      </x:c>
      <x:c r="C110" s="44" t="str">
        <x:v>DK 801 LL</x:v>
      </x:c>
      <x:c r="D110" s="66" t="n">
        <x:v>2024</x:v>
      </x:c>
      <x:c r="E110" s="67"/>
      <x:c r="F110" s="68"/>
      <x:c r="G110" s="69" t="str">
        <x:f>IF(COUNT(E110:F110)=2,E110*F110,"")</x:f>
      </x:c>
    </x:row>
    <x:row r="111">
      <x:c r="A111" s="66" t="n">
        <x:v>2</x:v>
      </x:c>
      <x:c r="B111" s="44" t="str">
        <x:v>Canola/Rapeseed</x:v>
      </x:c>
      <x:c r="C111" s="44" t="str">
        <x:v>DK 801 LL</x:v>
      </x:c>
      <x:c r="D111" s="66" t="n">
        <x:v>2025</x:v>
      </x:c>
      <x:c r="E111" s="67" t="n">
        <x:v>1555</x:v>
      </x:c>
      <x:c r="F111" s="68" t="n">
        <x:v>33.5</x:v>
      </x:c>
      <x:c r="G111" s="69" t="n">
        <x:f>IF(COUNT(E111:F111)=2,E111*F111,"")</x:f>
        <x:v>52092.5</x:v>
      </x:c>
    </x:row>
    <x:row r="112">
      <x:c r="A112" s="66" t="n">
        <x:v>2</x:v>
      </x:c>
      <x:c r="B112" s="44" t="str">
        <x:v>Canola/Rapeseed</x:v>
      </x:c>
      <x:c r="C112" s="44" t="str">
        <x:v>DK400TL</x:v>
      </x:c>
      <x:c r="D112" s="66" t="n">
        <x:v>2021</x:v>
      </x:c>
      <x:c r="E112" s="67"/>
      <x:c r="F112" s="68"/>
      <x:c r="G112" s="69" t="str">
        <x:f>IF(COUNT(E112:F112)=2,E112*F112,"")</x:f>
      </x:c>
    </x:row>
    <x:row r="113">
      <x:c r="A113" s="66" t="n">
        <x:v>2</x:v>
      </x:c>
      <x:c r="B113" s="44" t="str">
        <x:v>Canola/Rapeseed</x:v>
      </x:c>
      <x:c r="C113" s="44" t="str">
        <x:v>DK400TL</x:v>
      </x:c>
      <x:c r="D113" s="66" t="n">
        <x:v>2022</x:v>
      </x:c>
      <x:c r="E113" s="67"/>
      <x:c r="F113" s="68"/>
      <x:c r="G113" s="69" t="str">
        <x:f>IF(COUNT(E113:F113)=2,E113*F113,"")</x:f>
      </x:c>
    </x:row>
    <x:row r="114">
      <x:c r="A114" s="66" t="n">
        <x:v>2</x:v>
      </x:c>
      <x:c r="B114" s="44" t="str">
        <x:v>Canola/Rapeseed</x:v>
      </x:c>
      <x:c r="C114" s="44" t="str">
        <x:v>DK400TL</x:v>
      </x:c>
      <x:c r="D114" s="66" t="n">
        <x:v>2023</x:v>
      </x:c>
      <x:c r="E114" s="67"/>
      <x:c r="F114" s="68"/>
      <x:c r="G114" s="69" t="str">
        <x:f>IF(COUNT(E114:F114)=2,E114*F114,"")</x:f>
      </x:c>
    </x:row>
    <x:row r="115">
      <x:c r="A115" s="66" t="n">
        <x:v>2</x:v>
      </x:c>
      <x:c r="B115" s="44" t="str">
        <x:v>Canola/Rapeseed</x:v>
      </x:c>
      <x:c r="C115" s="44" t="str">
        <x:v>DK400TL</x:v>
      </x:c>
      <x:c r="D115" s="66" t="n">
        <x:v>2024</x:v>
      </x:c>
      <x:c r="E115" s="67" t="n">
        <x:v>3914</x:v>
      </x:c>
      <x:c r="F115" s="68" t="n">
        <x:v>27.1</x:v>
      </x:c>
      <x:c r="G115" s="69" t="n">
        <x:f>IF(COUNT(E115:F115)=2,E115*F115,"")</x:f>
        <x:v>106069.40000000001</x:v>
      </x:c>
    </x:row>
    <x:row r="116">
      <x:c r="A116" s="66" t="n">
        <x:v>2</x:v>
      </x:c>
      <x:c r="B116" s="44" t="str">
        <x:v>Canola/Rapeseed</x:v>
      </x:c>
      <x:c r="C116" s="44" t="str">
        <x:v>DK400TL</x:v>
      </x:c>
      <x:c r="D116" s="66" t="n">
        <x:v>2025</x:v>
      </x:c>
      <x:c r="E116" s="67" t="n">
        <x:v>3059</x:v>
      </x:c>
      <x:c r="F116" s="68" t="n">
        <x:v>39.5</x:v>
      </x:c>
      <x:c r="G116" s="69" t="n">
        <x:f>IF(COUNT(E116:F116)=2,E116*F116,"")</x:f>
        <x:v>120830.5</x:v>
      </x:c>
    </x:row>
    <x:row r="117">
      <x:c r="A117" s="66" t="n">
        <x:v>2</x:v>
      </x:c>
      <x:c r="B117" s="44" t="str">
        <x:v>Canola/Rapeseed</x:v>
      </x:c>
      <x:c r="C117" s="44" t="str">
        <x:v>LR354PC</x:v>
      </x:c>
      <x:c r="D117" s="66" t="n">
        <x:v>2021</x:v>
      </x:c>
      <x:c r="E117" s="67"/>
      <x:c r="F117" s="68"/>
      <x:c r="G117" s="69" t="str">
        <x:f>IF(COUNT(E117:F117)=2,E117*F117,"")</x:f>
      </x:c>
    </x:row>
    <x:row r="118">
      <x:c r="A118" s="66" t="n">
        <x:v>2</x:v>
      </x:c>
      <x:c r="B118" s="44" t="str">
        <x:v>Canola/Rapeseed</x:v>
      </x:c>
      <x:c r="C118" s="44" t="str">
        <x:v>LR354PC</x:v>
      </x:c>
      <x:c r="D118" s="66" t="n">
        <x:v>2022</x:v>
      </x:c>
      <x:c r="E118" s="67"/>
      <x:c r="F118" s="68"/>
      <x:c r="G118" s="69" t="str">
        <x:f>IF(COUNT(E118:F118)=2,E118*F118,"")</x:f>
      </x:c>
    </x:row>
    <x:row r="119">
      <x:c r="A119" s="66" t="n">
        <x:v>2</x:v>
      </x:c>
      <x:c r="B119" s="44" t="str">
        <x:v>Canola/Rapeseed</x:v>
      </x:c>
      <x:c r="C119" s="44" t="str">
        <x:v>LR354PC</x:v>
      </x:c>
      <x:c r="D119" s="66" t="n">
        <x:v>2023</x:v>
      </x:c>
      <x:c r="E119" s="67" t="n">
        <x:v>979</x:v>
      </x:c>
      <x:c r="F119" s="68" t="n">
        <x:v>25.5</x:v>
      </x:c>
      <x:c r="G119" s="69" t="n">
        <x:f>IF(COUNT(E119:F119)=2,E119*F119,"")</x:f>
        <x:v>24964.5</x:v>
      </x:c>
    </x:row>
    <x:row r="120">
      <x:c r="A120" s="66" t="n">
        <x:v>2</x:v>
      </x:c>
      <x:c r="B120" s="44" t="str">
        <x:v>Canola/Rapeseed</x:v>
      </x:c>
      <x:c r="C120" s="44" t="str">
        <x:v>LR354PC</x:v>
      </x:c>
      <x:c r="D120" s="66" t="n">
        <x:v>2024</x:v>
      </x:c>
      <x:c r="E120" s="67" t="n">
        <x:v>1977</x:v>
      </x:c>
      <x:c r="F120" s="68" t="n">
        <x:v>32.1</x:v>
      </x:c>
      <x:c r="G120" s="69" t="n">
        <x:f>IF(COUNT(E120:F120)=2,E120*F120,"")</x:f>
        <x:v>63461.700000000004</x:v>
      </x:c>
    </x:row>
    <x:row r="121">
      <x:c r="A121" s="66" t="n">
        <x:v>2</x:v>
      </x:c>
      <x:c r="B121" s="44" t="str">
        <x:v>Canola/Rapeseed</x:v>
      </x:c>
      <x:c r="C121" s="44" t="str">
        <x:v>LR354PC</x:v>
      </x:c>
      <x:c r="D121" s="66" t="n">
        <x:v>2025</x:v>
      </x:c>
      <x:c r="E121" s="67" t="n">
        <x:v>897</x:v>
      </x:c>
      <x:c r="F121" s="68" t="n">
        <x:v>38.7</x:v>
      </x:c>
      <x:c r="G121" s="69" t="n">
        <x:f>IF(COUNT(E121:F121)=2,E121*F121,"")</x:f>
        <x:v>34713.9</x:v>
      </x:c>
    </x:row>
    <x:row r="122">
      <x:c r="A122" s="66" t="n">
        <x:v>2</x:v>
      </x:c>
      <x:c r="B122" s="44" t="str">
        <x:v>Canola/Rapeseed</x:v>
      </x:c>
      <x:c r="C122" s="44" t="str">
        <x:v>L140P</x:v>
      </x:c>
      <x:c r="D122" s="66" t="n">
        <x:v>2021</x:v>
      </x:c>
      <x:c r="E122" s="67"/>
      <x:c r="F122" s="68"/>
      <x:c r="G122" s="69" t="str">
        <x:f>IF(COUNT(E122:F122)=2,E122*F122,"")</x:f>
      </x:c>
    </x:row>
    <x:row r="123">
      <x:c r="A123" s="66" t="n">
        <x:v>2</x:v>
      </x:c>
      <x:c r="B123" s="44" t="str">
        <x:v>Canola/Rapeseed</x:v>
      </x:c>
      <x:c r="C123" s="44" t="str">
        <x:v>L140P</x:v>
      </x:c>
      <x:c r="D123" s="66" t="n">
        <x:v>2022</x:v>
      </x:c>
      <x:c r="E123" s="67" t="n">
        <x:v>4390</x:v>
      </x:c>
      <x:c r="F123" s="68" t="n">
        <x:v>41.8</x:v>
      </x:c>
      <x:c r="G123" s="69" t="n">
        <x:f>IF(COUNT(E123:F123)=2,E123*F123,"")</x:f>
        <x:v>183502</x:v>
      </x:c>
    </x:row>
    <x:row r="124">
      <x:c r="A124" s="66" t="n">
        <x:v>2</x:v>
      </x:c>
      <x:c r="B124" s="44" t="str">
        <x:v>Canola/Rapeseed</x:v>
      </x:c>
      <x:c r="C124" s="44" t="str">
        <x:v>L140P</x:v>
      </x:c>
      <x:c r="D124" s="66" t="n">
        <x:v>2023</x:v>
      </x:c>
      <x:c r="E124" s="67" t="n">
        <x:v>2070</x:v>
      </x:c>
      <x:c r="F124" s="68" t="n">
        <x:v>25.6</x:v>
      </x:c>
      <x:c r="G124" s="69" t="n">
        <x:f>IF(COUNT(E124:F124)=2,E124*F124,"")</x:f>
        <x:v>52992</x:v>
      </x:c>
    </x:row>
    <x:row r="125">
      <x:c r="A125" s="66" t="n">
        <x:v>2</x:v>
      </x:c>
      <x:c r="B125" s="44" t="str">
        <x:v>Canola/Rapeseed</x:v>
      </x:c>
      <x:c r="C125" s="44" t="str">
        <x:v>L140P</x:v>
      </x:c>
      <x:c r="D125" s="66" t="n">
        <x:v>2024</x:v>
      </x:c>
      <x:c r="E125" s="67"/>
      <x:c r="F125" s="68"/>
      <x:c r="G125" s="69" t="str">
        <x:f>IF(COUNT(E125:F125)=2,E125*F125,"")</x:f>
      </x:c>
    </x:row>
    <x:row r="126">
      <x:c r="A126" s="66" t="n">
        <x:v>2</x:v>
      </x:c>
      <x:c r="B126" s="44" t="str">
        <x:v>Canola/Rapeseed</x:v>
      </x:c>
      <x:c r="C126" s="44" t="str">
        <x:v>L140P</x:v>
      </x:c>
      <x:c r="D126" s="66" t="n">
        <x:v>2025</x:v>
      </x:c>
      <x:c r="E126" s="67" t="n">
        <x:v>1068</x:v>
      </x:c>
      <x:c r="F126" s="68" t="n">
        <x:v>42.5</x:v>
      </x:c>
      <x:c r="G126" s="69" t="n">
        <x:f>IF(COUNT(E126:F126)=2,E126*F126,"")</x:f>
        <x:v>45390</x:v>
      </x:c>
    </x:row>
    <x:row r="127">
      <x:c r="A127" s="66" t="n">
        <x:v>2</x:v>
      </x:c>
      <x:c r="B127" s="44" t="str">
        <x:v>Canola/Rapeseed</x:v>
      </x:c>
      <x:c r="C127" s="44" t="str">
        <x:v>L233P</x:v>
      </x:c>
      <x:c r="D127" s="66" t="n">
        <x:v>2021</x:v>
      </x:c>
      <x:c r="E127" s="67" t="n">
        <x:v>100857</x:v>
      </x:c>
      <x:c r="F127" s="68" t="n">
        <x:v>27.1</x:v>
      </x:c>
      <x:c r="G127" s="69" t="n">
        <x:f>IF(COUNT(E127:F127)=2,E127*F127,"")</x:f>
        <x:v>2733224.7</x:v>
      </x:c>
    </x:row>
    <x:row r="128">
      <x:c r="A128" s="66" t="n">
        <x:v>2</x:v>
      </x:c>
      <x:c r="B128" s="44" t="str">
        <x:v>Canola/Rapeseed</x:v>
      </x:c>
      <x:c r="C128" s="44" t="str">
        <x:v>L233P</x:v>
      </x:c>
      <x:c r="D128" s="66" t="n">
        <x:v>2022</x:v>
      </x:c>
      <x:c r="E128" s="67" t="n">
        <x:v>53774</x:v>
      </x:c>
      <x:c r="F128" s="68" t="n">
        <x:v>39.8</x:v>
      </x:c>
      <x:c r="G128" s="69" t="n">
        <x:f>IF(COUNT(E128:F128)=2,E128*F128,"")</x:f>
        <x:v>2140205.1999999997</x:v>
      </x:c>
    </x:row>
    <x:row r="129">
      <x:c r="A129" s="66" t="n">
        <x:v>2</x:v>
      </x:c>
      <x:c r="B129" s="44" t="str">
        <x:v>Canola/Rapeseed</x:v>
      </x:c>
      <x:c r="C129" s="44" t="str">
        <x:v>L233P</x:v>
      </x:c>
      <x:c r="D129" s="66" t="n">
        <x:v>2023</x:v>
      </x:c>
      <x:c r="E129" s="67" t="n">
        <x:v>59889</x:v>
      </x:c>
      <x:c r="F129" s="68" t="n">
        <x:v>24.9</x:v>
      </x:c>
      <x:c r="G129" s="69" t="n">
        <x:f>IF(COUNT(E129:F129)=2,E129*F129,"")</x:f>
        <x:v>1491236.0999999999</x:v>
      </x:c>
    </x:row>
    <x:row r="130">
      <x:c r="A130" s="66" t="n">
        <x:v>2</x:v>
      </x:c>
      <x:c r="B130" s="44" t="str">
        <x:v>Canola/Rapeseed</x:v>
      </x:c>
      <x:c r="C130" s="44" t="str">
        <x:v>L233P</x:v>
      </x:c>
      <x:c r="D130" s="66" t="n">
        <x:v>2024</x:v>
      </x:c>
      <x:c r="E130" s="67" t="n">
        <x:v>23048</x:v>
      </x:c>
      <x:c r="F130" s="68" t="n">
        <x:v>28</x:v>
      </x:c>
      <x:c r="G130" s="69" t="n">
        <x:f>IF(COUNT(E130:F130)=2,E130*F130,"")</x:f>
        <x:v>645344</x:v>
      </x:c>
    </x:row>
    <x:row r="131">
      <x:c r="A131" s="66" t="n">
        <x:v>2</x:v>
      </x:c>
      <x:c r="B131" s="44" t="str">
        <x:v>Canola/Rapeseed</x:v>
      </x:c>
      <x:c r="C131" s="44" t="str">
        <x:v>L233P</x:v>
      </x:c>
      <x:c r="D131" s="66" t="n">
        <x:v>2025</x:v>
      </x:c>
      <x:c r="E131" s="67" t="n">
        <x:v>14945</x:v>
      </x:c>
      <x:c r="F131" s="68" t="n">
        <x:v>46.9</x:v>
      </x:c>
      <x:c r="G131" s="69" t="n">
        <x:f>IF(COUNT(E131:F131)=2,E131*F131,"")</x:f>
        <x:v>700920.5</x:v>
      </x:c>
    </x:row>
    <x:row r="132">
      <x:c r="A132" s="66" t="n">
        <x:v>2</x:v>
      </x:c>
      <x:c r="B132" s="44" t="str">
        <x:v>Canola/Rapeseed</x:v>
      </x:c>
      <x:c r="C132" s="44" t="str">
        <x:v>L330PC</x:v>
      </x:c>
      <x:c r="D132" s="66" t="n">
        <x:v>2021</x:v>
      </x:c>
      <x:c r="E132" s="67"/>
      <x:c r="F132" s="68"/>
      <x:c r="G132" s="69" t="str">
        <x:f>IF(COUNT(E132:F132)=2,E132*F132,"")</x:f>
      </x:c>
    </x:row>
    <x:row r="133">
      <x:c r="A133" s="66" t="n">
        <x:v>2</x:v>
      </x:c>
      <x:c r="B133" s="44" t="str">
        <x:v>Canola/Rapeseed</x:v>
      </x:c>
      <x:c r="C133" s="44" t="str">
        <x:v>L330PC</x:v>
      </x:c>
      <x:c r="D133" s="66" t="n">
        <x:v>2022</x:v>
      </x:c>
      <x:c r="E133" s="67"/>
      <x:c r="F133" s="68"/>
      <x:c r="G133" s="69" t="str">
        <x:f>IF(COUNT(E133:F133)=2,E133*F133,"")</x:f>
      </x:c>
    </x:row>
    <x:row r="134">
      <x:c r="A134" s="66" t="n">
        <x:v>2</x:v>
      </x:c>
      <x:c r="B134" s="44" t="str">
        <x:v>Canola/Rapeseed</x:v>
      </x:c>
      <x:c r="C134" s="44" t="str">
        <x:v>L330PC</x:v>
      </x:c>
      <x:c r="D134" s="66" t="n">
        <x:v>2023</x:v>
      </x:c>
      <x:c r="E134" s="67"/>
      <x:c r="F134" s="68"/>
      <x:c r="G134" s="69" t="str">
        <x:f>IF(COUNT(E134:F134)=2,E134*F134,"")</x:f>
      </x:c>
    </x:row>
    <x:row r="135">
      <x:c r="A135" s="66" t="n">
        <x:v>2</x:v>
      </x:c>
      <x:c r="B135" s="44" t="str">
        <x:v>Canola/Rapeseed</x:v>
      </x:c>
      <x:c r="C135" s="44" t="str">
        <x:v>L330PC</x:v>
      </x:c>
      <x:c r="D135" s="66" t="n">
        <x:v>2024</x:v>
      </x:c>
      <x:c r="E135" s="67"/>
      <x:c r="F135" s="68"/>
      <x:c r="G135" s="69" t="str">
        <x:f>IF(COUNT(E135:F135)=2,E135*F135,"")</x:f>
      </x:c>
    </x:row>
    <x:row r="136">
      <x:c r="A136" s="66" t="n">
        <x:v>2</x:v>
      </x:c>
      <x:c r="B136" s="44" t="str">
        <x:v>Canola/Rapeseed</x:v>
      </x:c>
      <x:c r="C136" s="44" t="str">
        <x:v>L330PC</x:v>
      </x:c>
      <x:c r="D136" s="66" t="n">
        <x:v>2025</x:v>
      </x:c>
      <x:c r="E136" s="67" t="n">
        <x:v>6064</x:v>
      </x:c>
      <x:c r="F136" s="68" t="n">
        <x:v>42.8</x:v>
      </x:c>
      <x:c r="G136" s="69" t="n">
        <x:f>IF(COUNT(E136:F136)=2,E136*F136,"")</x:f>
        <x:v>259539.19999999998</x:v>
      </x:c>
    </x:row>
    <x:row r="137">
      <x:c r="A137" s="66" t="n">
        <x:v>2</x:v>
      </x:c>
      <x:c r="B137" s="44" t="str">
        <x:v>Canola/Rapeseed</x:v>
      </x:c>
      <x:c r="C137" s="44" t="str">
        <x:v>L333PC</x:v>
      </x:c>
      <x:c r="D137" s="66" t="n">
        <x:v>2021</x:v>
      </x:c>
      <x:c r="E137" s="67"/>
      <x:c r="F137" s="68"/>
      <x:c r="G137" s="69" t="str">
        <x:f>IF(COUNT(E137:F137)=2,E137*F137,"")</x:f>
      </x:c>
    </x:row>
    <x:row r="138">
      <x:c r="A138" s="66" t="n">
        <x:v>2</x:v>
      </x:c>
      <x:c r="B138" s="44" t="str">
        <x:v>Canola/Rapeseed</x:v>
      </x:c>
      <x:c r="C138" s="44" t="str">
        <x:v>L333PC</x:v>
      </x:c>
      <x:c r="D138" s="66" t="n">
        <x:v>2022</x:v>
      </x:c>
      <x:c r="E138" s="67"/>
      <x:c r="F138" s="68"/>
      <x:c r="G138" s="69" t="str">
        <x:f>IF(COUNT(E138:F138)=2,E138*F138,"")</x:f>
      </x:c>
    </x:row>
    <x:row r="139">
      <x:c r="A139" s="66" t="n">
        <x:v>2</x:v>
      </x:c>
      <x:c r="B139" s="44" t="str">
        <x:v>Canola/Rapeseed</x:v>
      </x:c>
      <x:c r="C139" s="44" t="str">
        <x:v>L333PC</x:v>
      </x:c>
      <x:c r="D139" s="66" t="n">
        <x:v>2023</x:v>
      </x:c>
      <x:c r="E139" s="67"/>
      <x:c r="F139" s="68"/>
      <x:c r="G139" s="69" t="str">
        <x:f>IF(COUNT(E139:F139)=2,E139*F139,"")</x:f>
      </x:c>
    </x:row>
    <x:row r="140">
      <x:c r="A140" s="66" t="n">
        <x:v>2</x:v>
      </x:c>
      <x:c r="B140" s="44" t="str">
        <x:v>Canola/Rapeseed</x:v>
      </x:c>
      <x:c r="C140" s="44" t="str">
        <x:v>L333PC</x:v>
      </x:c>
      <x:c r="D140" s="66" t="n">
        <x:v>2024</x:v>
      </x:c>
      <x:c r="E140" s="67"/>
      <x:c r="F140" s="68"/>
      <x:c r="G140" s="69" t="str">
        <x:f>IF(COUNT(E140:F140)=2,E140*F140,"")</x:f>
      </x:c>
    </x:row>
    <x:row r="141">
      <x:c r="A141" s="66" t="n">
        <x:v>2</x:v>
      </x:c>
      <x:c r="B141" s="44" t="str">
        <x:v>Canola/Rapeseed</x:v>
      </x:c>
      <x:c r="C141" s="44" t="str">
        <x:v>L333PC</x:v>
      </x:c>
      <x:c r="D141" s="66" t="n">
        <x:v>2025</x:v>
      </x:c>
      <x:c r="E141" s="67" t="n">
        <x:v>1997</x:v>
      </x:c>
      <x:c r="F141" s="68" t="n">
        <x:v>45.4</x:v>
      </x:c>
      <x:c r="G141" s="69" t="n">
        <x:f>IF(COUNT(E141:F141)=2,E141*F141,"")</x:f>
        <x:v>90663.8</x:v>
      </x:c>
    </x:row>
    <x:row r="142">
      <x:c r="A142" s="66" t="n">
        <x:v>2</x:v>
      </x:c>
      <x:c r="B142" s="44" t="str">
        <x:v>Canola/Rapeseed</x:v>
      </x:c>
      <x:c r="C142" s="44" t="str">
        <x:v>L340PC</x:v>
      </x:c>
      <x:c r="D142" s="66" t="n">
        <x:v>2021</x:v>
      </x:c>
      <x:c r="E142" s="67" t="n">
        <x:v>26697</x:v>
      </x:c>
      <x:c r="F142" s="68" t="n">
        <x:v>24.7</x:v>
      </x:c>
      <x:c r="G142" s="69" t="n">
        <x:f>IF(COUNT(E142:F142)=2,E142*F142,"")</x:f>
        <x:v>659415.9</x:v>
      </x:c>
    </x:row>
    <x:row r="143">
      <x:c r="A143" s="66" t="n">
        <x:v>2</x:v>
      </x:c>
      <x:c r="B143" s="44" t="str">
        <x:v>Canola/Rapeseed</x:v>
      </x:c>
      <x:c r="C143" s="44" t="str">
        <x:v>L340PC</x:v>
      </x:c>
      <x:c r="D143" s="66" t="n">
        <x:v>2022</x:v>
      </x:c>
      <x:c r="E143" s="67" t="n">
        <x:v>42272</x:v>
      </x:c>
      <x:c r="F143" s="68" t="n">
        <x:v>42.7</x:v>
      </x:c>
      <x:c r="G143" s="69" t="n">
        <x:f>IF(COUNT(E143:F143)=2,E143*F143,"")</x:f>
        <x:v>1805014.4000000001</x:v>
      </x:c>
    </x:row>
    <x:row r="144">
      <x:c r="A144" s="66" t="n">
        <x:v>2</x:v>
      </x:c>
      <x:c r="B144" s="44" t="str">
        <x:v>Canola/Rapeseed</x:v>
      </x:c>
      <x:c r="C144" s="44" t="str">
        <x:v>L340PC</x:v>
      </x:c>
      <x:c r="D144" s="66" t="n">
        <x:v>2023</x:v>
      </x:c>
      <x:c r="E144" s="67" t="n">
        <x:v>63117</x:v>
      </x:c>
      <x:c r="F144" s="68" t="n">
        <x:v>26.7</x:v>
      </x:c>
      <x:c r="G144" s="69" t="n">
        <x:f>IF(COUNT(E144:F144)=2,E144*F144,"")</x:f>
        <x:v>1685223.9</x:v>
      </x:c>
    </x:row>
    <x:row r="145">
      <x:c r="A145" s="66" t="n">
        <x:v>2</x:v>
      </x:c>
      <x:c r="B145" s="44" t="str">
        <x:v>Canola/Rapeseed</x:v>
      </x:c>
      <x:c r="C145" s="44" t="str">
        <x:v>L340PC</x:v>
      </x:c>
      <x:c r="D145" s="66" t="n">
        <x:v>2024</x:v>
      </x:c>
      <x:c r="E145" s="67" t="n">
        <x:v>102548</x:v>
      </x:c>
      <x:c r="F145" s="68" t="n">
        <x:v>31.4</x:v>
      </x:c>
      <x:c r="G145" s="69" t="n">
        <x:f>IF(COUNT(E145:F145)=2,E145*F145,"")</x:f>
        <x:v>3220007.1999999997</x:v>
      </x:c>
    </x:row>
    <x:row r="146">
      <x:c r="A146" s="66" t="n">
        <x:v>2</x:v>
      </x:c>
      <x:c r="B146" s="44" t="str">
        <x:v>Canola/Rapeseed</x:v>
      </x:c>
      <x:c r="C146" s="44" t="str">
        <x:v>L340PC</x:v>
      </x:c>
      <x:c r="D146" s="66" t="n">
        <x:v>2025</x:v>
      </x:c>
      <x:c r="E146" s="67" t="n">
        <x:v>129092</x:v>
      </x:c>
      <x:c r="F146" s="68" t="n">
        <x:v>47.4</x:v>
      </x:c>
      <x:c r="G146" s="69" t="n">
        <x:f>IF(COUNT(E146:F146)=2,E146*F146,"")</x:f>
        <x:v>6118960.8</x:v>
      </x:c>
    </x:row>
    <x:row r="147">
      <x:c r="A147" s="66" t="n">
        <x:v>2</x:v>
      </x:c>
      <x:c r="B147" s="44" t="str">
        <x:v>Canola/Rapeseed</x:v>
      </x:c>
      <x:c r="C147" s="44" t="str">
        <x:v>L341PC</x:v>
      </x:c>
      <x:c r="D147" s="66" t="n">
        <x:v>2021</x:v>
      </x:c>
      <x:c r="E147" s="67"/>
      <x:c r="F147" s="68"/>
      <x:c r="G147" s="69" t="str">
        <x:f>IF(COUNT(E147:F147)=2,E147*F147,"")</x:f>
      </x:c>
    </x:row>
    <x:row r="148">
      <x:c r="A148" s="66" t="n">
        <x:v>2</x:v>
      </x:c>
      <x:c r="B148" s="44" t="str">
        <x:v>Canola/Rapeseed</x:v>
      </x:c>
      <x:c r="C148" s="44" t="str">
        <x:v>L341PC</x:v>
      </x:c>
      <x:c r="D148" s="66" t="n">
        <x:v>2022</x:v>
      </x:c>
      <x:c r="E148" s="67"/>
      <x:c r="F148" s="68"/>
      <x:c r="G148" s="69" t="str">
        <x:f>IF(COUNT(E148:F148)=2,E148*F148,"")</x:f>
      </x:c>
    </x:row>
    <x:row r="149">
      <x:c r="A149" s="66" t="n">
        <x:v>2</x:v>
      </x:c>
      <x:c r="B149" s="44" t="str">
        <x:v>Canola/Rapeseed</x:v>
      </x:c>
      <x:c r="C149" s="44" t="str">
        <x:v>L341PC</x:v>
      </x:c>
      <x:c r="D149" s="66" t="n">
        <x:v>2023</x:v>
      </x:c>
      <x:c r="E149" s="67"/>
      <x:c r="F149" s="68"/>
      <x:c r="G149" s="69" t="str">
        <x:f>IF(COUNT(E149:F149)=2,E149*F149,"")</x:f>
      </x:c>
    </x:row>
    <x:row r="150">
      <x:c r="A150" s="66" t="n">
        <x:v>2</x:v>
      </x:c>
      <x:c r="B150" s="44" t="str">
        <x:v>Canola/Rapeseed</x:v>
      </x:c>
      <x:c r="C150" s="44" t="str">
        <x:v>L341PC</x:v>
      </x:c>
      <x:c r="D150" s="66" t="n">
        <x:v>2024</x:v>
      </x:c>
      <x:c r="E150" s="67"/>
      <x:c r="F150" s="68"/>
      <x:c r="G150" s="69" t="str">
        <x:f>IF(COUNT(E150:F150)=2,E150*F150,"")</x:f>
      </x:c>
    </x:row>
    <x:row r="151">
      <x:c r="A151" s="66" t="n">
        <x:v>2</x:v>
      </x:c>
      <x:c r="B151" s="44" t="str">
        <x:v>Canola/Rapeseed</x:v>
      </x:c>
      <x:c r="C151" s="44" t="str">
        <x:v>L341PC</x:v>
      </x:c>
      <x:c r="D151" s="66" t="n">
        <x:v>2025</x:v>
      </x:c>
      <x:c r="E151" s="67" t="n">
        <x:v>746</x:v>
      </x:c>
      <x:c r="F151" s="68" t="n">
        <x:v>36.6</x:v>
      </x:c>
      <x:c r="G151" s="69" t="n">
        <x:f>IF(COUNT(E151:F151)=2,E151*F151,"")</x:f>
        <x:v>27303.600000000002</x:v>
      </x:c>
    </x:row>
    <x:row r="152">
      <x:c r="A152" s="66" t="n">
        <x:v>2</x:v>
      </x:c>
      <x:c r="B152" s="44" t="str">
        <x:v>Canola/Rapeseed</x:v>
      </x:c>
      <x:c r="C152" s="44" t="str">
        <x:v>L343PC</x:v>
      </x:c>
      <x:c r="D152" s="66" t="n">
        <x:v>2021</x:v>
      </x:c>
      <x:c r="E152" s="67"/>
      <x:c r="F152" s="68"/>
      <x:c r="G152" s="69" t="str">
        <x:f>IF(COUNT(E152:F152)=2,E152*F152,"")</x:f>
      </x:c>
    </x:row>
    <x:row r="153">
      <x:c r="A153" s="66" t="n">
        <x:v>2</x:v>
      </x:c>
      <x:c r="B153" s="44" t="str">
        <x:v>Canola/Rapeseed</x:v>
      </x:c>
      <x:c r="C153" s="44" t="str">
        <x:v>L343PC</x:v>
      </x:c>
      <x:c r="D153" s="66" t="n">
        <x:v>2022</x:v>
      </x:c>
      <x:c r="E153" s="67" t="n">
        <x:v>2187</x:v>
      </x:c>
      <x:c r="F153" s="68" t="n">
        <x:v>40.9</x:v>
      </x:c>
      <x:c r="G153" s="69" t="n">
        <x:f>IF(COUNT(E153:F153)=2,E153*F153,"")</x:f>
        <x:v>89448.3</x:v>
      </x:c>
    </x:row>
    <x:row r="154">
      <x:c r="A154" s="66" t="n">
        <x:v>2</x:v>
      </x:c>
      <x:c r="B154" s="44" t="str">
        <x:v>Canola/Rapeseed</x:v>
      </x:c>
      <x:c r="C154" s="44" t="str">
        <x:v>L343PC</x:v>
      </x:c>
      <x:c r="D154" s="66" t="n">
        <x:v>2023</x:v>
      </x:c>
      <x:c r="E154" s="67" t="n">
        <x:v>4347</x:v>
      </x:c>
      <x:c r="F154" s="68" t="n">
        <x:v>20.5</x:v>
      </x:c>
      <x:c r="G154" s="69" t="n">
        <x:f>IF(COUNT(E154:F154)=2,E154*F154,"")</x:f>
        <x:v>89113.5</x:v>
      </x:c>
    </x:row>
    <x:row r="155">
      <x:c r="A155" s="66" t="n">
        <x:v>2</x:v>
      </x:c>
      <x:c r="B155" s="44" t="str">
        <x:v>Canola/Rapeseed</x:v>
      </x:c>
      <x:c r="C155" s="44" t="str">
        <x:v>L343PC</x:v>
      </x:c>
      <x:c r="D155" s="66" t="n">
        <x:v>2024</x:v>
      </x:c>
      <x:c r="E155" s="67" t="n">
        <x:v>4912</x:v>
      </x:c>
      <x:c r="F155" s="68" t="n">
        <x:v>25.1</x:v>
      </x:c>
      <x:c r="G155" s="69" t="n">
        <x:f>IF(COUNT(E155:F155)=2,E155*F155,"")</x:f>
        <x:v>123291.20000000001</x:v>
      </x:c>
    </x:row>
    <x:row r="156">
      <x:c r="A156" s="66" t="n">
        <x:v>2</x:v>
      </x:c>
      <x:c r="B156" s="44" t="str">
        <x:v>Canola/Rapeseed</x:v>
      </x:c>
      <x:c r="C156" s="44" t="str">
        <x:v>L343PC</x:v>
      </x:c>
      <x:c r="D156" s="66" t="n">
        <x:v>2025</x:v>
      </x:c>
      <x:c r="E156" s="67" t="n">
        <x:v>1784</x:v>
      </x:c>
      <x:c r="F156" s="68" t="n">
        <x:v>42.2</x:v>
      </x:c>
      <x:c r="G156" s="69" t="n">
        <x:f>IF(COUNT(E156:F156)=2,E156*F156,"")</x:f>
        <x:v>75284.8</x:v>
      </x:c>
    </x:row>
    <x:row r="157">
      <x:c r="A157" s="66" t="n">
        <x:v>2</x:v>
      </x:c>
      <x:c r="B157" s="44" t="str">
        <x:v>Canola/Rapeseed</x:v>
      </x:c>
      <x:c r="C157" s="44" t="str">
        <x:v>L345PC</x:v>
      </x:c>
      <x:c r="D157" s="66" t="n">
        <x:v>2021</x:v>
      </x:c>
      <x:c r="E157" s="67" t="n">
        <x:v>24299</x:v>
      </x:c>
      <x:c r="F157" s="68" t="n">
        <x:v>30.4</x:v>
      </x:c>
      <x:c r="G157" s="69" t="n">
        <x:f>IF(COUNT(E157:F157)=2,E157*F157,"")</x:f>
        <x:v>738689.6</x:v>
      </x:c>
    </x:row>
    <x:row r="158">
      <x:c r="A158" s="66" t="n">
        <x:v>2</x:v>
      </x:c>
      <x:c r="B158" s="44" t="str">
        <x:v>Canola/Rapeseed</x:v>
      </x:c>
      <x:c r="C158" s="44" t="str">
        <x:v>L345PC</x:v>
      </x:c>
      <x:c r="D158" s="66" t="n">
        <x:v>2022</x:v>
      </x:c>
      <x:c r="E158" s="67" t="n">
        <x:v>18044</x:v>
      </x:c>
      <x:c r="F158" s="68" t="n">
        <x:v>42.1</x:v>
      </x:c>
      <x:c r="G158" s="69" t="n">
        <x:f>IF(COUNT(E158:F158)=2,E158*F158,"")</x:f>
        <x:v>759652.4</x:v>
      </x:c>
    </x:row>
    <x:row r="159">
      <x:c r="A159" s="66" t="n">
        <x:v>2</x:v>
      </x:c>
      <x:c r="B159" s="44" t="str">
        <x:v>Canola/Rapeseed</x:v>
      </x:c>
      <x:c r="C159" s="44" t="str">
        <x:v>L345PC</x:v>
      </x:c>
      <x:c r="D159" s="66" t="n">
        <x:v>2023</x:v>
      </x:c>
      <x:c r="E159" s="67" t="n">
        <x:v>20185</x:v>
      </x:c>
      <x:c r="F159" s="68" t="n">
        <x:v>24.4</x:v>
      </x:c>
      <x:c r="G159" s="69" t="n">
        <x:f>IF(COUNT(E159:F159)=2,E159*F159,"")</x:f>
        <x:v>492514</x:v>
      </x:c>
    </x:row>
    <x:row r="160">
      <x:c r="A160" s="66" t="n">
        <x:v>2</x:v>
      </x:c>
      <x:c r="B160" s="44" t="str">
        <x:v>Canola/Rapeseed</x:v>
      </x:c>
      <x:c r="C160" s="44" t="str">
        <x:v>L345PC</x:v>
      </x:c>
      <x:c r="D160" s="66" t="n">
        <x:v>2024</x:v>
      </x:c>
      <x:c r="E160" s="67" t="n">
        <x:v>13821</x:v>
      </x:c>
      <x:c r="F160" s="68" t="n">
        <x:v>26</x:v>
      </x:c>
      <x:c r="G160" s="69" t="n">
        <x:f>IF(COUNT(E160:F160)=2,E160*F160,"")</x:f>
        <x:v>359346</x:v>
      </x:c>
    </x:row>
    <x:row r="161">
      <x:c r="A161" s="66" t="n">
        <x:v>2</x:v>
      </x:c>
      <x:c r="B161" s="44" t="str">
        <x:v>Canola/Rapeseed</x:v>
      </x:c>
      <x:c r="C161" s="44" t="str">
        <x:v>L345PC</x:v>
      </x:c>
      <x:c r="D161" s="66" t="n">
        <x:v>2025</x:v>
      </x:c>
      <x:c r="E161" s="67" t="n">
        <x:v>3726</x:v>
      </x:c>
      <x:c r="F161" s="68" t="n">
        <x:v>46.9</x:v>
      </x:c>
      <x:c r="G161" s="69" t="n">
        <x:f>IF(COUNT(E161:F161)=2,E161*F161,"")</x:f>
        <x:v>174749.4</x:v>
      </x:c>
    </x:row>
    <x:row r="162">
      <x:c r="A162" s="66" t="n">
        <x:v>2</x:v>
      </x:c>
      <x:c r="B162" s="44" t="str">
        <x:v>Canola/Rapeseed</x:v>
      </x:c>
      <x:c r="C162" s="44" t="str">
        <x:v>L350PC</x:v>
      </x:c>
      <x:c r="D162" s="66" t="n">
        <x:v>2021</x:v>
      </x:c>
      <x:c r="E162" s="67"/>
      <x:c r="F162" s="68"/>
      <x:c r="G162" s="69" t="str">
        <x:f>IF(COUNT(E162:F162)=2,E162*F162,"")</x:f>
      </x:c>
    </x:row>
    <x:row r="163">
      <x:c r="A163" s="66" t="n">
        <x:v>2</x:v>
      </x:c>
      <x:c r="B163" s="44" t="str">
        <x:v>Canola/Rapeseed</x:v>
      </x:c>
      <x:c r="C163" s="44" t="str">
        <x:v>L350PC</x:v>
      </x:c>
      <x:c r="D163" s="66" t="n">
        <x:v>2022</x:v>
      </x:c>
      <x:c r="E163" s="67"/>
      <x:c r="F163" s="68"/>
      <x:c r="G163" s="69" t="str">
        <x:f>IF(COUNT(E163:F163)=2,E163*F163,"")</x:f>
      </x:c>
    </x:row>
    <x:row r="164">
      <x:c r="A164" s="66" t="n">
        <x:v>2</x:v>
      </x:c>
      <x:c r="B164" s="44" t="str">
        <x:v>Canola/Rapeseed</x:v>
      </x:c>
      <x:c r="C164" s="44" t="str">
        <x:v>L350PC</x:v>
      </x:c>
      <x:c r="D164" s="66" t="n">
        <x:v>2023</x:v>
      </x:c>
      <x:c r="E164" s="67" t="n">
        <x:v>7842</x:v>
      </x:c>
      <x:c r="F164" s="68" t="n">
        <x:v>28.3</x:v>
      </x:c>
      <x:c r="G164" s="69" t="n">
        <x:f>IF(COUNT(E164:F164)=2,E164*F164,"")</x:f>
        <x:v>221928.6</x:v>
      </x:c>
    </x:row>
    <x:row r="165">
      <x:c r="A165" s="66" t="n">
        <x:v>2</x:v>
      </x:c>
      <x:c r="B165" s="44" t="str">
        <x:v>Canola/Rapeseed</x:v>
      </x:c>
      <x:c r="C165" s="44" t="str">
        <x:v>L350PC</x:v>
      </x:c>
      <x:c r="D165" s="66" t="n">
        <x:v>2024</x:v>
      </x:c>
      <x:c r="E165" s="67" t="n">
        <x:v>4067</x:v>
      </x:c>
      <x:c r="F165" s="68" t="n">
        <x:v>25.7</x:v>
      </x:c>
      <x:c r="G165" s="69" t="n">
        <x:f>IF(COUNT(E165:F165)=2,E165*F165,"")</x:f>
        <x:v>104521.9</x:v>
      </x:c>
    </x:row>
    <x:row r="166">
      <x:c r="A166" s="66" t="n">
        <x:v>2</x:v>
      </x:c>
      <x:c r="B166" s="44" t="str">
        <x:v>Canola/Rapeseed</x:v>
      </x:c>
      <x:c r="C166" s="44" t="str">
        <x:v>L350PC</x:v>
      </x:c>
      <x:c r="D166" s="66" t="n">
        <x:v>2025</x:v>
      </x:c>
      <x:c r="E166" s="67" t="n">
        <x:v>1364</x:v>
      </x:c>
      <x:c r="F166" s="68" t="n">
        <x:v>44.4</x:v>
      </x:c>
      <x:c r="G166" s="69" t="n">
        <x:f>IF(COUNT(E166:F166)=2,E166*F166,"")</x:f>
        <x:v>60561.6</x:v>
      </x:c>
    </x:row>
    <x:row r="167">
      <x:c r="A167" s="66" t="n">
        <x:v>2</x:v>
      </x:c>
      <x:c r="B167" s="44" t="str">
        <x:v>Canola/Rapeseed</x:v>
      </x:c>
      <x:c r="C167" s="44" t="str">
        <x:v>L356PC</x:v>
      </x:c>
      <x:c r="D167" s="66" t="n">
        <x:v>2021</x:v>
      </x:c>
      <x:c r="E167" s="67"/>
      <x:c r="F167" s="68"/>
      <x:c r="G167" s="69" t="str">
        <x:f>IF(COUNT(E167:F167)=2,E167*F167,"")</x:f>
      </x:c>
    </x:row>
    <x:row r="168">
      <x:c r="A168" s="66" t="n">
        <x:v>2</x:v>
      </x:c>
      <x:c r="B168" s="44" t="str">
        <x:v>Canola/Rapeseed</x:v>
      </x:c>
      <x:c r="C168" s="44" t="str">
        <x:v>L356PC</x:v>
      </x:c>
      <x:c r="D168" s="66" t="n">
        <x:v>2022</x:v>
      </x:c>
      <x:c r="E168" s="67" t="n">
        <x:v>3751</x:v>
      </x:c>
      <x:c r="F168" s="68" t="n">
        <x:v>43.2</x:v>
      </x:c>
      <x:c r="G168" s="69" t="n">
        <x:f>IF(COUNT(E168:F168)=2,E168*F168,"")</x:f>
        <x:v>162043.2</x:v>
      </x:c>
    </x:row>
    <x:row r="169">
      <x:c r="A169" s="66" t="n">
        <x:v>2</x:v>
      </x:c>
      <x:c r="B169" s="44" t="str">
        <x:v>Canola/Rapeseed</x:v>
      </x:c>
      <x:c r="C169" s="44" t="str">
        <x:v>L356PC</x:v>
      </x:c>
      <x:c r="D169" s="66" t="n">
        <x:v>2023</x:v>
      </x:c>
      <x:c r="E169" s="67" t="n">
        <x:v>12757</x:v>
      </x:c>
      <x:c r="F169" s="68" t="n">
        <x:v>25.3</x:v>
      </x:c>
      <x:c r="G169" s="69" t="n">
        <x:f>IF(COUNT(E169:F169)=2,E169*F169,"")</x:f>
        <x:v>322752.10000000003</x:v>
      </x:c>
    </x:row>
    <x:row r="170">
      <x:c r="A170" s="66" t="n">
        <x:v>2</x:v>
      </x:c>
      <x:c r="B170" s="44" t="str">
        <x:v>Canola/Rapeseed</x:v>
      </x:c>
      <x:c r="C170" s="44" t="str">
        <x:v>L356PC</x:v>
      </x:c>
      <x:c r="D170" s="66" t="n">
        <x:v>2024</x:v>
      </x:c>
      <x:c r="E170" s="67" t="n">
        <x:v>23604</x:v>
      </x:c>
      <x:c r="F170" s="68" t="n">
        <x:v>27.6</x:v>
      </x:c>
      <x:c r="G170" s="69" t="n">
        <x:f>IF(COUNT(E170:F170)=2,E170*F170,"")</x:f>
        <x:v>651470.4</x:v>
      </x:c>
    </x:row>
    <x:row r="171">
      <x:c r="A171" s="66" t="n">
        <x:v>2</x:v>
      </x:c>
      <x:c r="B171" s="44" t="str">
        <x:v>Canola/Rapeseed</x:v>
      </x:c>
      <x:c r="C171" s="44" t="str">
        <x:v>L356PC</x:v>
      </x:c>
      <x:c r="D171" s="66" t="n">
        <x:v>2025</x:v>
      </x:c>
      <x:c r="E171" s="67" t="n">
        <x:v>10202</x:v>
      </x:c>
      <x:c r="F171" s="68" t="n">
        <x:v>45.3</x:v>
      </x:c>
      <x:c r="G171" s="69" t="n">
        <x:f>IF(COUNT(E171:F171)=2,E171*F171,"")</x:f>
        <x:v>462150.6</x:v>
      </x:c>
    </x:row>
    <x:row r="172">
      <x:c r="A172" s="66" t="n">
        <x:v>2</x:v>
      </x:c>
      <x:c r="B172" s="44" t="str">
        <x:v>Canola/Rapeseed</x:v>
      </x:c>
      <x:c r="C172" s="44" t="str">
        <x:v>P505MSL</x:v>
      </x:c>
      <x:c r="D172" s="66" t="n">
        <x:v>2021</x:v>
      </x:c>
      <x:c r="E172" s="67"/>
      <x:c r="F172" s="68"/>
      <x:c r="G172" s="69" t="str">
        <x:f>IF(COUNT(E172:F172)=2,E172*F172,"")</x:f>
      </x:c>
    </x:row>
    <x:row r="173">
      <x:c r="A173" s="66" t="n">
        <x:v>2</x:v>
      </x:c>
      <x:c r="B173" s="44" t="str">
        <x:v>Canola/Rapeseed</x:v>
      </x:c>
      <x:c r="C173" s="44" t="str">
        <x:v>P505MSL</x:v>
      </x:c>
      <x:c r="D173" s="66" t="n">
        <x:v>2022</x:v>
      </x:c>
      <x:c r="E173" s="67"/>
      <x:c r="F173" s="68"/>
      <x:c r="G173" s="69" t="str">
        <x:f>IF(COUNT(E173:F173)=2,E173*F173,"")</x:f>
      </x:c>
    </x:row>
    <x:row r="174">
      <x:c r="A174" s="66" t="n">
        <x:v>2</x:v>
      </x:c>
      <x:c r="B174" s="44" t="str">
        <x:v>Canola/Rapeseed</x:v>
      </x:c>
      <x:c r="C174" s="44" t="str">
        <x:v>P505MSL</x:v>
      </x:c>
      <x:c r="D174" s="66" t="n">
        <x:v>2023</x:v>
      </x:c>
      <x:c r="E174" s="67" t="n">
        <x:v>958</x:v>
      </x:c>
      <x:c r="F174" s="68" t="n">
        <x:v>19</x:v>
      </x:c>
      <x:c r="G174" s="69" t="n">
        <x:f>IF(COUNT(E174:F174)=2,E174*F174,"")</x:f>
        <x:v>18202</x:v>
      </x:c>
    </x:row>
    <x:row r="175">
      <x:c r="A175" s="66" t="n">
        <x:v>2</x:v>
      </x:c>
      <x:c r="B175" s="44" t="str">
        <x:v>Canola/Rapeseed</x:v>
      </x:c>
      <x:c r="C175" s="44" t="str">
        <x:v>P505MSL</x:v>
      </x:c>
      <x:c r="D175" s="66" t="n">
        <x:v>2024</x:v>
      </x:c>
      <x:c r="E175" s="67"/>
      <x:c r="F175" s="68"/>
      <x:c r="G175" s="69" t="str">
        <x:f>IF(COUNT(E175:F175)=2,E175*F175,"")</x:f>
      </x:c>
    </x:row>
    <x:row r="176">
      <x:c r="A176" s="66" t="n">
        <x:v>2</x:v>
      </x:c>
      <x:c r="B176" s="44" t="str">
        <x:v>Canola/Rapeseed</x:v>
      </x:c>
      <x:c r="C176" s="44" t="str">
        <x:v>P505MSL</x:v>
      </x:c>
      <x:c r="D176" s="66" t="n">
        <x:v>2025</x:v>
      </x:c>
      <x:c r="E176" s="67" t="n">
        <x:v>915</x:v>
      </x:c>
      <x:c r="F176" s="68" t="n">
        <x:v>40.5</x:v>
      </x:c>
      <x:c r="G176" s="69" t="n">
        <x:f>IF(COUNT(E176:F176)=2,E176*F176,"")</x:f>
        <x:v>37057.5</x:v>
      </x:c>
    </x:row>
    <x:row r="177">
      <x:c r="A177" s="66" t="n">
        <x:v>3</x:v>
      </x:c>
      <x:c r="B177" s="44" t="str">
        <x:v>Canola/Rapeseed</x:v>
      </x:c>
      <x:c r="C177" s="44" t="str">
        <x:v>BY 7204LL</x:v>
      </x:c>
      <x:c r="D177" s="66" t="n">
        <x:v>2021</x:v>
      </x:c>
      <x:c r="E177" s="67"/>
      <x:c r="F177" s="68"/>
      <x:c r="G177" s="69" t="str">
        <x:f>IF(COUNT(E177:F177)=2,E177*F177,"")</x:f>
      </x:c>
    </x:row>
    <x:row r="178">
      <x:c r="A178" s="66" t="n">
        <x:v>3</x:v>
      </x:c>
      <x:c r="B178" s="44" t="str">
        <x:v>Canola/Rapeseed</x:v>
      </x:c>
      <x:c r="C178" s="44" t="str">
        <x:v>BY 7204LL</x:v>
      </x:c>
      <x:c r="D178" s="66" t="n">
        <x:v>2022</x:v>
      </x:c>
      <x:c r="E178" s="67"/>
      <x:c r="F178" s="68"/>
      <x:c r="G178" s="69" t="str">
        <x:f>IF(COUNT(E178:F178)=2,E178*F178,"")</x:f>
      </x:c>
    </x:row>
    <x:row r="179">
      <x:c r="A179" s="66" t="n">
        <x:v>3</x:v>
      </x:c>
      <x:c r="B179" s="44" t="str">
        <x:v>Canola/Rapeseed</x:v>
      </x:c>
      <x:c r="C179" s="44" t="str">
        <x:v>BY 7204LL</x:v>
      </x:c>
      <x:c r="D179" s="66" t="n">
        <x:v>2023</x:v>
      </x:c>
      <x:c r="E179" s="67"/>
      <x:c r="F179" s="68"/>
      <x:c r="G179" s="69" t="str">
        <x:f>IF(COUNT(E179:F179)=2,E179*F179,"")</x:f>
      </x:c>
    </x:row>
    <x:row r="180">
      <x:c r="A180" s="66" t="n">
        <x:v>3</x:v>
      </x:c>
      <x:c r="B180" s="44" t="str">
        <x:v>Canola/Rapeseed</x:v>
      </x:c>
      <x:c r="C180" s="44" t="str">
        <x:v>BY 7204LL</x:v>
      </x:c>
      <x:c r="D180" s="66" t="n">
        <x:v>2024</x:v>
      </x:c>
      <x:c r="E180" s="67"/>
      <x:c r="F180" s="68"/>
      <x:c r="G180" s="69" t="str">
        <x:f>IF(COUNT(E180:F180)=2,E180*F180,"")</x:f>
      </x:c>
    </x:row>
    <x:row r="181">
      <x:c r="A181" s="66" t="n">
        <x:v>3</x:v>
      </x:c>
      <x:c r="B181" s="44" t="str">
        <x:v>Canola/Rapeseed</x:v>
      </x:c>
      <x:c r="C181" s="44" t="str">
        <x:v>BY 7204LL</x:v>
      </x:c>
      <x:c r="D181" s="66" t="n">
        <x:v>2025</x:v>
      </x:c>
      <x:c r="E181" s="67" t="n">
        <x:v>2104</x:v>
      </x:c>
      <x:c r="F181" s="68" t="n">
        <x:v>27.6</x:v>
      </x:c>
      <x:c r="G181" s="69" t="n">
        <x:f>IF(COUNT(E181:F181)=2,E181*F181,"")</x:f>
        <x:v>58070.4</x:v>
      </x:c>
    </x:row>
    <x:row r="182">
      <x:c r="A182" s="66" t="n">
        <x:v>3</x:v>
      </x:c>
      <x:c r="B182" s="44" t="str">
        <x:v>Canola/Rapeseed</x:v>
      </x:c>
      <x:c r="C182" s="44" t="str">
        <x:v>DK400TL</x:v>
      </x:c>
      <x:c r="D182" s="66" t="n">
        <x:v>2021</x:v>
      </x:c>
      <x:c r="E182" s="67"/>
      <x:c r="F182" s="68"/>
      <x:c r="G182" s="69" t="str">
        <x:f>IF(COUNT(E182:F182)=2,E182*F182,"")</x:f>
      </x:c>
    </x:row>
    <x:row r="183">
      <x:c r="A183" s="66" t="n">
        <x:v>3</x:v>
      </x:c>
      <x:c r="B183" s="44" t="str">
        <x:v>Canola/Rapeseed</x:v>
      </x:c>
      <x:c r="C183" s="44" t="str">
        <x:v>DK400TL</x:v>
      </x:c>
      <x:c r="D183" s="66" t="n">
        <x:v>2022</x:v>
      </x:c>
      <x:c r="E183" s="67"/>
      <x:c r="F183" s="68"/>
      <x:c r="G183" s="69" t="str">
        <x:f>IF(COUNT(E183:F183)=2,E183*F183,"")</x:f>
      </x:c>
    </x:row>
    <x:row r="184">
      <x:c r="A184" s="66" t="n">
        <x:v>3</x:v>
      </x:c>
      <x:c r="B184" s="44" t="str">
        <x:v>Canola/Rapeseed</x:v>
      </x:c>
      <x:c r="C184" s="44" t="str">
        <x:v>DK400TL</x:v>
      </x:c>
      <x:c r="D184" s="66" t="n">
        <x:v>2023</x:v>
      </x:c>
      <x:c r="E184" s="67"/>
      <x:c r="F184" s="68"/>
      <x:c r="G184" s="69" t="str">
        <x:f>IF(COUNT(E184:F184)=2,E184*F184,"")</x:f>
      </x:c>
    </x:row>
    <x:row r="185">
      <x:c r="A185" s="66" t="n">
        <x:v>3</x:v>
      </x:c>
      <x:c r="B185" s="44" t="str">
        <x:v>Canola/Rapeseed</x:v>
      </x:c>
      <x:c r="C185" s="44" t="str">
        <x:v>DK400TL</x:v>
      </x:c>
      <x:c r="D185" s="66" t="n">
        <x:v>2024</x:v>
      </x:c>
      <x:c r="E185" s="67" t="n">
        <x:v>1405</x:v>
      </x:c>
      <x:c r="F185" s="68" t="n">
        <x:v>1.5</x:v>
      </x:c>
      <x:c r="G185" s="69" t="n">
        <x:f>IF(COUNT(E185:F185)=2,E185*F185,"")</x:f>
        <x:v>2107.5</x:v>
      </x:c>
    </x:row>
    <x:row r="186">
      <x:c r="A186" s="66" t="n">
        <x:v>3</x:v>
      </x:c>
      <x:c r="B186" s="44" t="str">
        <x:v>Canola/Rapeseed</x:v>
      </x:c>
      <x:c r="C186" s="44" t="str">
        <x:v>DK400TL</x:v>
      </x:c>
      <x:c r="D186" s="66" t="n">
        <x:v>2025</x:v>
      </x:c>
      <x:c r="E186" s="67" t="n">
        <x:v>745</x:v>
      </x:c>
      <x:c r="F186" s="68" t="n">
        <x:v>41.5</x:v>
      </x:c>
      <x:c r="G186" s="69" t="n">
        <x:f>IF(COUNT(E186:F186)=2,E186*F186,"")</x:f>
        <x:v>30917.5</x:v>
      </x:c>
    </x:row>
    <x:row r="187">
      <x:c r="A187" s="66" t="n">
        <x:v>3</x:v>
      </x:c>
      <x:c r="B187" s="44" t="str">
        <x:v>Canola/Rapeseed</x:v>
      </x:c>
      <x:c r="C187" s="44" t="str">
        <x:v>L233P</x:v>
      </x:c>
      <x:c r="D187" s="66" t="n">
        <x:v>2021</x:v>
      </x:c>
      <x:c r="E187" s="67" t="n">
        <x:v>24062</x:v>
      </x:c>
      <x:c r="F187" s="68" t="n">
        <x:v>17.6</x:v>
      </x:c>
      <x:c r="G187" s="69" t="n">
        <x:f>IF(COUNT(E187:F187)=2,E187*F187,"")</x:f>
        <x:v>423491.2</x:v>
      </x:c>
    </x:row>
    <x:row r="188">
      <x:c r="A188" s="66" t="n">
        <x:v>3</x:v>
      </x:c>
      <x:c r="B188" s="44" t="str">
        <x:v>Canola/Rapeseed</x:v>
      </x:c>
      <x:c r="C188" s="44" t="str">
        <x:v>L233P</x:v>
      </x:c>
      <x:c r="D188" s="66" t="n">
        <x:v>2022</x:v>
      </x:c>
      <x:c r="E188" s="67" t="n">
        <x:v>33556</x:v>
      </x:c>
      <x:c r="F188" s="68" t="n">
        <x:v>24.7</x:v>
      </x:c>
      <x:c r="G188" s="69" t="n">
        <x:f>IF(COUNT(E188:F188)=2,E188*F188,"")</x:f>
        <x:v>828833.2</x:v>
      </x:c>
    </x:row>
    <x:row r="189">
      <x:c r="A189" s="66" t="n">
        <x:v>3</x:v>
      </x:c>
      <x:c r="B189" s="44" t="str">
        <x:v>Canola/Rapeseed</x:v>
      </x:c>
      <x:c r="C189" s="44" t="str">
        <x:v>L233P</x:v>
      </x:c>
      <x:c r="D189" s="66" t="n">
        <x:v>2023</x:v>
      </x:c>
      <x:c r="E189" s="67" t="n">
        <x:v>19945</x:v>
      </x:c>
      <x:c r="F189" s="68" t="n">
        <x:v>15.6</x:v>
      </x:c>
      <x:c r="G189" s="69" t="n">
        <x:f>IF(COUNT(E189:F189)=2,E189*F189,"")</x:f>
        <x:v>311142</x:v>
      </x:c>
    </x:row>
    <x:row r="190">
      <x:c r="A190" s="66" t="n">
        <x:v>3</x:v>
      </x:c>
      <x:c r="B190" s="44" t="str">
        <x:v>Canola/Rapeseed</x:v>
      </x:c>
      <x:c r="C190" s="44" t="str">
        <x:v>L233P</x:v>
      </x:c>
      <x:c r="D190" s="66" t="n">
        <x:v>2024</x:v>
      </x:c>
      <x:c r="E190" s="67" t="n">
        <x:v>17638</x:v>
      </x:c>
      <x:c r="F190" s="68" t="n">
        <x:v>12.6</x:v>
      </x:c>
      <x:c r="G190" s="69" t="n">
        <x:f>IF(COUNT(E190:F190)=2,E190*F190,"")</x:f>
        <x:v>222238.8</x:v>
      </x:c>
    </x:row>
    <x:row r="191">
      <x:c r="A191" s="66" t="n">
        <x:v>3</x:v>
      </x:c>
      <x:c r="B191" s="44" t="str">
        <x:v>Canola/Rapeseed</x:v>
      </x:c>
      <x:c r="C191" s="44" t="str">
        <x:v>L233P</x:v>
      </x:c>
      <x:c r="D191" s="66" t="n">
        <x:v>2025</x:v>
      </x:c>
      <x:c r="E191" s="67" t="n">
        <x:v>25565</x:v>
      </x:c>
      <x:c r="F191" s="68" t="n">
        <x:v>36.3</x:v>
      </x:c>
      <x:c r="G191" s="69" t="n">
        <x:f>IF(COUNT(E191:F191)=2,E191*F191,"")</x:f>
        <x:v>928009.4999999999</x:v>
      </x:c>
    </x:row>
    <x:row r="192">
      <x:c r="A192" s="66" t="n">
        <x:v>3</x:v>
      </x:c>
      <x:c r="B192" s="44" t="str">
        <x:v>Canola/Rapeseed</x:v>
      </x:c>
      <x:c r="C192" s="44" t="str">
        <x:v>L330PC</x:v>
      </x:c>
      <x:c r="D192" s="66" t="n">
        <x:v>2021</x:v>
      </x:c>
      <x:c r="E192" s="67"/>
      <x:c r="F192" s="68"/>
      <x:c r="G192" s="69" t="str">
        <x:f>IF(COUNT(E192:F192)=2,E192*F192,"")</x:f>
      </x:c>
    </x:row>
    <x:row r="193">
      <x:c r="A193" s="66" t="n">
        <x:v>3</x:v>
      </x:c>
      <x:c r="B193" s="44" t="str">
        <x:v>Canola/Rapeseed</x:v>
      </x:c>
      <x:c r="C193" s="44" t="str">
        <x:v>L330PC</x:v>
      </x:c>
      <x:c r="D193" s="66" t="n">
        <x:v>2022</x:v>
      </x:c>
      <x:c r="E193" s="67"/>
      <x:c r="F193" s="68"/>
      <x:c r="G193" s="69" t="str">
        <x:f>IF(COUNT(E193:F193)=2,E193*F193,"")</x:f>
      </x:c>
    </x:row>
    <x:row r="194">
      <x:c r="A194" s="66" t="n">
        <x:v>3</x:v>
      </x:c>
      <x:c r="B194" s="44" t="str">
        <x:v>Canola/Rapeseed</x:v>
      </x:c>
      <x:c r="C194" s="44" t="str">
        <x:v>L330PC</x:v>
      </x:c>
      <x:c r="D194" s="66" t="n">
        <x:v>2023</x:v>
      </x:c>
      <x:c r="E194" s="67"/>
      <x:c r="F194" s="68"/>
      <x:c r="G194" s="69" t="str">
        <x:f>IF(COUNT(E194:F194)=2,E194*F194,"")</x:f>
      </x:c>
    </x:row>
    <x:row r="195">
      <x:c r="A195" s="66" t="n">
        <x:v>3</x:v>
      </x:c>
      <x:c r="B195" s="44" t="str">
        <x:v>Canola/Rapeseed</x:v>
      </x:c>
      <x:c r="C195" s="44" t="str">
        <x:v>L330PC</x:v>
      </x:c>
      <x:c r="D195" s="66" t="n">
        <x:v>2024</x:v>
      </x:c>
      <x:c r="E195" s="67"/>
      <x:c r="F195" s="68"/>
      <x:c r="G195" s="69" t="str">
        <x:f>IF(COUNT(E195:F195)=2,E195*F195,"")</x:f>
      </x:c>
    </x:row>
    <x:row r="196">
      <x:c r="A196" s="66" t="n">
        <x:v>3</x:v>
      </x:c>
      <x:c r="B196" s="44" t="str">
        <x:v>Canola/Rapeseed</x:v>
      </x:c>
      <x:c r="C196" s="44" t="str">
        <x:v>L330PC</x:v>
      </x:c>
      <x:c r="D196" s="66" t="n">
        <x:v>2025</x:v>
      </x:c>
      <x:c r="E196" s="67" t="n">
        <x:v>932</x:v>
      </x:c>
      <x:c r="F196" s="68" t="n">
        <x:v>38.9</x:v>
      </x:c>
      <x:c r="G196" s="69" t="n">
        <x:f>IF(COUNT(E196:F196)=2,E196*F196,"")</x:f>
        <x:v>36254.799999999996</x:v>
      </x:c>
    </x:row>
    <x:row r="197">
      <x:c r="A197" s="66" t="n">
        <x:v>3</x:v>
      </x:c>
      <x:c r="B197" s="44" t="str">
        <x:v>Canola/Rapeseed</x:v>
      </x:c>
      <x:c r="C197" s="44" t="str">
        <x:v>L333PC</x:v>
      </x:c>
      <x:c r="D197" s="66" t="n">
        <x:v>2021</x:v>
      </x:c>
      <x:c r="E197" s="67"/>
      <x:c r="F197" s="68"/>
      <x:c r="G197" s="69" t="str">
        <x:f>IF(COUNT(E197:F197)=2,E197*F197,"")</x:f>
      </x:c>
    </x:row>
    <x:row r="198">
      <x:c r="A198" s="66" t="n">
        <x:v>3</x:v>
      </x:c>
      <x:c r="B198" s="44" t="str">
        <x:v>Canola/Rapeseed</x:v>
      </x:c>
      <x:c r="C198" s="44" t="str">
        <x:v>L333PC</x:v>
      </x:c>
      <x:c r="D198" s="66" t="n">
        <x:v>2022</x:v>
      </x:c>
      <x:c r="E198" s="67"/>
      <x:c r="F198" s="68"/>
      <x:c r="G198" s="69" t="str">
        <x:f>IF(COUNT(E198:F198)=2,E198*F198,"")</x:f>
      </x:c>
    </x:row>
    <x:row r="199">
      <x:c r="A199" s="66" t="n">
        <x:v>3</x:v>
      </x:c>
      <x:c r="B199" s="44" t="str">
        <x:v>Canola/Rapeseed</x:v>
      </x:c>
      <x:c r="C199" s="44" t="str">
        <x:v>L333PC</x:v>
      </x:c>
      <x:c r="D199" s="66" t="n">
        <x:v>2023</x:v>
      </x:c>
      <x:c r="E199" s="67"/>
      <x:c r="F199" s="68"/>
      <x:c r="G199" s="69" t="str">
        <x:f>IF(COUNT(E199:F199)=2,E199*F199,"")</x:f>
      </x:c>
    </x:row>
    <x:row r="200">
      <x:c r="A200" s="66" t="n">
        <x:v>3</x:v>
      </x:c>
      <x:c r="B200" s="44" t="str">
        <x:v>Canola/Rapeseed</x:v>
      </x:c>
      <x:c r="C200" s="44" t="str">
        <x:v>L333PC</x:v>
      </x:c>
      <x:c r="D200" s="66" t="n">
        <x:v>2024</x:v>
      </x:c>
      <x:c r="E200" s="67"/>
      <x:c r="F200" s="68"/>
      <x:c r="G200" s="69" t="str">
        <x:f>IF(COUNT(E200:F200)=2,E200*F200,"")</x:f>
      </x:c>
    </x:row>
    <x:row r="201">
      <x:c r="A201" s="66" t="n">
        <x:v>3</x:v>
      </x:c>
      <x:c r="B201" s="44" t="str">
        <x:v>Canola/Rapeseed</x:v>
      </x:c>
      <x:c r="C201" s="44" t="str">
        <x:v>L333PC</x:v>
      </x:c>
      <x:c r="D201" s="66" t="n">
        <x:v>2025</x:v>
      </x:c>
      <x:c r="E201" s="67" t="n">
        <x:v>1762</x:v>
      </x:c>
      <x:c r="F201" s="68" t="n">
        <x:v>32.1</x:v>
      </x:c>
      <x:c r="G201" s="69" t="n">
        <x:f>IF(COUNT(E201:F201)=2,E201*F201,"")</x:f>
        <x:v>56560.200000000004</x:v>
      </x:c>
    </x:row>
    <x:row r="202">
      <x:c r="A202" s="66" t="n">
        <x:v>3</x:v>
      </x:c>
      <x:c r="B202" s="44" t="str">
        <x:v>Canola/Rapeseed</x:v>
      </x:c>
      <x:c r="C202" s="44" t="str">
        <x:v>L340PC</x:v>
      </x:c>
      <x:c r="D202" s="66" t="n">
        <x:v>2021</x:v>
      </x:c>
      <x:c r="E202" s="67"/>
      <x:c r="F202" s="68"/>
      <x:c r="G202" s="69" t="str">
        <x:f>IF(COUNT(E202:F202)=2,E202*F202,"")</x:f>
      </x:c>
    </x:row>
    <x:row r="203">
      <x:c r="A203" s="66" t="n">
        <x:v>3</x:v>
      </x:c>
      <x:c r="B203" s="44" t="str">
        <x:v>Canola/Rapeseed</x:v>
      </x:c>
      <x:c r="C203" s="44" t="str">
        <x:v>L340PC</x:v>
      </x:c>
      <x:c r="D203" s="66" t="n">
        <x:v>2022</x:v>
      </x:c>
      <x:c r="E203" s="67" t="n">
        <x:v>15901</x:v>
      </x:c>
      <x:c r="F203" s="68" t="n">
        <x:v>22.4</x:v>
      </x:c>
      <x:c r="G203" s="69" t="n">
        <x:f>IF(COUNT(E203:F203)=2,E203*F203,"")</x:f>
        <x:v>356182.39999999997</x:v>
      </x:c>
    </x:row>
    <x:row r="204">
      <x:c r="A204" s="66" t="n">
        <x:v>3</x:v>
      </x:c>
      <x:c r="B204" s="44" t="str">
        <x:v>Canola/Rapeseed</x:v>
      </x:c>
      <x:c r="C204" s="44" t="str">
        <x:v>L340PC</x:v>
      </x:c>
      <x:c r="D204" s="66" t="n">
        <x:v>2023</x:v>
      </x:c>
      <x:c r="E204" s="67" t="n">
        <x:v>29663</x:v>
      </x:c>
      <x:c r="F204" s="68" t="n">
        <x:v>16.6</x:v>
      </x:c>
      <x:c r="G204" s="69" t="n">
        <x:f>IF(COUNT(E204:F204)=2,E204*F204,"")</x:f>
        <x:v>492405.80000000005</x:v>
      </x:c>
    </x:row>
    <x:row r="205">
      <x:c r="A205" s="66" t="n">
        <x:v>3</x:v>
      </x:c>
      <x:c r="B205" s="44" t="str">
        <x:v>Canola/Rapeseed</x:v>
      </x:c>
      <x:c r="C205" s="44" t="str">
        <x:v>L340PC</x:v>
      </x:c>
      <x:c r="D205" s="66" t="n">
        <x:v>2024</x:v>
      </x:c>
      <x:c r="E205" s="67" t="n">
        <x:v>34943</x:v>
      </x:c>
      <x:c r="F205" s="68" t="n">
        <x:v>14</x:v>
      </x:c>
      <x:c r="G205" s="69" t="n">
        <x:f>IF(COUNT(E205:F205)=2,E205*F205,"")</x:f>
        <x:v>489202</x:v>
      </x:c>
    </x:row>
    <x:row r="206">
      <x:c r="A206" s="66" t="n">
        <x:v>3</x:v>
      </x:c>
      <x:c r="B206" s="44" t="str">
        <x:v>Canola/Rapeseed</x:v>
      </x:c>
      <x:c r="C206" s="44" t="str">
        <x:v>L340PC</x:v>
      </x:c>
      <x:c r="D206" s="66" t="n">
        <x:v>2025</x:v>
      </x:c>
      <x:c r="E206" s="67" t="n">
        <x:v>30486</x:v>
      </x:c>
      <x:c r="F206" s="68" t="n">
        <x:v>40.8</x:v>
      </x:c>
      <x:c r="G206" s="69" t="n">
        <x:f>IF(COUNT(E206:F206)=2,E206*F206,"")</x:f>
        <x:v>1243828.7999999998</x:v>
      </x:c>
    </x:row>
    <x:row r="207">
      <x:c r="A207" s="66" t="n">
        <x:v>3</x:v>
      </x:c>
      <x:c r="B207" s="44" t="str">
        <x:v>Canola/Rapeseed</x:v>
      </x:c>
      <x:c r="C207" s="44" t="str">
        <x:v>L345PC</x:v>
      </x:c>
      <x:c r="D207" s="66" t="n">
        <x:v>2021</x:v>
      </x:c>
      <x:c r="E207" s="67" t="n">
        <x:v>23628</x:v>
      </x:c>
      <x:c r="F207" s="68" t="n">
        <x:v>19</x:v>
      </x:c>
      <x:c r="G207" s="69" t="n">
        <x:f>IF(COUNT(E207:F207)=2,E207*F207,"")</x:f>
        <x:v>448932</x:v>
      </x:c>
    </x:row>
    <x:row r="208">
      <x:c r="A208" s="66" t="n">
        <x:v>3</x:v>
      </x:c>
      <x:c r="B208" s="44" t="str">
        <x:v>Canola/Rapeseed</x:v>
      </x:c>
      <x:c r="C208" s="44" t="str">
        <x:v>L345PC</x:v>
      </x:c>
      <x:c r="D208" s="66" t="n">
        <x:v>2022</x:v>
      </x:c>
      <x:c r="E208" s="67" t="n">
        <x:v>19523</x:v>
      </x:c>
      <x:c r="F208" s="68" t="n">
        <x:v>20.6</x:v>
      </x:c>
      <x:c r="G208" s="69" t="n">
        <x:f>IF(COUNT(E208:F208)=2,E208*F208,"")</x:f>
        <x:v>402173.80000000005</x:v>
      </x:c>
    </x:row>
    <x:row r="209">
      <x:c r="A209" s="66" t="n">
        <x:v>3</x:v>
      </x:c>
      <x:c r="B209" s="44" t="str">
        <x:v>Canola/Rapeseed</x:v>
      </x:c>
      <x:c r="C209" s="44" t="str">
        <x:v>L345PC</x:v>
      </x:c>
      <x:c r="D209" s="66" t="n">
        <x:v>2023</x:v>
      </x:c>
      <x:c r="E209" s="67" t="n">
        <x:v>8622</x:v>
      </x:c>
      <x:c r="F209" s="68" t="n">
        <x:v>17.3</x:v>
      </x:c>
      <x:c r="G209" s="69" t="n">
        <x:f>IF(COUNT(E209:F209)=2,E209*F209,"")</x:f>
        <x:v>149160.6</x:v>
      </x:c>
    </x:row>
    <x:row r="210">
      <x:c r="A210" s="66" t="n">
        <x:v>3</x:v>
      </x:c>
      <x:c r="B210" s="44" t="str">
        <x:v>Canola/Rapeseed</x:v>
      </x:c>
      <x:c r="C210" s="44" t="str">
        <x:v>L345PC</x:v>
      </x:c>
      <x:c r="D210" s="66" t="n">
        <x:v>2024</x:v>
      </x:c>
      <x:c r="E210" s="67" t="n">
        <x:v>8925</x:v>
      </x:c>
      <x:c r="F210" s="68" t="n">
        <x:v>17.1</x:v>
      </x:c>
      <x:c r="G210" s="69" t="n">
        <x:f>IF(COUNT(E210:F210)=2,E210*F210,"")</x:f>
        <x:v>152617.5</x:v>
      </x:c>
    </x:row>
    <x:row r="211">
      <x:c r="A211" s="66" t="n">
        <x:v>3</x:v>
      </x:c>
      <x:c r="B211" s="44" t="str">
        <x:v>Canola/Rapeseed</x:v>
      </x:c>
      <x:c r="C211" s="44" t="str">
        <x:v>L345PC</x:v>
      </x:c>
      <x:c r="D211" s="66" t="n">
        <x:v>2025</x:v>
      </x:c>
      <x:c r="E211" s="67" t="n">
        <x:v>4209</x:v>
      </x:c>
      <x:c r="F211" s="68" t="n">
        <x:v>29.1</x:v>
      </x:c>
      <x:c r="G211" s="69" t="n">
        <x:f>IF(COUNT(E211:F211)=2,E211*F211,"")</x:f>
        <x:v>122481.90000000001</x:v>
      </x:c>
    </x:row>
    <x:row r="212">
      <x:c r="A212" s="66" t="n">
        <x:v>4</x:v>
      </x:c>
      <x:c r="B212" s="44" t="str">
        <x:v>Canola/Rapeseed</x:v>
      </x:c>
      <x:c r="C212" s="44" t="str">
        <x:v>DK 801 LL</x:v>
      </x:c>
      <x:c r="D212" s="66" t="n">
        <x:v>2021</x:v>
      </x:c>
      <x:c r="E212" s="67"/>
      <x:c r="F212" s="68"/>
      <x:c r="G212" s="69" t="str">
        <x:f>IF(COUNT(E212:F212)=2,E212*F212,"")</x:f>
      </x:c>
    </x:row>
    <x:row r="213">
      <x:c r="A213" s="66" t="n">
        <x:v>4</x:v>
      </x:c>
      <x:c r="B213" s="44" t="str">
        <x:v>Canola/Rapeseed</x:v>
      </x:c>
      <x:c r="C213" s="44" t="str">
        <x:v>DK 801 LL</x:v>
      </x:c>
      <x:c r="D213" s="66" t="n">
        <x:v>2022</x:v>
      </x:c>
      <x:c r="E213" s="67"/>
      <x:c r="F213" s="68"/>
      <x:c r="G213" s="69" t="str">
        <x:f>IF(COUNT(E213:F213)=2,E213*F213,"")</x:f>
      </x:c>
    </x:row>
    <x:row r="214">
      <x:c r="A214" s="66" t="n">
        <x:v>4</x:v>
      </x:c>
      <x:c r="B214" s="44" t="str">
        <x:v>Canola/Rapeseed</x:v>
      </x:c>
      <x:c r="C214" s="44" t="str">
        <x:v>DK 801 LL</x:v>
      </x:c>
      <x:c r="D214" s="66" t="n">
        <x:v>2023</x:v>
      </x:c>
      <x:c r="E214" s="67"/>
      <x:c r="F214" s="68"/>
      <x:c r="G214" s="69" t="str">
        <x:f>IF(COUNT(E214:F214)=2,E214*F214,"")</x:f>
      </x:c>
    </x:row>
    <x:row r="215">
      <x:c r="A215" s="66" t="n">
        <x:v>4</x:v>
      </x:c>
      <x:c r="B215" s="44" t="str">
        <x:v>Canola/Rapeseed</x:v>
      </x:c>
      <x:c r="C215" s="44" t="str">
        <x:v>DK 801 LL</x:v>
      </x:c>
      <x:c r="D215" s="66" t="n">
        <x:v>2024</x:v>
      </x:c>
      <x:c r="E215" s="67"/>
      <x:c r="F215" s="68"/>
      <x:c r="G215" s="69" t="str">
        <x:f>IF(COUNT(E215:F215)=2,E215*F215,"")</x:f>
      </x:c>
    </x:row>
    <x:row r="216">
      <x:c r="A216" s="66" t="n">
        <x:v>4</x:v>
      </x:c>
      <x:c r="B216" s="44" t="str">
        <x:v>Canola/Rapeseed</x:v>
      </x:c>
      <x:c r="C216" s="44" t="str">
        <x:v>DK 801 LL</x:v>
      </x:c>
      <x:c r="D216" s="66" t="n">
        <x:v>2025</x:v>
      </x:c>
      <x:c r="E216" s="67" t="n">
        <x:v>2039</x:v>
      </x:c>
      <x:c r="F216" s="68" t="n">
        <x:v>26</x:v>
      </x:c>
      <x:c r="G216" s="69" t="n">
        <x:f>IF(COUNT(E216:F216)=2,E216*F216,"")</x:f>
        <x:v>53014</x:v>
      </x:c>
    </x:row>
    <x:row r="217">
      <x:c r="A217" s="66" t="n">
        <x:v>4</x:v>
      </x:c>
      <x:c r="B217" s="44" t="str">
        <x:v>Canola/Rapeseed</x:v>
      </x:c>
      <x:c r="C217" s="44" t="str">
        <x:v>L230</x:v>
      </x:c>
      <x:c r="D217" s="66" t="n">
        <x:v>2021</x:v>
      </x:c>
      <x:c r="E217" s="67"/>
      <x:c r="F217" s="68"/>
      <x:c r="G217" s="69" t="str">
        <x:f>IF(COUNT(E217:F217)=2,E217*F217,"")</x:f>
      </x:c>
    </x:row>
    <x:row r="218">
      <x:c r="A218" s="66" t="n">
        <x:v>4</x:v>
      </x:c>
      <x:c r="B218" s="44" t="str">
        <x:v>Canola/Rapeseed</x:v>
      </x:c>
      <x:c r="C218" s="44" t="str">
        <x:v>L230</x:v>
      </x:c>
      <x:c r="D218" s="66" t="n">
        <x:v>2022</x:v>
      </x:c>
      <x:c r="E218" s="67"/>
      <x:c r="F218" s="68"/>
      <x:c r="G218" s="69" t="str">
        <x:f>IF(COUNT(E218:F218)=2,E218*F218,"")</x:f>
      </x:c>
    </x:row>
    <x:row r="219">
      <x:c r="A219" s="66" t="n">
        <x:v>4</x:v>
      </x:c>
      <x:c r="B219" s="44" t="str">
        <x:v>Canola/Rapeseed</x:v>
      </x:c>
      <x:c r="C219" s="44" t="str">
        <x:v>L230</x:v>
      </x:c>
      <x:c r="D219" s="66" t="n">
        <x:v>2023</x:v>
      </x:c>
      <x:c r="E219" s="67"/>
      <x:c r="F219" s="68"/>
      <x:c r="G219" s="69" t="str">
        <x:f>IF(COUNT(E219:F219)=2,E219*F219,"")</x:f>
      </x:c>
    </x:row>
    <x:row r="220">
      <x:c r="A220" s="66" t="n">
        <x:v>4</x:v>
      </x:c>
      <x:c r="B220" s="44" t="str">
        <x:v>Canola/Rapeseed</x:v>
      </x:c>
      <x:c r="C220" s="44" t="str">
        <x:v>L230</x:v>
      </x:c>
      <x:c r="D220" s="66" t="n">
        <x:v>2024</x:v>
      </x:c>
      <x:c r="E220" s="67"/>
      <x:c r="F220" s="68"/>
      <x:c r="G220" s="69" t="str">
        <x:f>IF(COUNT(E220:F220)=2,E220*F220,"")</x:f>
      </x:c>
    </x:row>
    <x:row r="221">
      <x:c r="A221" s="66" t="n">
        <x:v>4</x:v>
      </x:c>
      <x:c r="B221" s="44" t="str">
        <x:v>Canola/Rapeseed</x:v>
      </x:c>
      <x:c r="C221" s="44" t="str">
        <x:v>L230</x:v>
      </x:c>
      <x:c r="D221" s="66" t="n">
        <x:v>2025</x:v>
      </x:c>
      <x:c r="E221" s="67" t="n">
        <x:v>1217</x:v>
      </x:c>
      <x:c r="F221" s="68" t="n">
        <x:v>21.8</x:v>
      </x:c>
      <x:c r="G221" s="69" t="n">
        <x:f>IF(COUNT(E221:F221)=2,E221*F221,"")</x:f>
        <x:v>26530.600000000002</x:v>
      </x:c>
    </x:row>
    <x:row r="222">
      <x:c r="A222" s="66" t="n">
        <x:v>4</x:v>
      </x:c>
      <x:c r="B222" s="44" t="str">
        <x:v>Canola/Rapeseed</x:v>
      </x:c>
      <x:c r="C222" s="44" t="str">
        <x:v>L233P</x:v>
      </x:c>
      <x:c r="D222" s="66" t="n">
        <x:v>2021</x:v>
      </x:c>
      <x:c r="E222" s="67" t="n">
        <x:v>11632</x:v>
      </x:c>
      <x:c r="F222" s="68" t="n">
        <x:v>13.2</x:v>
      </x:c>
      <x:c r="G222" s="69" t="n">
        <x:f>IF(COUNT(E222:F222)=2,E222*F222,"")</x:f>
        <x:v>153542.4</x:v>
      </x:c>
    </x:row>
    <x:row r="223">
      <x:c r="A223" s="66" t="n">
        <x:v>4</x:v>
      </x:c>
      <x:c r="B223" s="44" t="str">
        <x:v>Canola/Rapeseed</x:v>
      </x:c>
      <x:c r="C223" s="44" t="str">
        <x:v>L233P</x:v>
      </x:c>
      <x:c r="D223" s="66" t="n">
        <x:v>2022</x:v>
      </x:c>
      <x:c r="E223" s="67" t="n">
        <x:v>5816</x:v>
      </x:c>
      <x:c r="F223" s="68" t="n">
        <x:v>7.7</x:v>
      </x:c>
      <x:c r="G223" s="69" t="n">
        <x:f>IF(COUNT(E223:F223)=2,E223*F223,"")</x:f>
        <x:v>44783.200000000004</x:v>
      </x:c>
    </x:row>
    <x:row r="224">
      <x:c r="A224" s="66" t="n">
        <x:v>4</x:v>
      </x:c>
      <x:c r="B224" s="44" t="str">
        <x:v>Canola/Rapeseed</x:v>
      </x:c>
      <x:c r="C224" s="44" t="str">
        <x:v>L233P</x:v>
      </x:c>
      <x:c r="D224" s="66" t="n">
        <x:v>2023</x:v>
      </x:c>
      <x:c r="E224" s="67" t="n">
        <x:v>4000</x:v>
      </x:c>
      <x:c r="F224" s="68" t="n">
        <x:v>15.2</x:v>
      </x:c>
      <x:c r="G224" s="69" t="n">
        <x:f>IF(COUNT(E224:F224)=2,E224*F224,"")</x:f>
        <x:v>60800</x:v>
      </x:c>
    </x:row>
    <x:row r="225">
      <x:c r="A225" s="66" t="n">
        <x:v>4</x:v>
      </x:c>
      <x:c r="B225" s="44" t="str">
        <x:v>Canola/Rapeseed</x:v>
      </x:c>
      <x:c r="C225" s="44" t="str">
        <x:v>L233P</x:v>
      </x:c>
      <x:c r="D225" s="66" t="n">
        <x:v>2024</x:v>
      </x:c>
      <x:c r="E225" s="67"/>
      <x:c r="F225" s="68"/>
      <x:c r="G225" s="69" t="str">
        <x:f>IF(COUNT(E225:F225)=2,E225*F225,"")</x:f>
      </x:c>
    </x:row>
    <x:row r="226">
      <x:c r="A226" s="66" t="n">
        <x:v>4</x:v>
      </x:c>
      <x:c r="B226" s="44" t="str">
        <x:v>Canola/Rapeseed</x:v>
      </x:c>
      <x:c r="C226" s="44" t="str">
        <x:v>L233P</x:v>
      </x:c>
      <x:c r="D226" s="66" t="n">
        <x:v>2025</x:v>
      </x:c>
      <x:c r="E226" s="67" t="n">
        <x:v>1555</x:v>
      </x:c>
      <x:c r="F226" s="68" t="n">
        <x:v>25.3</x:v>
      </x:c>
      <x:c r="G226" s="69" t="n">
        <x:f>IF(COUNT(E226:F226)=2,E226*F226,"")</x:f>
        <x:v>39341.5</x:v>
      </x:c>
    </x:row>
    <x:row r="227">
      <x:c r="A227" s="66" t="n">
        <x:v>4</x:v>
      </x:c>
      <x:c r="B227" s="44" t="str">
        <x:v>Canola/Rapeseed</x:v>
      </x:c>
      <x:c r="C227" s="44" t="str">
        <x:v>L333PC</x:v>
      </x:c>
      <x:c r="D227" s="66" t="n">
        <x:v>2021</x:v>
      </x:c>
      <x:c r="E227" s="67"/>
      <x:c r="F227" s="68"/>
      <x:c r="G227" s="69" t="str">
        <x:f>IF(COUNT(E227:F227)=2,E227*F227,"")</x:f>
      </x:c>
    </x:row>
    <x:row r="228">
      <x:c r="A228" s="66" t="n">
        <x:v>4</x:v>
      </x:c>
      <x:c r="B228" s="44" t="str">
        <x:v>Canola/Rapeseed</x:v>
      </x:c>
      <x:c r="C228" s="44" t="str">
        <x:v>L333PC</x:v>
      </x:c>
      <x:c r="D228" s="66" t="n">
        <x:v>2022</x:v>
      </x:c>
      <x:c r="E228" s="67"/>
      <x:c r="F228" s="68"/>
      <x:c r="G228" s="69" t="str">
        <x:f>IF(COUNT(E228:F228)=2,E228*F228,"")</x:f>
      </x:c>
    </x:row>
    <x:row r="229">
      <x:c r="A229" s="66" t="n">
        <x:v>4</x:v>
      </x:c>
      <x:c r="B229" s="44" t="str">
        <x:v>Canola/Rapeseed</x:v>
      </x:c>
      <x:c r="C229" s="44" t="str">
        <x:v>L333PC</x:v>
      </x:c>
      <x:c r="D229" s="66" t="n">
        <x:v>2023</x:v>
      </x:c>
      <x:c r="E229" s="67"/>
      <x:c r="F229" s="68"/>
      <x:c r="G229" s="69" t="str">
        <x:f>IF(COUNT(E229:F229)=2,E229*F229,"")</x:f>
      </x:c>
    </x:row>
    <x:row r="230">
      <x:c r="A230" s="66" t="n">
        <x:v>4</x:v>
      </x:c>
      <x:c r="B230" s="44" t="str">
        <x:v>Canola/Rapeseed</x:v>
      </x:c>
      <x:c r="C230" s="44" t="str">
        <x:v>L333PC</x:v>
      </x:c>
      <x:c r="D230" s="66" t="n">
        <x:v>2024</x:v>
      </x:c>
      <x:c r="E230" s="67"/>
      <x:c r="F230" s="68"/>
      <x:c r="G230" s="69" t="str">
        <x:f>IF(COUNT(E230:F230)=2,E230*F230,"")</x:f>
      </x:c>
    </x:row>
    <x:row r="231">
      <x:c r="A231" s="66" t="n">
        <x:v>4</x:v>
      </x:c>
      <x:c r="B231" s="44" t="str">
        <x:v>Canola/Rapeseed</x:v>
      </x:c>
      <x:c r="C231" s="44" t="str">
        <x:v>L333PC</x:v>
      </x:c>
      <x:c r="D231" s="66" t="n">
        <x:v>2025</x:v>
      </x:c>
      <x:c r="E231" s="67" t="n">
        <x:v>469</x:v>
      </x:c>
      <x:c r="F231" s="68" t="n">
        <x:v>39.7</x:v>
      </x:c>
      <x:c r="G231" s="69" t="n">
        <x:f>IF(COUNT(E231:F231)=2,E231*F231,"")</x:f>
        <x:v>18619.300000000003</x:v>
      </x:c>
    </x:row>
    <x:row r="232">
      <x:c r="A232" s="66" t="n">
        <x:v>4</x:v>
      </x:c>
      <x:c r="B232" s="44" t="str">
        <x:v>Canola/Rapeseed</x:v>
      </x:c>
      <x:c r="C232" s="44" t="str">
        <x:v>L340PC</x:v>
      </x:c>
      <x:c r="D232" s="66" t="n">
        <x:v>2021</x:v>
      </x:c>
      <x:c r="E232" s="67"/>
      <x:c r="F232" s="68"/>
      <x:c r="G232" s="69" t="str">
        <x:f>IF(COUNT(E232:F232)=2,E232*F232,"")</x:f>
      </x:c>
    </x:row>
    <x:row r="233">
      <x:c r="A233" s="66" t="n">
        <x:v>4</x:v>
      </x:c>
      <x:c r="B233" s="44" t="str">
        <x:v>Canola/Rapeseed</x:v>
      </x:c>
      <x:c r="C233" s="44" t="str">
        <x:v>L340PC</x:v>
      </x:c>
      <x:c r="D233" s="66" t="n">
        <x:v>2022</x:v>
      </x:c>
      <x:c r="E233" s="67" t="n">
        <x:v>6449</x:v>
      </x:c>
      <x:c r="F233" s="68" t="n">
        <x:v>14.5</x:v>
      </x:c>
      <x:c r="G233" s="69" t="n">
        <x:f>IF(COUNT(E233:F233)=2,E233*F233,"")</x:f>
        <x:v>93510.5</x:v>
      </x:c>
    </x:row>
    <x:row r="234">
      <x:c r="A234" s="66" t="n">
        <x:v>4</x:v>
      </x:c>
      <x:c r="B234" s="44" t="str">
        <x:v>Canola/Rapeseed</x:v>
      </x:c>
      <x:c r="C234" s="44" t="str">
        <x:v>L340PC</x:v>
      </x:c>
      <x:c r="D234" s="66" t="n">
        <x:v>2023</x:v>
      </x:c>
      <x:c r="E234" s="67" t="n">
        <x:v>4161</x:v>
      </x:c>
      <x:c r="F234" s="68" t="n">
        <x:v>13.5</x:v>
      </x:c>
      <x:c r="G234" s="69" t="n">
        <x:f>IF(COUNT(E234:F234)=2,E234*F234,"")</x:f>
        <x:v>56173.5</x:v>
      </x:c>
    </x:row>
    <x:row r="235">
      <x:c r="A235" s="66" t="n">
        <x:v>4</x:v>
      </x:c>
      <x:c r="B235" s="44" t="str">
        <x:v>Canola/Rapeseed</x:v>
      </x:c>
      <x:c r="C235" s="44" t="str">
        <x:v>L340PC</x:v>
      </x:c>
      <x:c r="D235" s="66" t="n">
        <x:v>2024</x:v>
      </x:c>
      <x:c r="E235" s="67" t="n">
        <x:v>13579</x:v>
      </x:c>
      <x:c r="F235" s="68" t="n">
        <x:v>19.5</x:v>
      </x:c>
      <x:c r="G235" s="69" t="n">
        <x:f>IF(COUNT(E235:F235)=2,E235*F235,"")</x:f>
        <x:v>264790.5</x:v>
      </x:c>
    </x:row>
    <x:row r="236">
      <x:c r="A236" s="66" t="n">
        <x:v>4</x:v>
      </x:c>
      <x:c r="B236" s="44" t="str">
        <x:v>Canola/Rapeseed</x:v>
      </x:c>
      <x:c r="C236" s="44" t="str">
        <x:v>L340PC</x:v>
      </x:c>
      <x:c r="D236" s="66" t="n">
        <x:v>2025</x:v>
      </x:c>
      <x:c r="E236" s="67" t="n">
        <x:v>8876</x:v>
      </x:c>
      <x:c r="F236" s="68" t="n">
        <x:v>23</x:v>
      </x:c>
      <x:c r="G236" s="69" t="n">
        <x:f>IF(COUNT(E236:F236)=2,E236*F236,"")</x:f>
        <x:v>204148</x:v>
      </x:c>
    </x:row>
    <x:row r="237">
      <x:c r="A237" s="66" t="n">
        <x:v>5</x:v>
      </x:c>
      <x:c r="B237" s="44" t="str">
        <x:v>Canola/Rapeseed</x:v>
      </x:c>
      <x:c r="C237" s="44" t="str">
        <x:v>BY 6217TF</x:v>
      </x:c>
      <x:c r="D237" s="66" t="n">
        <x:v>2021</x:v>
      </x:c>
      <x:c r="E237" s="67"/>
      <x:c r="F237" s="68"/>
      <x:c r="G237" s="69" t="str">
        <x:f>IF(COUNT(E237:F237)=2,E237*F237,"")</x:f>
      </x:c>
    </x:row>
    <x:row r="238">
      <x:c r="A238" s="66" t="n">
        <x:v>5</x:v>
      </x:c>
      <x:c r="B238" s="44" t="str">
        <x:v>Canola/Rapeseed</x:v>
      </x:c>
      <x:c r="C238" s="44" t="str">
        <x:v>BY 6217TF</x:v>
      </x:c>
      <x:c r="D238" s="66" t="n">
        <x:v>2022</x:v>
      </x:c>
      <x:c r="E238" s="67"/>
      <x:c r="F238" s="68"/>
      <x:c r="G238" s="69" t="str">
        <x:f>IF(COUNT(E238:F238)=2,E238*F238,"")</x:f>
      </x:c>
    </x:row>
    <x:row r="239">
      <x:c r="A239" s="66" t="n">
        <x:v>5</x:v>
      </x:c>
      <x:c r="B239" s="44" t="str">
        <x:v>Canola/Rapeseed</x:v>
      </x:c>
      <x:c r="C239" s="44" t="str">
        <x:v>BY 6217TF</x:v>
      </x:c>
      <x:c r="D239" s="66" t="n">
        <x:v>2023</x:v>
      </x:c>
      <x:c r="E239" s="67" t="n">
        <x:v>602</x:v>
      </x:c>
      <x:c r="F239" s="68" t="n">
        <x:v>43.7</x:v>
      </x:c>
      <x:c r="G239" s="69" t="n">
        <x:f>IF(COUNT(E239:F239)=2,E239*F239,"")</x:f>
        <x:v>26307.4</x:v>
      </x:c>
    </x:row>
    <x:row r="240">
      <x:c r="A240" s="66" t="n">
        <x:v>5</x:v>
      </x:c>
      <x:c r="B240" s="44" t="str">
        <x:v>Canola/Rapeseed</x:v>
      </x:c>
      <x:c r="C240" s="44" t="str">
        <x:v>BY 6217TF</x:v>
      </x:c>
      <x:c r="D240" s="66" t="n">
        <x:v>2024</x:v>
      </x:c>
      <x:c r="E240" s="67" t="n">
        <x:v>1589</x:v>
      </x:c>
      <x:c r="F240" s="68" t="n">
        <x:v>35.4</x:v>
      </x:c>
      <x:c r="G240" s="69" t="n">
        <x:f>IF(COUNT(E240:F240)=2,E240*F240,"")</x:f>
        <x:v>56250.6</x:v>
      </x:c>
    </x:row>
    <x:row r="241">
      <x:c r="A241" s="66" t="n">
        <x:v>5</x:v>
      </x:c>
      <x:c r="B241" s="44" t="str">
        <x:v>Canola/Rapeseed</x:v>
      </x:c>
      <x:c r="C241" s="44" t="str">
        <x:v>BY 6217TF</x:v>
      </x:c>
      <x:c r="D241" s="66" t="n">
        <x:v>2025</x:v>
      </x:c>
      <x:c r="E241" s="67" t="n">
        <x:v>653</x:v>
      </x:c>
      <x:c r="F241" s="68" t="n">
        <x:v>36.6</x:v>
      </x:c>
      <x:c r="G241" s="69" t="n">
        <x:f>IF(COUNT(E241:F241)=2,E241*F241,"")</x:f>
        <x:v>23899.8</x:v>
      </x:c>
    </x:row>
    <x:row r="242">
      <x:c r="A242" s="66" t="n">
        <x:v>5</x:v>
      </x:c>
      <x:c r="B242" s="44" t="str">
        <x:v>Canola/Rapeseed</x:v>
      </x:c>
      <x:c r="C242" s="44" t="str">
        <x:v>BY 7204LL</x:v>
      </x:c>
      <x:c r="D242" s="66" t="n">
        <x:v>2021</x:v>
      </x:c>
      <x:c r="E242" s="67"/>
      <x:c r="F242" s="68"/>
      <x:c r="G242" s="69" t="str">
        <x:f>IF(COUNT(E242:F242)=2,E242*F242,"")</x:f>
      </x:c>
    </x:row>
    <x:row r="243">
      <x:c r="A243" s="66" t="n">
        <x:v>5</x:v>
      </x:c>
      <x:c r="B243" s="44" t="str">
        <x:v>Canola/Rapeseed</x:v>
      </x:c>
      <x:c r="C243" s="44" t="str">
        <x:v>BY 7204LL</x:v>
      </x:c>
      <x:c r="D243" s="66" t="n">
        <x:v>2022</x:v>
      </x:c>
      <x:c r="E243" s="67"/>
      <x:c r="F243" s="68"/>
      <x:c r="G243" s="69" t="str">
        <x:f>IF(COUNT(E243:F243)=2,E243*F243,"")</x:f>
      </x:c>
    </x:row>
    <x:row r="244">
      <x:c r="A244" s="66" t="n">
        <x:v>5</x:v>
      </x:c>
      <x:c r="B244" s="44" t="str">
        <x:v>Canola/Rapeseed</x:v>
      </x:c>
      <x:c r="C244" s="44" t="str">
        <x:v>BY 7204LL</x:v>
      </x:c>
      <x:c r="D244" s="66" t="n">
        <x:v>2023</x:v>
      </x:c>
      <x:c r="E244" s="67"/>
      <x:c r="F244" s="68"/>
      <x:c r="G244" s="69" t="str">
        <x:f>IF(COUNT(E244:F244)=2,E244*F244,"")</x:f>
      </x:c>
    </x:row>
    <x:row r="245">
      <x:c r="A245" s="66" t="n">
        <x:v>5</x:v>
      </x:c>
      <x:c r="B245" s="44" t="str">
        <x:v>Canola/Rapeseed</x:v>
      </x:c>
      <x:c r="C245" s="44" t="str">
        <x:v>BY 7204LL</x:v>
      </x:c>
      <x:c r="D245" s="66" t="n">
        <x:v>2024</x:v>
      </x:c>
      <x:c r="E245" s="67" t="n">
        <x:v>2491</x:v>
      </x:c>
      <x:c r="F245" s="68" t="n">
        <x:v>41</x:v>
      </x:c>
      <x:c r="G245" s="69" t="n">
        <x:f>IF(COUNT(E245:F245)=2,E245*F245,"")</x:f>
        <x:v>102131</x:v>
      </x:c>
    </x:row>
    <x:row r="246">
      <x:c r="A246" s="66" t="n">
        <x:v>5</x:v>
      </x:c>
      <x:c r="B246" s="44" t="str">
        <x:v>Canola/Rapeseed</x:v>
      </x:c>
      <x:c r="C246" s="44" t="str">
        <x:v>BY 7204LL</x:v>
      </x:c>
      <x:c r="D246" s="66" t="n">
        <x:v>2025</x:v>
      </x:c>
      <x:c r="E246" s="67" t="n">
        <x:v>1121</x:v>
      </x:c>
      <x:c r="F246" s="68" t="n">
        <x:v>37</x:v>
      </x:c>
      <x:c r="G246" s="69" t="n">
        <x:f>IF(COUNT(E246:F246)=2,E246*F246,"")</x:f>
        <x:v>41477</x:v>
      </x:c>
    </x:row>
    <x:row r="247">
      <x:c r="A247" s="66" t="n">
        <x:v>5</x:v>
      </x:c>
      <x:c r="B247" s="44" t="str">
        <x:v>Canola/Rapeseed</x:v>
      </x:c>
      <x:c r="C247" s="44" t="str">
        <x:v>CP24L3C</x:v>
      </x:c>
      <x:c r="D247" s="66" t="n">
        <x:v>2021</x:v>
      </x:c>
      <x:c r="E247" s="67"/>
      <x:c r="F247" s="68"/>
      <x:c r="G247" s="69" t="str">
        <x:f>IF(COUNT(E247:F247)=2,E247*F247,"")</x:f>
      </x:c>
    </x:row>
    <x:row r="248">
      <x:c r="A248" s="66" t="n">
        <x:v>5</x:v>
      </x:c>
      <x:c r="B248" s="44" t="str">
        <x:v>Canola/Rapeseed</x:v>
      </x:c>
      <x:c r="C248" s="44" t="str">
        <x:v>CP24L3C</x:v>
      </x:c>
      <x:c r="D248" s="66" t="n">
        <x:v>2022</x:v>
      </x:c>
      <x:c r="E248" s="67"/>
      <x:c r="F248" s="68"/>
      <x:c r="G248" s="69" t="str">
        <x:f>IF(COUNT(E248:F248)=2,E248*F248,"")</x:f>
      </x:c>
    </x:row>
    <x:row r="249">
      <x:c r="A249" s="66" t="n">
        <x:v>5</x:v>
      </x:c>
      <x:c r="B249" s="44" t="str">
        <x:v>Canola/Rapeseed</x:v>
      </x:c>
      <x:c r="C249" s="44" t="str">
        <x:v>CP24L3C</x:v>
      </x:c>
      <x:c r="D249" s="66" t="n">
        <x:v>2023</x:v>
      </x:c>
      <x:c r="E249" s="67"/>
      <x:c r="F249" s="68"/>
      <x:c r="G249" s="69" t="str">
        <x:f>IF(COUNT(E249:F249)=2,E249*F249,"")</x:f>
      </x:c>
    </x:row>
    <x:row r="250">
      <x:c r="A250" s="66" t="n">
        <x:v>5</x:v>
      </x:c>
      <x:c r="B250" s="44" t="str">
        <x:v>Canola/Rapeseed</x:v>
      </x:c>
      <x:c r="C250" s="44" t="str">
        <x:v>CP24L3C</x:v>
      </x:c>
      <x:c r="D250" s="66" t="n">
        <x:v>2024</x:v>
      </x:c>
      <x:c r="E250" s="67"/>
      <x:c r="F250" s="68"/>
      <x:c r="G250" s="69" t="str">
        <x:f>IF(COUNT(E250:F250)=2,E250*F250,"")</x:f>
      </x:c>
    </x:row>
    <x:row r="251">
      <x:c r="A251" s="66" t="n">
        <x:v>5</x:v>
      </x:c>
      <x:c r="B251" s="44" t="str">
        <x:v>Canola/Rapeseed</x:v>
      </x:c>
      <x:c r="C251" s="44" t="str">
        <x:v>CP24L3C</x:v>
      </x:c>
      <x:c r="D251" s="66" t="n">
        <x:v>2025</x:v>
      </x:c>
      <x:c r="E251" s="67" t="n">
        <x:v>585</x:v>
      </x:c>
      <x:c r="F251" s="68" t="n">
        <x:v>38.9</x:v>
      </x:c>
      <x:c r="G251" s="69" t="n">
        <x:f>IF(COUNT(E251:F251)=2,E251*F251,"")</x:f>
        <x:v>22756.5</x:v>
      </x:c>
    </x:row>
    <x:row r="252">
      <x:c r="A252" s="66" t="n">
        <x:v>5</x:v>
      </x:c>
      <x:c r="B252" s="44" t="str">
        <x:v>Canola/Rapeseed</x:v>
      </x:c>
      <x:c r="C252" s="44" t="str">
        <x:v>CS3200 TF</x:v>
      </x:c>
      <x:c r="D252" s="66" t="n">
        <x:v>2021</x:v>
      </x:c>
      <x:c r="E252" s="67"/>
      <x:c r="F252" s="68"/>
      <x:c r="G252" s="69" t="str">
        <x:f>IF(COUNT(E252:F252)=2,E252*F252,"")</x:f>
      </x:c>
    </x:row>
    <x:row r="253">
      <x:c r="A253" s="66" t="n">
        <x:v>5</x:v>
      </x:c>
      <x:c r="B253" s="44" t="str">
        <x:v>Canola/Rapeseed</x:v>
      </x:c>
      <x:c r="C253" s="44" t="str">
        <x:v>CS3200 TF</x:v>
      </x:c>
      <x:c r="D253" s="66" t="n">
        <x:v>2022</x:v>
      </x:c>
      <x:c r="E253" s="67"/>
      <x:c r="F253" s="68"/>
      <x:c r="G253" s="69" t="str">
        <x:f>IF(COUNT(E253:F253)=2,E253*F253,"")</x:f>
      </x:c>
    </x:row>
    <x:row r="254">
      <x:c r="A254" s="66" t="n">
        <x:v>5</x:v>
      </x:c>
      <x:c r="B254" s="44" t="str">
        <x:v>Canola/Rapeseed</x:v>
      </x:c>
      <x:c r="C254" s="44" t="str">
        <x:v>CS3200 TF</x:v>
      </x:c>
      <x:c r="D254" s="66" t="n">
        <x:v>2023</x:v>
      </x:c>
      <x:c r="E254" s="67"/>
      <x:c r="F254" s="68"/>
      <x:c r="G254" s="69" t="str">
        <x:f>IF(COUNT(E254:F254)=2,E254*F254,"")</x:f>
      </x:c>
    </x:row>
    <x:row r="255">
      <x:c r="A255" s="66" t="n">
        <x:v>5</x:v>
      </x:c>
      <x:c r="B255" s="44" t="str">
        <x:v>Canola/Rapeseed</x:v>
      </x:c>
      <x:c r="C255" s="44" t="str">
        <x:v>CS3200 TF</x:v>
      </x:c>
      <x:c r="D255" s="66" t="n">
        <x:v>2024</x:v>
      </x:c>
      <x:c r="E255" s="67"/>
      <x:c r="F255" s="68"/>
      <x:c r="G255" s="69" t="str">
        <x:f>IF(COUNT(E255:F255)=2,E255*F255,"")</x:f>
      </x:c>
    </x:row>
    <x:row r="256">
      <x:c r="A256" s="66" t="n">
        <x:v>5</x:v>
      </x:c>
      <x:c r="B256" s="44" t="str">
        <x:v>Canola/Rapeseed</x:v>
      </x:c>
      <x:c r="C256" s="44" t="str">
        <x:v>CS3200 TF</x:v>
      </x:c>
      <x:c r="D256" s="66" t="n">
        <x:v>2025</x:v>
      </x:c>
      <x:c r="E256" s="67" t="n">
        <x:v>1420</x:v>
      </x:c>
      <x:c r="F256" s="68" t="n">
        <x:v>45.8</x:v>
      </x:c>
      <x:c r="G256" s="69" t="n">
        <x:f>IF(COUNT(E256:F256)=2,E256*F256,"")</x:f>
        <x:v>65035.99999999999</x:v>
      </x:c>
    </x:row>
    <x:row r="257">
      <x:c r="A257" s="66" t="n">
        <x:v>5</x:v>
      </x:c>
      <x:c r="B257" s="44" t="str">
        <x:v>Canola/Rapeseed</x:v>
      </x:c>
      <x:c r="C257" s="44" t="str">
        <x:v>CS4000 LL</x:v>
      </x:c>
      <x:c r="D257" s="66" t="n">
        <x:v>2021</x:v>
      </x:c>
      <x:c r="E257" s="67" t="n">
        <x:v>446</x:v>
      </x:c>
      <x:c r="F257" s="68" t="n">
        <x:v>33.5</x:v>
      </x:c>
      <x:c r="G257" s="69" t="n">
        <x:f>IF(COUNT(E257:F257)=2,E257*F257,"")</x:f>
        <x:v>14941</x:v>
      </x:c>
    </x:row>
    <x:row r="258">
      <x:c r="A258" s="66" t="n">
        <x:v>5</x:v>
      </x:c>
      <x:c r="B258" s="44" t="str">
        <x:v>Canola/Rapeseed</x:v>
      </x:c>
      <x:c r="C258" s="44" t="str">
        <x:v>CS4000 LL</x:v>
      </x:c>
      <x:c r="D258" s="66" t="n">
        <x:v>2022</x:v>
      </x:c>
      <x:c r="E258" s="67" t="n">
        <x:v>2603</x:v>
      </x:c>
      <x:c r="F258" s="68" t="n">
        <x:v>42.1</x:v>
      </x:c>
      <x:c r="G258" s="69" t="n">
        <x:f>IF(COUNT(E258:F258)=2,E258*F258,"")</x:f>
        <x:v>109586.3</x:v>
      </x:c>
    </x:row>
    <x:row r="259">
      <x:c r="A259" s="66" t="n">
        <x:v>5</x:v>
      </x:c>
      <x:c r="B259" s="44" t="str">
        <x:v>Canola/Rapeseed</x:v>
      </x:c>
      <x:c r="C259" s="44" t="str">
        <x:v>CS4000 LL</x:v>
      </x:c>
      <x:c r="D259" s="66" t="n">
        <x:v>2023</x:v>
      </x:c>
      <x:c r="E259" s="67" t="n">
        <x:v>1986</x:v>
      </x:c>
      <x:c r="F259" s="68" t="n">
        <x:v>28</x:v>
      </x:c>
      <x:c r="G259" s="69" t="n">
        <x:f>IF(COUNT(E259:F259)=2,E259*F259,"")</x:f>
        <x:v>55608</x:v>
      </x:c>
    </x:row>
    <x:row r="260">
      <x:c r="A260" s="66" t="n">
        <x:v>5</x:v>
      </x:c>
      <x:c r="B260" s="44" t="str">
        <x:v>Canola/Rapeseed</x:v>
      </x:c>
      <x:c r="C260" s="44" t="str">
        <x:v>CS4000 LL</x:v>
      </x:c>
      <x:c r="D260" s="66" t="n">
        <x:v>2024</x:v>
      </x:c>
      <x:c r="E260" s="67"/>
      <x:c r="F260" s="68"/>
      <x:c r="G260" s="69" t="str">
        <x:f>IF(COUNT(E260:F260)=2,E260*F260,"")</x:f>
      </x:c>
    </x:row>
    <x:row r="261">
      <x:c r="A261" s="66" t="n">
        <x:v>5</x:v>
      </x:c>
      <x:c r="B261" s="44" t="str">
        <x:v>Canola/Rapeseed</x:v>
      </x:c>
      <x:c r="C261" s="44" t="str">
        <x:v>CS4000 LL</x:v>
      </x:c>
      <x:c r="D261" s="66" t="n">
        <x:v>2025</x:v>
      </x:c>
      <x:c r="E261" s="67" t="n">
        <x:v>400</x:v>
      </x:c>
      <x:c r="F261" s="68" t="n">
        <x:v>50.7</x:v>
      </x:c>
      <x:c r="G261" s="69" t="n">
        <x:f>IF(COUNT(E261:F261)=2,E261*F261,"")</x:f>
        <x:v>20280</x:v>
      </x:c>
    </x:row>
    <x:row r="262">
      <x:c r="A262" s="66" t="n">
        <x:v>5</x:v>
      </x:c>
      <x:c r="B262" s="44" t="str">
        <x:v>Canola/Rapeseed</x:v>
      </x:c>
      <x:c r="C262" s="44" t="str">
        <x:v>CS4100 LL</x:v>
      </x:c>
      <x:c r="D262" s="66" t="n">
        <x:v>2021</x:v>
      </x:c>
      <x:c r="E262" s="67"/>
      <x:c r="F262" s="68"/>
      <x:c r="G262" s="69" t="str">
        <x:f>IF(COUNT(E262:F262)=2,E262*F262,"")</x:f>
      </x:c>
    </x:row>
    <x:row r="263">
      <x:c r="A263" s="66" t="n">
        <x:v>5</x:v>
      </x:c>
      <x:c r="B263" s="44" t="str">
        <x:v>Canola/Rapeseed</x:v>
      </x:c>
      <x:c r="C263" s="44" t="str">
        <x:v>CS4100 LL</x:v>
      </x:c>
      <x:c r="D263" s="66" t="n">
        <x:v>2022</x:v>
      </x:c>
      <x:c r="E263" s="67"/>
      <x:c r="F263" s="68"/>
      <x:c r="G263" s="69" t="str">
        <x:f>IF(COUNT(E263:F263)=2,E263*F263,"")</x:f>
      </x:c>
    </x:row>
    <x:row r="264">
      <x:c r="A264" s="66" t="n">
        <x:v>5</x:v>
      </x:c>
      <x:c r="B264" s="44" t="str">
        <x:v>Canola/Rapeseed</x:v>
      </x:c>
      <x:c r="C264" s="44" t="str">
        <x:v>CS4100 LL</x:v>
      </x:c>
      <x:c r="D264" s="66" t="n">
        <x:v>2023</x:v>
      </x:c>
      <x:c r="E264" s="67"/>
      <x:c r="F264" s="68"/>
      <x:c r="G264" s="69" t="str">
        <x:f>IF(COUNT(E264:F264)=2,E264*F264,"")</x:f>
      </x:c>
    </x:row>
    <x:row r="265">
      <x:c r="A265" s="66" t="n">
        <x:v>5</x:v>
      </x:c>
      <x:c r="B265" s="44" t="str">
        <x:v>Canola/Rapeseed</x:v>
      </x:c>
      <x:c r="C265" s="44" t="str">
        <x:v>CS4100 LL</x:v>
      </x:c>
      <x:c r="D265" s="66" t="n">
        <x:v>2024</x:v>
      </x:c>
      <x:c r="E265" s="67"/>
      <x:c r="F265" s="68"/>
      <x:c r="G265" s="69" t="str">
        <x:f>IF(COUNT(E265:F265)=2,E265*F265,"")</x:f>
      </x:c>
    </x:row>
    <x:row r="266">
      <x:c r="A266" s="66" t="n">
        <x:v>5</x:v>
      </x:c>
      <x:c r="B266" s="44" t="str">
        <x:v>Canola/Rapeseed</x:v>
      </x:c>
      <x:c r="C266" s="44" t="str">
        <x:v>CS4100 LL</x:v>
      </x:c>
      <x:c r="D266" s="66" t="n">
        <x:v>2025</x:v>
      </x:c>
      <x:c r="E266" s="67" t="n">
        <x:v>1667</x:v>
      </x:c>
      <x:c r="F266" s="68" t="n">
        <x:v>44.8</x:v>
      </x:c>
      <x:c r="G266" s="69" t="n">
        <x:f>IF(COUNT(E266:F266)=2,E266*F266,"")</x:f>
        <x:v>74681.59999999999</x:v>
      </x:c>
    </x:row>
    <x:row r="267">
      <x:c r="A267" s="66" t="n">
        <x:v>5</x:v>
      </x:c>
      <x:c r="B267" s="44" t="str">
        <x:v>Canola/Rapeseed</x:v>
      </x:c>
      <x:c r="C267" s="44" t="str">
        <x:v>DK400TL</x:v>
      </x:c>
      <x:c r="D267" s="66" t="n">
        <x:v>2021</x:v>
      </x:c>
      <x:c r="E267" s="67"/>
      <x:c r="F267" s="68"/>
      <x:c r="G267" s="69" t="str">
        <x:f>IF(COUNT(E267:F267)=2,E267*F267,"")</x:f>
      </x:c>
    </x:row>
    <x:row r="268">
      <x:c r="A268" s="66" t="n">
        <x:v>5</x:v>
      </x:c>
      <x:c r="B268" s="44" t="str">
        <x:v>Canola/Rapeseed</x:v>
      </x:c>
      <x:c r="C268" s="44" t="str">
        <x:v>DK400TL</x:v>
      </x:c>
      <x:c r="D268" s="66" t="n">
        <x:v>2022</x:v>
      </x:c>
      <x:c r="E268" s="67"/>
      <x:c r="F268" s="68"/>
      <x:c r="G268" s="69" t="str">
        <x:f>IF(COUNT(E268:F268)=2,E268*F268,"")</x:f>
      </x:c>
    </x:row>
    <x:row r="269">
      <x:c r="A269" s="66" t="n">
        <x:v>5</x:v>
      </x:c>
      <x:c r="B269" s="44" t="str">
        <x:v>Canola/Rapeseed</x:v>
      </x:c>
      <x:c r="C269" s="44" t="str">
        <x:v>DK400TL</x:v>
      </x:c>
      <x:c r="D269" s="66" t="n">
        <x:v>2023</x:v>
      </x:c>
      <x:c r="E269" s="67"/>
      <x:c r="F269" s="68"/>
      <x:c r="G269" s="69" t="str">
        <x:f>IF(COUNT(E269:F269)=2,E269*F269,"")</x:f>
      </x:c>
    </x:row>
    <x:row r="270">
      <x:c r="A270" s="66" t="n">
        <x:v>5</x:v>
      </x:c>
      <x:c r="B270" s="44" t="str">
        <x:v>Canola/Rapeseed</x:v>
      </x:c>
      <x:c r="C270" s="44" t="str">
        <x:v>DK400TL</x:v>
      </x:c>
      <x:c r="D270" s="66" t="n">
        <x:v>2024</x:v>
      </x:c>
      <x:c r="E270" s="67" t="n">
        <x:v>7479</x:v>
      </x:c>
      <x:c r="F270" s="68" t="n">
        <x:v>38</x:v>
      </x:c>
      <x:c r="G270" s="69" t="n">
        <x:f>IF(COUNT(E270:F270)=2,E270*F270,"")</x:f>
        <x:v>284202</x:v>
      </x:c>
    </x:row>
    <x:row r="271">
      <x:c r="A271" s="66" t="n">
        <x:v>5</x:v>
      </x:c>
      <x:c r="B271" s="44" t="str">
        <x:v>Canola/Rapeseed</x:v>
      </x:c>
      <x:c r="C271" s="44" t="str">
        <x:v>DK400TL</x:v>
      </x:c>
      <x:c r="D271" s="66" t="n">
        <x:v>2025</x:v>
      </x:c>
      <x:c r="E271" s="67" t="n">
        <x:v>2038</x:v>
      </x:c>
      <x:c r="F271" s="68" t="n">
        <x:v>48.6</x:v>
      </x:c>
      <x:c r="G271" s="69" t="n">
        <x:f>IF(COUNT(E271:F271)=2,E271*F271,"")</x:f>
        <x:v>99046.8</x:v>
      </x:c>
    </x:row>
    <x:row r="272">
      <x:c r="A272" s="66" t="n">
        <x:v>5</x:v>
      </x:c>
      <x:c r="B272" s="44" t="str">
        <x:v>Canola/Rapeseed</x:v>
      </x:c>
      <x:c r="C272" s="44" t="str">
        <x:v>DK401TK</x:v>
      </x:c>
      <x:c r="D272" s="66" t="n">
        <x:v>2021</x:v>
      </x:c>
      <x:c r="E272" s="67"/>
      <x:c r="F272" s="68"/>
      <x:c r="G272" s="69" t="str">
        <x:f>IF(COUNT(E272:F272)=2,E272*F272,"")</x:f>
      </x:c>
    </x:row>
    <x:row r="273">
      <x:c r="A273" s="66" t="n">
        <x:v>5</x:v>
      </x:c>
      <x:c r="B273" s="44" t="str">
        <x:v>Canola/Rapeseed</x:v>
      </x:c>
      <x:c r="C273" s="44" t="str">
        <x:v>DK401TK</x:v>
      </x:c>
      <x:c r="D273" s="66" t="n">
        <x:v>2022</x:v>
      </x:c>
      <x:c r="E273" s="67"/>
      <x:c r="F273" s="68"/>
      <x:c r="G273" s="69" t="str">
        <x:f>IF(COUNT(E273:F273)=2,E273*F273,"")</x:f>
      </x:c>
    </x:row>
    <x:row r="274">
      <x:c r="A274" s="66" t="n">
        <x:v>5</x:v>
      </x:c>
      <x:c r="B274" s="44" t="str">
        <x:v>Canola/Rapeseed</x:v>
      </x:c>
      <x:c r="C274" s="44" t="str">
        <x:v>DK401TK</x:v>
      </x:c>
      <x:c r="D274" s="66" t="n">
        <x:v>2023</x:v>
      </x:c>
      <x:c r="E274" s="67"/>
      <x:c r="F274" s="68"/>
      <x:c r="G274" s="69" t="str">
        <x:f>IF(COUNT(E274:F274)=2,E274*F274,"")</x:f>
      </x:c>
    </x:row>
    <x:row r="275">
      <x:c r="A275" s="66" t="n">
        <x:v>5</x:v>
      </x:c>
      <x:c r="B275" s="44" t="str">
        <x:v>Canola/Rapeseed</x:v>
      </x:c>
      <x:c r="C275" s="44" t="str">
        <x:v>DK401TK</x:v>
      </x:c>
      <x:c r="D275" s="66" t="n">
        <x:v>2024</x:v>
      </x:c>
      <x:c r="E275" s="67"/>
      <x:c r="F275" s="68"/>
      <x:c r="G275" s="69" t="str">
        <x:f>IF(COUNT(E275:F275)=2,E275*F275,"")</x:f>
      </x:c>
    </x:row>
    <x:row r="276">
      <x:c r="A276" s="66" t="n">
        <x:v>5</x:v>
      </x:c>
      <x:c r="B276" s="44" t="str">
        <x:v>Canola/Rapeseed</x:v>
      </x:c>
      <x:c r="C276" s="44" t="str">
        <x:v>DK401TK</x:v>
      </x:c>
      <x:c r="D276" s="66" t="n">
        <x:v>2025</x:v>
      </x:c>
      <x:c r="E276" s="67" t="n">
        <x:v>790</x:v>
      </x:c>
      <x:c r="F276" s="68" t="n">
        <x:v>38.5</x:v>
      </x:c>
      <x:c r="G276" s="69" t="n">
        <x:f>IF(COUNT(E276:F276)=2,E276*F276,"")</x:f>
        <x:v>30415</x:v>
      </x:c>
    </x:row>
    <x:row r="277">
      <x:c r="A277" s="66" t="n">
        <x:v>5</x:v>
      </x:c>
      <x:c r="B277" s="44" t="str">
        <x:v>Canola/Rapeseed</x:v>
      </x:c>
      <x:c r="C277" s="44" t="str">
        <x:v>DK401TL</x:v>
      </x:c>
      <x:c r="D277" s="66" t="n">
        <x:v>2021</x:v>
      </x:c>
      <x:c r="E277" s="67"/>
      <x:c r="F277" s="68"/>
      <x:c r="G277" s="69" t="str">
        <x:f>IF(COUNT(E277:F277)=2,E277*F277,"")</x:f>
      </x:c>
    </x:row>
    <x:row r="278">
      <x:c r="A278" s="66" t="n">
        <x:v>5</x:v>
      </x:c>
      <x:c r="B278" s="44" t="str">
        <x:v>Canola/Rapeseed</x:v>
      </x:c>
      <x:c r="C278" s="44" t="str">
        <x:v>DK401TL</x:v>
      </x:c>
      <x:c r="D278" s="66" t="n">
        <x:v>2022</x:v>
      </x:c>
      <x:c r="E278" s="67"/>
      <x:c r="F278" s="68"/>
      <x:c r="G278" s="69" t="str">
        <x:f>IF(COUNT(E278:F278)=2,E278*F278,"")</x:f>
      </x:c>
    </x:row>
    <x:row r="279">
      <x:c r="A279" s="66" t="n">
        <x:v>5</x:v>
      </x:c>
      <x:c r="B279" s="44" t="str">
        <x:v>Canola/Rapeseed</x:v>
      </x:c>
      <x:c r="C279" s="44" t="str">
        <x:v>DK401TL</x:v>
      </x:c>
      <x:c r="D279" s="66" t="n">
        <x:v>2023</x:v>
      </x:c>
      <x:c r="E279" s="67"/>
      <x:c r="F279" s="68"/>
      <x:c r="G279" s="69" t="str">
        <x:f>IF(COUNT(E279:F279)=2,E279*F279,"")</x:f>
      </x:c>
    </x:row>
    <x:row r="280">
      <x:c r="A280" s="66" t="n">
        <x:v>5</x:v>
      </x:c>
      <x:c r="B280" s="44" t="str">
        <x:v>Canola/Rapeseed</x:v>
      </x:c>
      <x:c r="C280" s="44" t="str">
        <x:v>DK401TL</x:v>
      </x:c>
      <x:c r="D280" s="66" t="n">
        <x:v>2024</x:v>
      </x:c>
      <x:c r="E280" s="67"/>
      <x:c r="F280" s="68"/>
      <x:c r="G280" s="69" t="str">
        <x:f>IF(COUNT(E280:F280)=2,E280*F280,"")</x:f>
      </x:c>
    </x:row>
    <x:row r="281">
      <x:c r="A281" s="66" t="n">
        <x:v>5</x:v>
      </x:c>
      <x:c r="B281" s="44" t="str">
        <x:v>Canola/Rapeseed</x:v>
      </x:c>
      <x:c r="C281" s="44" t="str">
        <x:v>DK401TL</x:v>
      </x:c>
      <x:c r="D281" s="66" t="n">
        <x:v>2025</x:v>
      </x:c>
      <x:c r="E281" s="67" t="n">
        <x:v>1156</x:v>
      </x:c>
      <x:c r="F281" s="68" t="n">
        <x:v>51.7</x:v>
      </x:c>
      <x:c r="G281" s="69" t="n">
        <x:f>IF(COUNT(E281:F281)=2,E281*F281,"")</x:f>
        <x:v>59765.200000000004</x:v>
      </x:c>
    </x:row>
    <x:row r="282">
      <x:c r="A282" s="66" t="n">
        <x:v>5</x:v>
      </x:c>
      <x:c r="B282" s="44" t="str">
        <x:v>Canola/Rapeseed</x:v>
      </x:c>
      <x:c r="C282" s="44" t="str">
        <x:v>DK800LL</x:v>
      </x:c>
      <x:c r="D282" s="66" t="n">
        <x:v>2021</x:v>
      </x:c>
      <x:c r="E282" s="67"/>
      <x:c r="F282" s="68"/>
      <x:c r="G282" s="69" t="str">
        <x:f>IF(COUNT(E282:F282)=2,E282*F282,"")</x:f>
      </x:c>
    </x:row>
    <x:row r="283">
      <x:c r="A283" s="66" t="n">
        <x:v>5</x:v>
      </x:c>
      <x:c r="B283" s="44" t="str">
        <x:v>Canola/Rapeseed</x:v>
      </x:c>
      <x:c r="C283" s="44" t="str">
        <x:v>DK800LL</x:v>
      </x:c>
      <x:c r="D283" s="66" t="n">
        <x:v>2022</x:v>
      </x:c>
      <x:c r="E283" s="67"/>
      <x:c r="F283" s="68"/>
      <x:c r="G283" s="69" t="str">
        <x:f>IF(COUNT(E283:F283)=2,E283*F283,"")</x:f>
      </x:c>
    </x:row>
    <x:row r="284">
      <x:c r="A284" s="66" t="n">
        <x:v>5</x:v>
      </x:c>
      <x:c r="B284" s="44" t="str">
        <x:v>Canola/Rapeseed</x:v>
      </x:c>
      <x:c r="C284" s="44" t="str">
        <x:v>DK800LL</x:v>
      </x:c>
      <x:c r="D284" s="66" t="n">
        <x:v>2023</x:v>
      </x:c>
      <x:c r="E284" s="67"/>
      <x:c r="F284" s="68"/>
      <x:c r="G284" s="69" t="str">
        <x:f>IF(COUNT(E284:F284)=2,E284*F284,"")</x:f>
      </x:c>
    </x:row>
    <x:row r="285">
      <x:c r="A285" s="66" t="n">
        <x:v>5</x:v>
      </x:c>
      <x:c r="B285" s="44" t="str">
        <x:v>Canola/Rapeseed</x:v>
      </x:c>
      <x:c r="C285" s="44" t="str">
        <x:v>DK800LL</x:v>
      </x:c>
      <x:c r="D285" s="66" t="n">
        <x:v>2024</x:v>
      </x:c>
      <x:c r="E285" s="67"/>
      <x:c r="F285" s="68"/>
      <x:c r="G285" s="69" t="str">
        <x:f>IF(COUNT(E285:F285)=2,E285*F285,"")</x:f>
      </x:c>
    </x:row>
    <x:row r="286">
      <x:c r="A286" s="66" t="n">
        <x:v>5</x:v>
      </x:c>
      <x:c r="B286" s="44" t="str">
        <x:v>Canola/Rapeseed</x:v>
      </x:c>
      <x:c r="C286" s="44" t="str">
        <x:v>DK800LL</x:v>
      </x:c>
      <x:c r="D286" s="66" t="n">
        <x:v>2025</x:v>
      </x:c>
      <x:c r="E286" s="67" t="n">
        <x:v>5227</x:v>
      </x:c>
      <x:c r="F286" s="68" t="n">
        <x:v>47.1</x:v>
      </x:c>
      <x:c r="G286" s="69" t="n">
        <x:f>IF(COUNT(E286:F286)=2,E286*F286,"")</x:f>
        <x:v>246191.7</x:v>
      </x:c>
    </x:row>
    <x:row r="287">
      <x:c r="A287" s="66" t="n">
        <x:v>5</x:v>
      </x:c>
      <x:c r="B287" s="44" t="str">
        <x:v>Canola/Rapeseed</x:v>
      </x:c>
      <x:c r="C287" s="44" t="str">
        <x:v>DK801LL</x:v>
      </x:c>
      <x:c r="D287" s="66" t="n">
        <x:v>2021</x:v>
      </x:c>
      <x:c r="E287" s="67"/>
      <x:c r="F287" s="68"/>
      <x:c r="G287" s="69" t="str">
        <x:f>IF(COUNT(E287:F287)=2,E287*F287,"")</x:f>
      </x:c>
    </x:row>
    <x:row r="288">
      <x:c r="A288" s="66" t="n">
        <x:v>5</x:v>
      </x:c>
      <x:c r="B288" s="44" t="str">
        <x:v>Canola/Rapeseed</x:v>
      </x:c>
      <x:c r="C288" s="44" t="str">
        <x:v>DK801LL</x:v>
      </x:c>
      <x:c r="D288" s="66" t="n">
        <x:v>2022</x:v>
      </x:c>
      <x:c r="E288" s="67"/>
      <x:c r="F288" s="68"/>
      <x:c r="G288" s="69" t="str">
        <x:f>IF(COUNT(E288:F288)=2,E288*F288,"")</x:f>
      </x:c>
    </x:row>
    <x:row r="289">
      <x:c r="A289" s="66" t="n">
        <x:v>5</x:v>
      </x:c>
      <x:c r="B289" s="44" t="str">
        <x:v>Canola/Rapeseed</x:v>
      </x:c>
      <x:c r="C289" s="44" t="str">
        <x:v>DK801LL</x:v>
      </x:c>
      <x:c r="D289" s="66" t="n">
        <x:v>2023</x:v>
      </x:c>
      <x:c r="E289" s="67"/>
      <x:c r="F289" s="68"/>
      <x:c r="G289" s="69" t="str">
        <x:f>IF(COUNT(E289:F289)=2,E289*F289,"")</x:f>
      </x:c>
    </x:row>
    <x:row r="290">
      <x:c r="A290" s="66" t="n">
        <x:v>5</x:v>
      </x:c>
      <x:c r="B290" s="44" t="str">
        <x:v>Canola/Rapeseed</x:v>
      </x:c>
      <x:c r="C290" s="44" t="str">
        <x:v>DK801LL</x:v>
      </x:c>
      <x:c r="D290" s="66" t="n">
        <x:v>2024</x:v>
      </x:c>
      <x:c r="E290" s="67"/>
      <x:c r="F290" s="68"/>
      <x:c r="G290" s="69" t="str">
        <x:f>IF(COUNT(E290:F290)=2,E290*F290,"")</x:f>
      </x:c>
    </x:row>
    <x:row r="291">
      <x:c r="A291" s="66" t="n">
        <x:v>5</x:v>
      </x:c>
      <x:c r="B291" s="44" t="str">
        <x:v>Canola/Rapeseed</x:v>
      </x:c>
      <x:c r="C291" s="44" t="str">
        <x:v>DK801LL</x:v>
      </x:c>
      <x:c r="D291" s="66" t="n">
        <x:v>2025</x:v>
      </x:c>
      <x:c r="E291" s="67" t="n">
        <x:v>1084</x:v>
      </x:c>
      <x:c r="F291" s="68" t="n">
        <x:v>46</x:v>
      </x:c>
      <x:c r="G291" s="69" t="n">
        <x:f>IF(COUNT(E291:F291)=2,E291*F291,"")</x:f>
        <x:v>49864</x:v>
      </x:c>
    </x:row>
    <x:row r="292">
      <x:c r="A292" s="66" t="n">
        <x:v>5</x:v>
      </x:c>
      <x:c r="B292" s="44" t="str">
        <x:v>Canola/Rapeseed</x:v>
      </x:c>
      <x:c r="C292" s="44" t="str">
        <x:v>LR354PC</x:v>
      </x:c>
      <x:c r="D292" s="66" t="n">
        <x:v>2021</x:v>
      </x:c>
      <x:c r="E292" s="67"/>
      <x:c r="F292" s="68"/>
      <x:c r="G292" s="69" t="str">
        <x:f>IF(COUNT(E292:F292)=2,E292*F292,"")</x:f>
      </x:c>
    </x:row>
    <x:row r="293">
      <x:c r="A293" s="66" t="n">
        <x:v>5</x:v>
      </x:c>
      <x:c r="B293" s="44" t="str">
        <x:v>Canola/Rapeseed</x:v>
      </x:c>
      <x:c r="C293" s="44" t="str">
        <x:v>LR354PC</x:v>
      </x:c>
      <x:c r="D293" s="66" t="n">
        <x:v>2022</x:v>
      </x:c>
      <x:c r="E293" s="67"/>
      <x:c r="F293" s="68"/>
      <x:c r="G293" s="69" t="str">
        <x:f>IF(COUNT(E293:F293)=2,E293*F293,"")</x:f>
      </x:c>
    </x:row>
    <x:row r="294">
      <x:c r="A294" s="66" t="n">
        <x:v>5</x:v>
      </x:c>
      <x:c r="B294" s="44" t="str">
        <x:v>Canola/Rapeseed</x:v>
      </x:c>
      <x:c r="C294" s="44" t="str">
        <x:v>LR354PC</x:v>
      </x:c>
      <x:c r="D294" s="66" t="n">
        <x:v>2023</x:v>
      </x:c>
      <x:c r="E294" s="67" t="n">
        <x:v>670</x:v>
      </x:c>
      <x:c r="F294" s="68" t="n">
        <x:v>35.9</x:v>
      </x:c>
      <x:c r="G294" s="69" t="n">
        <x:f>IF(COUNT(E294:F294)=2,E294*F294,"")</x:f>
        <x:v>24053</x:v>
      </x:c>
    </x:row>
    <x:row r="295">
      <x:c r="A295" s="66" t="n">
        <x:v>5</x:v>
      </x:c>
      <x:c r="B295" s="44" t="str">
        <x:v>Canola/Rapeseed</x:v>
      </x:c>
      <x:c r="C295" s="44" t="str">
        <x:v>LR354PC</x:v>
      </x:c>
      <x:c r="D295" s="66" t="n">
        <x:v>2024</x:v>
      </x:c>
      <x:c r="E295" s="67" t="n">
        <x:v>881</x:v>
      </x:c>
      <x:c r="F295" s="68" t="n">
        <x:v>29.4</x:v>
      </x:c>
      <x:c r="G295" s="69" t="n">
        <x:f>IF(COUNT(E295:F295)=2,E295*F295,"")</x:f>
        <x:v>25901.399999999998</x:v>
      </x:c>
    </x:row>
    <x:row r="296">
      <x:c r="A296" s="66" t="n">
        <x:v>5</x:v>
      </x:c>
      <x:c r="B296" s="44" t="str">
        <x:v>Canola/Rapeseed</x:v>
      </x:c>
      <x:c r="C296" s="44" t="str">
        <x:v>LR354PC</x:v>
      </x:c>
      <x:c r="D296" s="66" t="n">
        <x:v>2025</x:v>
      </x:c>
      <x:c r="E296" s="67" t="n">
        <x:v>1456</x:v>
      </x:c>
      <x:c r="F296" s="68" t="n">
        <x:v>43.2</x:v>
      </x:c>
      <x:c r="G296" s="69" t="n">
        <x:f>IF(COUNT(E296:F296)=2,E296*F296,"")</x:f>
        <x:v>62899.200000000004</x:v>
      </x:c>
    </x:row>
    <x:row r="297">
      <x:c r="A297" s="66" t="n">
        <x:v>5</x:v>
      </x:c>
      <x:c r="B297" s="44" t="str">
        <x:v>Canola/Rapeseed</x:v>
      </x:c>
      <x:c r="C297" s="44" t="str">
        <x:v>L233P</x:v>
      </x:c>
      <x:c r="D297" s="66" t="n">
        <x:v>2021</x:v>
      </x:c>
      <x:c r="E297" s="67" t="n">
        <x:v>73717</x:v>
      </x:c>
      <x:c r="F297" s="68" t="n">
        <x:v>32.6</x:v>
      </x:c>
      <x:c r="G297" s="69" t="n">
        <x:f>IF(COUNT(E297:F297)=2,E297*F297,"")</x:f>
        <x:v>2403174.2</x:v>
      </x:c>
    </x:row>
    <x:row r="298">
      <x:c r="A298" s="66" t="n">
        <x:v>5</x:v>
      </x:c>
      <x:c r="B298" s="44" t="str">
        <x:v>Canola/Rapeseed</x:v>
      </x:c>
      <x:c r="C298" s="44" t="str">
        <x:v>L233P</x:v>
      </x:c>
      <x:c r="D298" s="66" t="n">
        <x:v>2022</x:v>
      </x:c>
      <x:c r="E298" s="67" t="n">
        <x:v>45033</x:v>
      </x:c>
      <x:c r="F298" s="68" t="n">
        <x:v>39.7</x:v>
      </x:c>
      <x:c r="G298" s="69" t="n">
        <x:f>IF(COUNT(E298:F298)=2,E298*F298,"")</x:f>
        <x:v>1787810.1</x:v>
      </x:c>
    </x:row>
    <x:row r="299">
      <x:c r="A299" s="66" t="n">
        <x:v>5</x:v>
      </x:c>
      <x:c r="B299" s="44" t="str">
        <x:v>Canola/Rapeseed</x:v>
      </x:c>
      <x:c r="C299" s="44" t="str">
        <x:v>L233P</x:v>
      </x:c>
      <x:c r="D299" s="66" t="n">
        <x:v>2023</x:v>
      </x:c>
      <x:c r="E299" s="67" t="n">
        <x:v>41235</x:v>
      </x:c>
      <x:c r="F299" s="68" t="n">
        <x:v>34.3</x:v>
      </x:c>
      <x:c r="G299" s="69" t="n">
        <x:f>IF(COUNT(E299:F299)=2,E299*F299,"")</x:f>
        <x:v>1414360.4999999998</x:v>
      </x:c>
    </x:row>
    <x:row r="300">
      <x:c r="A300" s="66" t="n">
        <x:v>5</x:v>
      </x:c>
      <x:c r="B300" s="44" t="str">
        <x:v>Canola/Rapeseed</x:v>
      </x:c>
      <x:c r="C300" s="44" t="str">
        <x:v>L233P</x:v>
      </x:c>
      <x:c r="D300" s="66" t="n">
        <x:v>2024</x:v>
      </x:c>
      <x:c r="E300" s="67" t="n">
        <x:v>20518</x:v>
      </x:c>
      <x:c r="F300" s="68" t="n">
        <x:v>36.1</x:v>
      </x:c>
      <x:c r="G300" s="69" t="n">
        <x:f>IF(COUNT(E300:F300)=2,E300*F300,"")</x:f>
        <x:v>740699.8</x:v>
      </x:c>
    </x:row>
    <x:row r="301">
      <x:c r="A301" s="66" t="n">
        <x:v>5</x:v>
      </x:c>
      <x:c r="B301" s="44" t="str">
        <x:v>Canola/Rapeseed</x:v>
      </x:c>
      <x:c r="C301" s="44" t="str">
        <x:v>L233P</x:v>
      </x:c>
      <x:c r="D301" s="66" t="n">
        <x:v>2025</x:v>
      </x:c>
      <x:c r="E301" s="67" t="n">
        <x:v>8107</x:v>
      </x:c>
      <x:c r="F301" s="68" t="n">
        <x:v>51.2</x:v>
      </x:c>
      <x:c r="G301" s="69" t="n">
        <x:f>IF(COUNT(E301:F301)=2,E301*F301,"")</x:f>
        <x:v>415078.4</x:v>
      </x:c>
    </x:row>
    <x:row r="302">
      <x:c r="A302" s="66" t="n">
        <x:v>5</x:v>
      </x:c>
      <x:c r="B302" s="44" t="str">
        <x:v>Canola/Rapeseed</x:v>
      </x:c>
      <x:c r="C302" s="44" t="str">
        <x:v>L234PC</x:v>
      </x:c>
      <x:c r="D302" s="66" t="n">
        <x:v>2021</x:v>
      </x:c>
      <x:c r="E302" s="67"/>
      <x:c r="F302" s="68"/>
      <x:c r="G302" s="69" t="str">
        <x:f>IF(COUNT(E302:F302)=2,E302*F302,"")</x:f>
      </x:c>
    </x:row>
    <x:row r="303">
      <x:c r="A303" s="66" t="n">
        <x:v>5</x:v>
      </x:c>
      <x:c r="B303" s="44" t="str">
        <x:v>Canola/Rapeseed</x:v>
      </x:c>
      <x:c r="C303" s="44" t="str">
        <x:v>L234PC</x:v>
      </x:c>
      <x:c r="D303" s="66" t="n">
        <x:v>2022</x:v>
      </x:c>
      <x:c r="E303" s="67" t="n">
        <x:v>1382</x:v>
      </x:c>
      <x:c r="F303" s="68" t="n">
        <x:v>31</x:v>
      </x:c>
      <x:c r="G303" s="69" t="n">
        <x:f>IF(COUNT(E303:F303)=2,E303*F303,"")</x:f>
        <x:v>42842</x:v>
      </x:c>
    </x:row>
    <x:row r="304">
      <x:c r="A304" s="66" t="n">
        <x:v>5</x:v>
      </x:c>
      <x:c r="B304" s="44" t="str">
        <x:v>Canola/Rapeseed</x:v>
      </x:c>
      <x:c r="C304" s="44" t="str">
        <x:v>L234PC</x:v>
      </x:c>
      <x:c r="D304" s="66" t="n">
        <x:v>2023</x:v>
      </x:c>
      <x:c r="E304" s="67"/>
      <x:c r="F304" s="68"/>
      <x:c r="G304" s="69" t="str">
        <x:f>IF(COUNT(E304:F304)=2,E304*F304,"")</x:f>
      </x:c>
    </x:row>
    <x:row r="305">
      <x:c r="A305" s="66" t="n">
        <x:v>5</x:v>
      </x:c>
      <x:c r="B305" s="44" t="str">
        <x:v>Canola/Rapeseed</x:v>
      </x:c>
      <x:c r="C305" s="44" t="str">
        <x:v>L234PC</x:v>
      </x:c>
      <x:c r="D305" s="66" t="n">
        <x:v>2024</x:v>
      </x:c>
      <x:c r="E305" s="67"/>
      <x:c r="F305" s="68"/>
      <x:c r="G305" s="69" t="str">
        <x:f>IF(COUNT(E305:F305)=2,E305*F305,"")</x:f>
      </x:c>
    </x:row>
    <x:row r="306">
      <x:c r="A306" s="66" t="n">
        <x:v>5</x:v>
      </x:c>
      <x:c r="B306" s="44" t="str">
        <x:v>Canola/Rapeseed</x:v>
      </x:c>
      <x:c r="C306" s="44" t="str">
        <x:v>L234PC</x:v>
      </x:c>
      <x:c r="D306" s="66" t="n">
        <x:v>2025</x:v>
      </x:c>
      <x:c r="E306" s="67" t="n">
        <x:v>1060</x:v>
      </x:c>
      <x:c r="F306" s="68" t="n">
        <x:v>44.8</x:v>
      </x:c>
      <x:c r="G306" s="69" t="n">
        <x:f>IF(COUNT(E306:F306)=2,E306*F306,"")</x:f>
        <x:v>47488</x:v>
      </x:c>
    </x:row>
    <x:row r="307">
      <x:c r="A307" s="66" t="n">
        <x:v>5</x:v>
      </x:c>
      <x:c r="B307" s="44" t="str">
        <x:v>Canola/Rapeseed</x:v>
      </x:c>
      <x:c r="C307" s="44" t="str">
        <x:v>L330PC</x:v>
      </x:c>
      <x:c r="D307" s="66" t="n">
        <x:v>2021</x:v>
      </x:c>
      <x:c r="E307" s="67"/>
      <x:c r="F307" s="68"/>
      <x:c r="G307" s="69" t="str">
        <x:f>IF(COUNT(E307:F307)=2,E307*F307,"")</x:f>
      </x:c>
    </x:row>
    <x:row r="308">
      <x:c r="A308" s="66" t="n">
        <x:v>5</x:v>
      </x:c>
      <x:c r="B308" s="44" t="str">
        <x:v>Canola/Rapeseed</x:v>
      </x:c>
      <x:c r="C308" s="44" t="str">
        <x:v>L330PC</x:v>
      </x:c>
      <x:c r="D308" s="66" t="n">
        <x:v>2022</x:v>
      </x:c>
      <x:c r="E308" s="67"/>
      <x:c r="F308" s="68"/>
      <x:c r="G308" s="69" t="str">
        <x:f>IF(COUNT(E308:F308)=2,E308*F308,"")</x:f>
      </x:c>
    </x:row>
    <x:row r="309">
      <x:c r="A309" s="66" t="n">
        <x:v>5</x:v>
      </x:c>
      <x:c r="B309" s="44" t="str">
        <x:v>Canola/Rapeseed</x:v>
      </x:c>
      <x:c r="C309" s="44" t="str">
        <x:v>L330PC</x:v>
      </x:c>
      <x:c r="D309" s="66" t="n">
        <x:v>2023</x:v>
      </x:c>
      <x:c r="E309" s="67"/>
      <x:c r="F309" s="68"/>
      <x:c r="G309" s="69" t="str">
        <x:f>IF(COUNT(E309:F309)=2,E309*F309,"")</x:f>
      </x:c>
    </x:row>
    <x:row r="310">
      <x:c r="A310" s="66" t="n">
        <x:v>5</x:v>
      </x:c>
      <x:c r="B310" s="44" t="str">
        <x:v>Canola/Rapeseed</x:v>
      </x:c>
      <x:c r="C310" s="44" t="str">
        <x:v>L330PC</x:v>
      </x:c>
      <x:c r="D310" s="66" t="n">
        <x:v>2024</x:v>
      </x:c>
      <x:c r="E310" s="67"/>
      <x:c r="F310" s="68"/>
      <x:c r="G310" s="69" t="str">
        <x:f>IF(COUNT(E310:F310)=2,E310*F310,"")</x:f>
      </x:c>
    </x:row>
    <x:row r="311">
      <x:c r="A311" s="66" t="n">
        <x:v>5</x:v>
      </x:c>
      <x:c r="B311" s="44" t="str">
        <x:v>Canola/Rapeseed</x:v>
      </x:c>
      <x:c r="C311" s="44" t="str">
        <x:v>L330PC</x:v>
      </x:c>
      <x:c r="D311" s="66" t="n">
        <x:v>2025</x:v>
      </x:c>
      <x:c r="E311" s="67" t="n">
        <x:v>10919</x:v>
      </x:c>
      <x:c r="F311" s="68" t="n">
        <x:v>50.7</x:v>
      </x:c>
      <x:c r="G311" s="69" t="n">
        <x:f>IF(COUNT(E311:F311)=2,E311*F311,"")</x:f>
        <x:v>553593.3</x:v>
      </x:c>
    </x:row>
    <x:row r="312">
      <x:c r="A312" s="66" t="n">
        <x:v>5</x:v>
      </x:c>
      <x:c r="B312" s="44" t="str">
        <x:v>Canola/Rapeseed</x:v>
      </x:c>
      <x:c r="C312" s="44" t="str">
        <x:v>L333PC</x:v>
      </x:c>
      <x:c r="D312" s="66" t="n">
        <x:v>2021</x:v>
      </x:c>
      <x:c r="E312" s="67"/>
      <x:c r="F312" s="68"/>
      <x:c r="G312" s="69" t="str">
        <x:f>IF(COUNT(E312:F312)=2,E312*F312,"")</x:f>
      </x:c>
    </x:row>
    <x:row r="313">
      <x:c r="A313" s="66" t="n">
        <x:v>5</x:v>
      </x:c>
      <x:c r="B313" s="44" t="str">
        <x:v>Canola/Rapeseed</x:v>
      </x:c>
      <x:c r="C313" s="44" t="str">
        <x:v>L333PC</x:v>
      </x:c>
      <x:c r="D313" s="66" t="n">
        <x:v>2022</x:v>
      </x:c>
      <x:c r="E313" s="67"/>
      <x:c r="F313" s="68"/>
      <x:c r="G313" s="69" t="str">
        <x:f>IF(COUNT(E313:F313)=2,E313*F313,"")</x:f>
      </x:c>
    </x:row>
    <x:row r="314">
      <x:c r="A314" s="66" t="n">
        <x:v>5</x:v>
      </x:c>
      <x:c r="B314" s="44" t="str">
        <x:v>Canola/Rapeseed</x:v>
      </x:c>
      <x:c r="C314" s="44" t="str">
        <x:v>L333PC</x:v>
      </x:c>
      <x:c r="D314" s="66" t="n">
        <x:v>2023</x:v>
      </x:c>
      <x:c r="E314" s="67"/>
      <x:c r="F314" s="68"/>
      <x:c r="G314" s="69" t="str">
        <x:f>IF(COUNT(E314:F314)=2,E314*F314,"")</x:f>
      </x:c>
    </x:row>
    <x:row r="315">
      <x:c r="A315" s="66" t="n">
        <x:v>5</x:v>
      </x:c>
      <x:c r="B315" s="44" t="str">
        <x:v>Canola/Rapeseed</x:v>
      </x:c>
      <x:c r="C315" s="44" t="str">
        <x:v>L333PC</x:v>
      </x:c>
      <x:c r="D315" s="66" t="n">
        <x:v>2024</x:v>
      </x:c>
      <x:c r="E315" s="67"/>
      <x:c r="F315" s="68"/>
      <x:c r="G315" s="69" t="str">
        <x:f>IF(COUNT(E315:F315)=2,E315*F315,"")</x:f>
      </x:c>
    </x:row>
    <x:row r="316">
      <x:c r="A316" s="66" t="n">
        <x:v>5</x:v>
      </x:c>
      <x:c r="B316" s="44" t="str">
        <x:v>Canola/Rapeseed</x:v>
      </x:c>
      <x:c r="C316" s="44" t="str">
        <x:v>L333PC</x:v>
      </x:c>
      <x:c r="D316" s="66" t="n">
        <x:v>2025</x:v>
      </x:c>
      <x:c r="E316" s="67" t="n">
        <x:v>9677</x:v>
      </x:c>
      <x:c r="F316" s="68" t="n">
        <x:v>51.3</x:v>
      </x:c>
      <x:c r="G316" s="69" t="n">
        <x:f>IF(COUNT(E316:F316)=2,E316*F316,"")</x:f>
        <x:v>496430.1</x:v>
      </x:c>
    </x:row>
    <x:row r="317">
      <x:c r="A317" s="66" t="n">
        <x:v>5</x:v>
      </x:c>
      <x:c r="B317" s="44" t="str">
        <x:v>Canola/Rapeseed</x:v>
      </x:c>
      <x:c r="C317" s="44" t="str">
        <x:v>L340PC</x:v>
      </x:c>
      <x:c r="D317" s="66" t="n">
        <x:v>2021</x:v>
      </x:c>
      <x:c r="E317" s="67" t="n">
        <x:v>16395</x:v>
      </x:c>
      <x:c r="F317" s="68" t="n">
        <x:v>34.4</x:v>
      </x:c>
      <x:c r="G317" s="69" t="n">
        <x:f>IF(COUNT(E317:F317)=2,E317*F317,"")</x:f>
        <x:v>563988</x:v>
      </x:c>
    </x:row>
    <x:row r="318">
      <x:c r="A318" s="66" t="n">
        <x:v>5</x:v>
      </x:c>
      <x:c r="B318" s="44" t="str">
        <x:v>Canola/Rapeseed</x:v>
      </x:c>
      <x:c r="C318" s="44" t="str">
        <x:v>L340PC</x:v>
      </x:c>
      <x:c r="D318" s="66" t="n">
        <x:v>2022</x:v>
      </x:c>
      <x:c r="E318" s="67" t="n">
        <x:v>66078</x:v>
      </x:c>
      <x:c r="F318" s="68" t="n">
        <x:v>44.3</x:v>
      </x:c>
      <x:c r="G318" s="69" t="n">
        <x:f>IF(COUNT(E318:F318)=2,E318*F318,"")</x:f>
        <x:v>2927255.4</x:v>
      </x:c>
    </x:row>
    <x:row r="319">
      <x:c r="A319" s="66" t="n">
        <x:v>5</x:v>
      </x:c>
      <x:c r="B319" s="44" t="str">
        <x:v>Canola/Rapeseed</x:v>
      </x:c>
      <x:c r="C319" s="44" t="str">
        <x:v>L340PC</x:v>
      </x:c>
      <x:c r="D319" s="66" t="n">
        <x:v>2023</x:v>
      </x:c>
      <x:c r="E319" s="67" t="n">
        <x:v>72099</x:v>
      </x:c>
      <x:c r="F319" s="68" t="n">
        <x:v>40.1</x:v>
      </x:c>
      <x:c r="G319" s="69" t="n">
        <x:f>IF(COUNT(E319:F319)=2,E319*F319,"")</x:f>
        <x:v>2891169.9</x:v>
      </x:c>
    </x:row>
    <x:row r="320">
      <x:c r="A320" s="66" t="n">
        <x:v>5</x:v>
      </x:c>
      <x:c r="B320" s="44" t="str">
        <x:v>Canola/Rapeseed</x:v>
      </x:c>
      <x:c r="C320" s="44" t="str">
        <x:v>L340PC</x:v>
      </x:c>
      <x:c r="D320" s="66" t="n">
        <x:v>2024</x:v>
      </x:c>
      <x:c r="E320" s="67" t="n">
        <x:v>98754</x:v>
      </x:c>
      <x:c r="F320" s="68" t="n">
        <x:v>37.8</x:v>
      </x:c>
      <x:c r="G320" s="69" t="n">
        <x:f>IF(COUNT(E320:F320)=2,E320*F320,"")</x:f>
        <x:v>3732901.1999999997</x:v>
      </x:c>
    </x:row>
    <x:row r="321">
      <x:c r="A321" s="66" t="n">
        <x:v>5</x:v>
      </x:c>
      <x:c r="B321" s="44" t="str">
        <x:v>Canola/Rapeseed</x:v>
      </x:c>
      <x:c r="C321" s="44" t="str">
        <x:v>L340PC</x:v>
      </x:c>
      <x:c r="D321" s="66" t="n">
        <x:v>2025</x:v>
      </x:c>
      <x:c r="E321" s="67" t="n">
        <x:v>126174</x:v>
      </x:c>
      <x:c r="F321" s="68" t="n">
        <x:v>49.6</x:v>
      </x:c>
      <x:c r="G321" s="69" t="n">
        <x:f>IF(COUNT(E321:F321)=2,E321*F321,"")</x:f>
        <x:v>6258230.4</x:v>
      </x:c>
    </x:row>
    <x:row r="322">
      <x:c r="A322" s="66" t="n">
        <x:v>5</x:v>
      </x:c>
      <x:c r="B322" s="44" t="str">
        <x:v>Canola/Rapeseed</x:v>
      </x:c>
      <x:c r="C322" s="44" t="str">
        <x:v>L343PC</x:v>
      </x:c>
      <x:c r="D322" s="66" t="n">
        <x:v>2021</x:v>
      </x:c>
      <x:c r="E322" s="67"/>
      <x:c r="F322" s="68"/>
      <x:c r="G322" s="69" t="str">
        <x:f>IF(COUNT(E322:F322)=2,E322*F322,"")</x:f>
      </x:c>
    </x:row>
    <x:row r="323">
      <x:c r="A323" s="66" t="n">
        <x:v>5</x:v>
      </x:c>
      <x:c r="B323" s="44" t="str">
        <x:v>Canola/Rapeseed</x:v>
      </x:c>
      <x:c r="C323" s="44" t="str">
        <x:v>L343PC</x:v>
      </x:c>
      <x:c r="D323" s="66" t="n">
        <x:v>2022</x:v>
      </x:c>
      <x:c r="E323" s="67" t="n">
        <x:v>2091</x:v>
      </x:c>
      <x:c r="F323" s="68" t="n">
        <x:v>41</x:v>
      </x:c>
      <x:c r="G323" s="69" t="n">
        <x:f>IF(COUNT(E323:F323)=2,E323*F323,"")</x:f>
        <x:v>85731</x:v>
      </x:c>
    </x:row>
    <x:row r="324">
      <x:c r="A324" s="66" t="n">
        <x:v>5</x:v>
      </x:c>
      <x:c r="B324" s="44" t="str">
        <x:v>Canola/Rapeseed</x:v>
      </x:c>
      <x:c r="C324" s="44" t="str">
        <x:v>L343PC</x:v>
      </x:c>
      <x:c r="D324" s="66" t="n">
        <x:v>2023</x:v>
      </x:c>
      <x:c r="E324" s="67" t="n">
        <x:v>4282</x:v>
      </x:c>
      <x:c r="F324" s="68" t="n">
        <x:v>40.9</x:v>
      </x:c>
      <x:c r="G324" s="69" t="n">
        <x:f>IF(COUNT(E324:F324)=2,E324*F324,"")</x:f>
        <x:v>175133.8</x:v>
      </x:c>
    </x:row>
    <x:row r="325">
      <x:c r="A325" s="66" t="n">
        <x:v>5</x:v>
      </x:c>
      <x:c r="B325" s="44" t="str">
        <x:v>Canola/Rapeseed</x:v>
      </x:c>
      <x:c r="C325" s="44" t="str">
        <x:v>L343PC</x:v>
      </x:c>
      <x:c r="D325" s="66" t="n">
        <x:v>2024</x:v>
      </x:c>
      <x:c r="E325" s="67" t="n">
        <x:v>2244</x:v>
      </x:c>
      <x:c r="F325" s="68" t="n">
        <x:v>36.8</x:v>
      </x:c>
      <x:c r="G325" s="69" t="n">
        <x:f>IF(COUNT(E325:F325)=2,E325*F325,"")</x:f>
        <x:v>82579.2</x:v>
      </x:c>
    </x:row>
    <x:row r="326">
      <x:c r="A326" s="66" t="n">
        <x:v>5</x:v>
      </x:c>
      <x:c r="B326" s="44" t="str">
        <x:v>Canola/Rapeseed</x:v>
      </x:c>
      <x:c r="C326" s="44" t="str">
        <x:v>L343PC</x:v>
      </x:c>
      <x:c r="D326" s="66" t="n">
        <x:v>2025</x:v>
      </x:c>
      <x:c r="E326" s="67" t="n">
        <x:v>1818</x:v>
      </x:c>
      <x:c r="F326" s="68" t="n">
        <x:v>46.3</x:v>
      </x:c>
      <x:c r="G326" s="69" t="n">
        <x:f>IF(COUNT(E326:F326)=2,E326*F326,"")</x:f>
        <x:v>84173.4</x:v>
      </x:c>
    </x:row>
    <x:row r="327">
      <x:c r="A327" s="66" t="n">
        <x:v>5</x:v>
      </x:c>
      <x:c r="B327" s="44" t="str">
        <x:v>Canola/Rapeseed</x:v>
      </x:c>
      <x:c r="C327" s="44" t="str">
        <x:v>L345PC</x:v>
      </x:c>
      <x:c r="D327" s="66" t="n">
        <x:v>2021</x:v>
      </x:c>
      <x:c r="E327" s="67" t="n">
        <x:v>24802</x:v>
      </x:c>
      <x:c r="F327" s="68" t="n">
        <x:v>31.3</x:v>
      </x:c>
      <x:c r="G327" s="69" t="n">
        <x:f>IF(COUNT(E327:F327)=2,E327*F327,"")</x:f>
        <x:v>776302.6</x:v>
      </x:c>
    </x:row>
    <x:row r="328">
      <x:c r="A328" s="66" t="n">
        <x:v>5</x:v>
      </x:c>
      <x:c r="B328" s="44" t="str">
        <x:v>Canola/Rapeseed</x:v>
      </x:c>
      <x:c r="C328" s="44" t="str">
        <x:v>L345PC</x:v>
      </x:c>
      <x:c r="D328" s="66" t="n">
        <x:v>2022</x:v>
      </x:c>
      <x:c r="E328" s="67" t="n">
        <x:v>23580</x:v>
      </x:c>
      <x:c r="F328" s="68" t="n">
        <x:v>40.9</x:v>
      </x:c>
      <x:c r="G328" s="69" t="n">
        <x:f>IF(COUNT(E328:F328)=2,E328*F328,"")</x:f>
        <x:v>964422</x:v>
      </x:c>
    </x:row>
    <x:row r="329">
      <x:c r="A329" s="66" t="n">
        <x:v>5</x:v>
      </x:c>
      <x:c r="B329" s="44" t="str">
        <x:v>Canola/Rapeseed</x:v>
      </x:c>
      <x:c r="C329" s="44" t="str">
        <x:v>L345PC</x:v>
      </x:c>
      <x:c r="D329" s="66" t="n">
        <x:v>2023</x:v>
      </x:c>
      <x:c r="E329" s="67" t="n">
        <x:v>13773</x:v>
      </x:c>
      <x:c r="F329" s="68" t="n">
        <x:v>39.5</x:v>
      </x:c>
      <x:c r="G329" s="69" t="n">
        <x:f>IF(COUNT(E329:F329)=2,E329*F329,"")</x:f>
        <x:v>544033.5</x:v>
      </x:c>
    </x:row>
    <x:row r="330">
      <x:c r="A330" s="66" t="n">
        <x:v>5</x:v>
      </x:c>
      <x:c r="B330" s="44" t="str">
        <x:v>Canola/Rapeseed</x:v>
      </x:c>
      <x:c r="C330" s="44" t="str">
        <x:v>L345PC</x:v>
      </x:c>
      <x:c r="D330" s="66" t="n">
        <x:v>2024</x:v>
      </x:c>
      <x:c r="E330" s="67" t="n">
        <x:v>21320</x:v>
      </x:c>
      <x:c r="F330" s="68" t="n">
        <x:v>35.6</x:v>
      </x:c>
      <x:c r="G330" s="69" t="n">
        <x:f>IF(COUNT(E330:F330)=2,E330*F330,"")</x:f>
        <x:v>758992</x:v>
      </x:c>
    </x:row>
    <x:row r="331">
      <x:c r="A331" s="66" t="n">
        <x:v>5</x:v>
      </x:c>
      <x:c r="B331" s="44" t="str">
        <x:v>Canola/Rapeseed</x:v>
      </x:c>
      <x:c r="C331" s="44" t="str">
        <x:v>L345PC</x:v>
      </x:c>
      <x:c r="D331" s="66" t="n">
        <x:v>2025</x:v>
      </x:c>
      <x:c r="E331" s="67" t="n">
        <x:v>11621</x:v>
      </x:c>
      <x:c r="F331" s="68" t="n">
        <x:v>45.6</x:v>
      </x:c>
      <x:c r="G331" s="69" t="n">
        <x:f>IF(COUNT(E331:F331)=2,E331*F331,"")</x:f>
        <x:v>529917.6</x:v>
      </x:c>
    </x:row>
    <x:row r="332">
      <x:c r="A332" s="66" t="n">
        <x:v>5</x:v>
      </x:c>
      <x:c r="B332" s="44" t="str">
        <x:v>Canola/Rapeseed</x:v>
      </x:c>
      <x:c r="C332" s="44" t="str">
        <x:v>L350PC</x:v>
      </x:c>
      <x:c r="D332" s="66" t="n">
        <x:v>2021</x:v>
      </x:c>
      <x:c r="E332" s="67"/>
      <x:c r="F332" s="68"/>
      <x:c r="G332" s="69" t="str">
        <x:f>IF(COUNT(E332:F332)=2,E332*F332,"")</x:f>
      </x:c>
    </x:row>
    <x:row r="333">
      <x:c r="A333" s="66" t="n">
        <x:v>5</x:v>
      </x:c>
      <x:c r="B333" s="44" t="str">
        <x:v>Canola/Rapeseed</x:v>
      </x:c>
      <x:c r="C333" s="44" t="str">
        <x:v>L350PC</x:v>
      </x:c>
      <x:c r="D333" s="66" t="n">
        <x:v>2022</x:v>
      </x:c>
      <x:c r="E333" s="67"/>
      <x:c r="F333" s="68"/>
      <x:c r="G333" s="69" t="str">
        <x:f>IF(COUNT(E333:F333)=2,E333*F333,"")</x:f>
      </x:c>
    </x:row>
    <x:row r="334">
      <x:c r="A334" s="66" t="n">
        <x:v>5</x:v>
      </x:c>
      <x:c r="B334" s="44" t="str">
        <x:v>Canola/Rapeseed</x:v>
      </x:c>
      <x:c r="C334" s="44" t="str">
        <x:v>L350PC</x:v>
      </x:c>
      <x:c r="D334" s="66" t="n">
        <x:v>2023</x:v>
      </x:c>
      <x:c r="E334" s="67" t="n">
        <x:v>16952</x:v>
      </x:c>
      <x:c r="F334" s="68" t="n">
        <x:v>39</x:v>
      </x:c>
      <x:c r="G334" s="69" t="n">
        <x:f>IF(COUNT(E334:F334)=2,E334*F334,"")</x:f>
        <x:v>661128</x:v>
      </x:c>
    </x:row>
    <x:row r="335">
      <x:c r="A335" s="66" t="n">
        <x:v>5</x:v>
      </x:c>
      <x:c r="B335" s="44" t="str">
        <x:v>Canola/Rapeseed</x:v>
      </x:c>
      <x:c r="C335" s="44" t="str">
        <x:v>L350PC</x:v>
      </x:c>
      <x:c r="D335" s="66" t="n">
        <x:v>2024</x:v>
      </x:c>
      <x:c r="E335" s="67" t="n">
        <x:v>8000</x:v>
      </x:c>
      <x:c r="F335" s="68" t="n">
        <x:v>37.1</x:v>
      </x:c>
      <x:c r="G335" s="69" t="n">
        <x:f>IF(COUNT(E335:F335)=2,E335*F335,"")</x:f>
        <x:v>296800</x:v>
      </x:c>
    </x:row>
    <x:row r="336">
      <x:c r="A336" s="66" t="n">
        <x:v>5</x:v>
      </x:c>
      <x:c r="B336" s="44" t="str">
        <x:v>Canola/Rapeseed</x:v>
      </x:c>
      <x:c r="C336" s="44" t="str">
        <x:v>L350PC</x:v>
      </x:c>
      <x:c r="D336" s="66" t="n">
        <x:v>2025</x:v>
      </x:c>
      <x:c r="E336" s="67" t="n">
        <x:v>7135</x:v>
      </x:c>
      <x:c r="F336" s="68" t="n">
        <x:v>46.5</x:v>
      </x:c>
      <x:c r="G336" s="69" t="n">
        <x:f>IF(COUNT(E336:F336)=2,E336*F336,"")</x:f>
        <x:v>331777.5</x:v>
      </x:c>
    </x:row>
    <x:row r="337">
      <x:c r="A337" s="66" t="n">
        <x:v>5</x:v>
      </x:c>
      <x:c r="B337" s="44" t="str">
        <x:v>Canola/Rapeseed</x:v>
      </x:c>
      <x:c r="C337" s="44" t="str">
        <x:v>L356PC</x:v>
      </x:c>
      <x:c r="D337" s="66" t="n">
        <x:v>2021</x:v>
      </x:c>
      <x:c r="E337" s="67"/>
      <x:c r="F337" s="68"/>
      <x:c r="G337" s="69" t="str">
        <x:f>IF(COUNT(E337:F337)=2,E337*F337,"")</x:f>
      </x:c>
    </x:row>
    <x:row r="338">
      <x:c r="A338" s="66" t="n">
        <x:v>5</x:v>
      </x:c>
      <x:c r="B338" s="44" t="str">
        <x:v>Canola/Rapeseed</x:v>
      </x:c>
      <x:c r="C338" s="44" t="str">
        <x:v>L356PC</x:v>
      </x:c>
      <x:c r="D338" s="66" t="n">
        <x:v>2022</x:v>
      </x:c>
      <x:c r="E338" s="67" t="n">
        <x:v>13296</x:v>
      </x:c>
      <x:c r="F338" s="68" t="n">
        <x:v>44</x:v>
      </x:c>
      <x:c r="G338" s="69" t="n">
        <x:f>IF(COUNT(E338:F338)=2,E338*F338,"")</x:f>
        <x:v>585024</x:v>
      </x:c>
    </x:row>
    <x:row r="339">
      <x:c r="A339" s="66" t="n">
        <x:v>5</x:v>
      </x:c>
      <x:c r="B339" s="44" t="str">
        <x:v>Canola/Rapeseed</x:v>
      </x:c>
      <x:c r="C339" s="44" t="str">
        <x:v>L356PC</x:v>
      </x:c>
      <x:c r="D339" s="66" t="n">
        <x:v>2023</x:v>
      </x:c>
      <x:c r="E339" s="67" t="n">
        <x:v>38543</x:v>
      </x:c>
      <x:c r="F339" s="68" t="n">
        <x:v>43.7</x:v>
      </x:c>
      <x:c r="G339" s="69" t="n">
        <x:f>IF(COUNT(E339:F339)=2,E339*F339,"")</x:f>
        <x:v>1684329.1</x:v>
      </x:c>
    </x:row>
    <x:row r="340">
      <x:c r="A340" s="66" t="n">
        <x:v>5</x:v>
      </x:c>
      <x:c r="B340" s="44" t="str">
        <x:v>Canola/Rapeseed</x:v>
      </x:c>
      <x:c r="C340" s="44" t="str">
        <x:v>L356PC</x:v>
      </x:c>
      <x:c r="D340" s="66" t="n">
        <x:v>2024</x:v>
      </x:c>
      <x:c r="E340" s="67" t="n">
        <x:v>56970</x:v>
      </x:c>
      <x:c r="F340" s="68" t="n">
        <x:v>37.6</x:v>
      </x:c>
      <x:c r="G340" s="69" t="n">
        <x:f>IF(COUNT(E340:F340)=2,E340*F340,"")</x:f>
        <x:v>2142072</x:v>
      </x:c>
    </x:row>
    <x:row r="341">
      <x:c r="A341" s="66" t="n">
        <x:v>5</x:v>
      </x:c>
      <x:c r="B341" s="44" t="str">
        <x:v>Canola/Rapeseed</x:v>
      </x:c>
      <x:c r="C341" s="44" t="str">
        <x:v>L356PC</x:v>
      </x:c>
      <x:c r="D341" s="66" t="n">
        <x:v>2025</x:v>
      </x:c>
      <x:c r="E341" s="67" t="n">
        <x:v>41237</x:v>
      </x:c>
      <x:c r="F341" s="68" t="n">
        <x:v>48.5</x:v>
      </x:c>
      <x:c r="G341" s="69" t="n">
        <x:f>IF(COUNT(E341:F341)=2,E341*F341,"")</x:f>
        <x:v>1999994.5</x:v>
      </x:c>
    </x:row>
    <x:row r="342">
      <x:c r="A342" s="66" t="n">
        <x:v>5</x:v>
      </x:c>
      <x:c r="B342" s="44" t="str">
        <x:v>Canola/Rapeseed</x:v>
      </x:c>
      <x:c r="C342" s="44" t="str">
        <x:v>PV 681 LC</x:v>
      </x:c>
      <x:c r="D342" s="66" t="n">
        <x:v>2021</x:v>
      </x:c>
      <x:c r="E342" s="67"/>
      <x:c r="F342" s="68"/>
      <x:c r="G342" s="69" t="str">
        <x:f>IF(COUNT(E342:F342)=2,E342*F342,"")</x:f>
      </x:c>
    </x:row>
    <x:row r="343">
      <x:c r="A343" s="66" t="n">
        <x:v>5</x:v>
      </x:c>
      <x:c r="B343" s="44" t="str">
        <x:v>Canola/Rapeseed</x:v>
      </x:c>
      <x:c r="C343" s="44" t="str">
        <x:v>PV 681 LC</x:v>
      </x:c>
      <x:c r="D343" s="66" t="n">
        <x:v>2022</x:v>
      </x:c>
      <x:c r="E343" s="67"/>
      <x:c r="F343" s="68"/>
      <x:c r="G343" s="69" t="str">
        <x:f>IF(COUNT(E343:F343)=2,E343*F343,"")</x:f>
      </x:c>
    </x:row>
    <x:row r="344">
      <x:c r="A344" s="66" t="n">
        <x:v>5</x:v>
      </x:c>
      <x:c r="B344" s="44" t="str">
        <x:v>Canola/Rapeseed</x:v>
      </x:c>
      <x:c r="C344" s="44" t="str">
        <x:v>PV 681 LC</x:v>
      </x:c>
      <x:c r="D344" s="66" t="n">
        <x:v>2023</x:v>
      </x:c>
      <x:c r="E344" s="67"/>
      <x:c r="F344" s="68"/>
      <x:c r="G344" s="69" t="str">
        <x:f>IF(COUNT(E344:F344)=2,E344*F344,"")</x:f>
      </x:c>
    </x:row>
    <x:row r="345">
      <x:c r="A345" s="66" t="n">
        <x:v>5</x:v>
      </x:c>
      <x:c r="B345" s="44" t="str">
        <x:v>Canola/Rapeseed</x:v>
      </x:c>
      <x:c r="C345" s="44" t="str">
        <x:v>PV 681 LC</x:v>
      </x:c>
      <x:c r="D345" s="66" t="n">
        <x:v>2024</x:v>
      </x:c>
      <x:c r="E345" s="67" t="n">
        <x:v>621</x:v>
      </x:c>
      <x:c r="F345" s="68" t="n">
        <x:v>35.7</x:v>
      </x:c>
      <x:c r="G345" s="69" t="n">
        <x:f>IF(COUNT(E345:F345)=2,E345*F345,"")</x:f>
        <x:v>22169.7</x:v>
      </x:c>
    </x:row>
    <x:row r="346">
      <x:c r="A346" s="66" t="n">
        <x:v>5</x:v>
      </x:c>
      <x:c r="B346" s="44" t="str">
        <x:v>Canola/Rapeseed</x:v>
      </x:c>
      <x:c r="C346" s="44" t="str">
        <x:v>PV 681 LC</x:v>
      </x:c>
      <x:c r="D346" s="66" t="n">
        <x:v>2025</x:v>
      </x:c>
      <x:c r="E346" s="67" t="n">
        <x:v>435</x:v>
      </x:c>
      <x:c r="F346" s="68" t="n">
        <x:v>39.2</x:v>
      </x:c>
      <x:c r="G346" s="69" t="n">
        <x:f>IF(COUNT(E346:F346)=2,E346*F346,"")</x:f>
        <x:v>17052</x:v>
      </x:c>
    </x:row>
    <x:row r="347">
      <x:c r="A347" s="66" t="n">
        <x:v>5</x:v>
      </x:c>
      <x:c r="B347" s="44" t="str">
        <x:v>Canola/Rapeseed</x:v>
      </x:c>
      <x:c r="C347" s="44" t="str">
        <x:v>PV783</x:v>
      </x:c>
      <x:c r="D347" s="66" t="n">
        <x:v>2021</x:v>
      </x:c>
      <x:c r="E347" s="67"/>
      <x:c r="F347" s="68"/>
      <x:c r="G347" s="69" t="str">
        <x:f>IF(COUNT(E347:F347)=2,E347*F347,"")</x:f>
      </x:c>
    </x:row>
    <x:row r="348">
      <x:c r="A348" s="66" t="n">
        <x:v>5</x:v>
      </x:c>
      <x:c r="B348" s="44" t="str">
        <x:v>Canola/Rapeseed</x:v>
      </x:c>
      <x:c r="C348" s="44" t="str">
        <x:v>PV783</x:v>
      </x:c>
      <x:c r="D348" s="66" t="n">
        <x:v>2022</x:v>
      </x:c>
      <x:c r="E348" s="67"/>
      <x:c r="F348" s="68"/>
      <x:c r="G348" s="69" t="str">
        <x:f>IF(COUNT(E348:F348)=2,E348*F348,"")</x:f>
      </x:c>
    </x:row>
    <x:row r="349">
      <x:c r="A349" s="66" t="n">
        <x:v>5</x:v>
      </x:c>
      <x:c r="B349" s="44" t="str">
        <x:v>Canola/Rapeseed</x:v>
      </x:c>
      <x:c r="C349" s="44" t="str">
        <x:v>PV783</x:v>
      </x:c>
      <x:c r="D349" s="66" t="n">
        <x:v>2023</x:v>
      </x:c>
      <x:c r="E349" s="67"/>
      <x:c r="F349" s="68"/>
      <x:c r="G349" s="69" t="str">
        <x:f>IF(COUNT(E349:F349)=2,E349*F349,"")</x:f>
      </x:c>
    </x:row>
    <x:row r="350">
      <x:c r="A350" s="66" t="n">
        <x:v>5</x:v>
      </x:c>
      <x:c r="B350" s="44" t="str">
        <x:v>Canola/Rapeseed</x:v>
      </x:c>
      <x:c r="C350" s="44" t="str">
        <x:v>PV783</x:v>
      </x:c>
      <x:c r="D350" s="66" t="n">
        <x:v>2024</x:v>
      </x:c>
      <x:c r="E350" s="67"/>
      <x:c r="F350" s="68"/>
      <x:c r="G350" s="69" t="str">
        <x:f>IF(COUNT(E350:F350)=2,E350*F350,"")</x:f>
      </x:c>
    </x:row>
    <x:row r="351">
      <x:c r="A351" s="66" t="n">
        <x:v>5</x:v>
      </x:c>
      <x:c r="B351" s="44" t="str">
        <x:v>Canola/Rapeseed</x:v>
      </x:c>
      <x:c r="C351" s="44" t="str">
        <x:v>PV783</x:v>
      </x:c>
      <x:c r="D351" s="66" t="n">
        <x:v>2025</x:v>
      </x:c>
      <x:c r="E351" s="67" t="n">
        <x:v>475</x:v>
      </x:c>
      <x:c r="F351" s="68" t="n">
        <x:v>42</x:v>
      </x:c>
      <x:c r="G351" s="69" t="n">
        <x:f>IF(COUNT(E351:F351)=2,E351*F351,"")</x:f>
        <x:v>19950</x:v>
      </x:c>
    </x:row>
    <x:row r="352">
      <x:c r="A352" s="66" t="n">
        <x:v>5</x:v>
      </x:c>
      <x:c r="B352" s="44" t="str">
        <x:v>Canola/Rapeseed</x:v>
      </x:c>
      <x:c r="C352" s="44" t="str">
        <x:v>P1540L</x:v>
      </x:c>
      <x:c r="D352" s="66" t="n">
        <x:v>2021</x:v>
      </x:c>
      <x:c r="E352" s="67"/>
      <x:c r="F352" s="68"/>
      <x:c r="G352" s="69" t="str">
        <x:f>IF(COUNT(E352:F352)=2,E352*F352,"")</x:f>
      </x:c>
    </x:row>
    <x:row r="353">
      <x:c r="A353" s="66" t="n">
        <x:v>5</x:v>
      </x:c>
      <x:c r="B353" s="44" t="str">
        <x:v>Canola/Rapeseed</x:v>
      </x:c>
      <x:c r="C353" s="44" t="str">
        <x:v>P1540L</x:v>
      </x:c>
      <x:c r="D353" s="66" t="n">
        <x:v>2022</x:v>
      </x:c>
      <x:c r="E353" s="67"/>
      <x:c r="F353" s="68"/>
      <x:c r="G353" s="69" t="str">
        <x:f>IF(COUNT(E353:F353)=2,E353*F353,"")</x:f>
      </x:c>
    </x:row>
    <x:row r="354">
      <x:c r="A354" s="66" t="n">
        <x:v>5</x:v>
      </x:c>
      <x:c r="B354" s="44" t="str">
        <x:v>Canola/Rapeseed</x:v>
      </x:c>
      <x:c r="C354" s="44" t="str">
        <x:v>P1540L</x:v>
      </x:c>
      <x:c r="D354" s="66" t="n">
        <x:v>2023</x:v>
      </x:c>
      <x:c r="E354" s="67"/>
      <x:c r="F354" s="68"/>
      <x:c r="G354" s="69" t="str">
        <x:f>IF(COUNT(E354:F354)=2,E354*F354,"")</x:f>
      </x:c>
    </x:row>
    <x:row r="355">
      <x:c r="A355" s="66" t="n">
        <x:v>5</x:v>
      </x:c>
      <x:c r="B355" s="44" t="str">
        <x:v>Canola/Rapeseed</x:v>
      </x:c>
      <x:c r="C355" s="44" t="str">
        <x:v>P1540L</x:v>
      </x:c>
      <x:c r="D355" s="66" t="n">
        <x:v>2024</x:v>
      </x:c>
      <x:c r="E355" s="67"/>
      <x:c r="F355" s="68"/>
      <x:c r="G355" s="69" t="str">
        <x:f>IF(COUNT(E355:F355)=2,E355*F355,"")</x:f>
      </x:c>
    </x:row>
    <x:row r="356">
      <x:c r="A356" s="66" t="n">
        <x:v>5</x:v>
      </x:c>
      <x:c r="B356" s="44" t="str">
        <x:v>Canola/Rapeseed</x:v>
      </x:c>
      <x:c r="C356" s="44" t="str">
        <x:v>P1540L</x:v>
      </x:c>
      <x:c r="D356" s="66" t="n">
        <x:v>2025</x:v>
      </x:c>
      <x:c r="E356" s="67" t="n">
        <x:v>460</x:v>
      </x:c>
      <x:c r="F356" s="68" t="n">
        <x:v>42.9</x:v>
      </x:c>
      <x:c r="G356" s="69" t="n">
        <x:f>IF(COUNT(E356:F356)=2,E356*F356,"")</x:f>
        <x:v>19734</x:v>
      </x:c>
    </x:row>
    <x:row r="357">
      <x:c r="A357" s="66" t="n">
        <x:v>5</x:v>
      </x:c>
      <x:c r="B357" s="44" t="str">
        <x:v>Canola/Rapeseed</x:v>
      </x:c>
      <x:c r="C357" s="44" t="str">
        <x:v>P505MSL</x:v>
      </x:c>
      <x:c r="D357" s="66" t="n">
        <x:v>2021</x:v>
      </x:c>
      <x:c r="E357" s="67" t="n">
        <x:v>3642</x:v>
      </x:c>
      <x:c r="F357" s="68" t="n">
        <x:v>35.3</x:v>
      </x:c>
      <x:c r="G357" s="69" t="n">
        <x:f>IF(COUNT(E357:F357)=2,E357*F357,"")</x:f>
        <x:v>128562.59999999999</x:v>
      </x:c>
    </x:row>
    <x:row r="358">
      <x:c r="A358" s="66" t="n">
        <x:v>5</x:v>
      </x:c>
      <x:c r="B358" s="44" t="str">
        <x:v>Canola/Rapeseed</x:v>
      </x:c>
      <x:c r="C358" s="44" t="str">
        <x:v>P505MSL</x:v>
      </x:c>
      <x:c r="D358" s="66" t="n">
        <x:v>2022</x:v>
      </x:c>
      <x:c r="E358" s="67" t="n">
        <x:v>6568</x:v>
      </x:c>
      <x:c r="F358" s="68" t="n">
        <x:v>40.9</x:v>
      </x:c>
      <x:c r="G358" s="69" t="n">
        <x:f>IF(COUNT(E358:F358)=2,E358*F358,"")</x:f>
        <x:v>268631.2</x:v>
      </x:c>
    </x:row>
    <x:row r="359">
      <x:c r="A359" s="66" t="n">
        <x:v>5</x:v>
      </x:c>
      <x:c r="B359" s="44" t="str">
        <x:v>Canola/Rapeseed</x:v>
      </x:c>
      <x:c r="C359" s="44" t="str">
        <x:v>P505MSL</x:v>
      </x:c>
      <x:c r="D359" s="66" t="n">
        <x:v>2023</x:v>
      </x:c>
      <x:c r="E359" s="67" t="n">
        <x:v>9986</x:v>
      </x:c>
      <x:c r="F359" s="68" t="n">
        <x:v>44.9</x:v>
      </x:c>
      <x:c r="G359" s="69" t="n">
        <x:f>IF(COUNT(E359:F359)=2,E359*F359,"")</x:f>
        <x:v>448371.39999999997</x:v>
      </x:c>
    </x:row>
    <x:row r="360">
      <x:c r="A360" s="66" t="n">
        <x:v>5</x:v>
      </x:c>
      <x:c r="B360" s="44" t="str">
        <x:v>Canola/Rapeseed</x:v>
      </x:c>
      <x:c r="C360" s="44" t="str">
        <x:v>P505MSL</x:v>
      </x:c>
      <x:c r="D360" s="66" t="n">
        <x:v>2024</x:v>
      </x:c>
      <x:c r="E360" s="67" t="n">
        <x:v>8056</x:v>
      </x:c>
      <x:c r="F360" s="68" t="n">
        <x:v>40.7</x:v>
      </x:c>
      <x:c r="G360" s="69" t="n">
        <x:f>IF(COUNT(E360:F360)=2,E360*F360,"")</x:f>
        <x:v>327879.2</x:v>
      </x:c>
    </x:row>
    <x:row r="361">
      <x:c r="A361" s="66" t="n">
        <x:v>5</x:v>
      </x:c>
      <x:c r="B361" s="44" t="str">
        <x:v>Canola/Rapeseed</x:v>
      </x:c>
      <x:c r="C361" s="44" t="str">
        <x:v>P505MSL</x:v>
      </x:c>
      <x:c r="D361" s="66" t="n">
        <x:v>2025</x:v>
      </x:c>
      <x:c r="E361" s="67" t="n">
        <x:v>2908</x:v>
      </x:c>
      <x:c r="F361" s="68" t="n">
        <x:v>48.4</x:v>
      </x:c>
      <x:c r="G361" s="69" t="n">
        <x:f>IF(COUNT(E361:F361)=2,E361*F361,"")</x:f>
        <x:v>140747.19999999998</x:v>
      </x:c>
    </x:row>
    <x:row r="362">
      <x:c r="A362" s="66" t="n">
        <x:v>5</x:v>
      </x:c>
      <x:c r="B362" s="44" t="str">
        <x:v>Canola/Rapeseed</x:v>
      </x:c>
      <x:c r="C362" s="44" t="str">
        <x:v>P509L</x:v>
      </x:c>
      <x:c r="D362" s="66" t="n">
        <x:v>2021</x:v>
      </x:c>
      <x:c r="E362" s="67"/>
      <x:c r="F362" s="68"/>
      <x:c r="G362" s="69" t="str">
        <x:f>IF(COUNT(E362:F362)=2,E362*F362,"")</x:f>
      </x:c>
    </x:row>
    <x:row r="363">
      <x:c r="A363" s="66" t="n">
        <x:v>5</x:v>
      </x:c>
      <x:c r="B363" s="44" t="str">
        <x:v>Canola/Rapeseed</x:v>
      </x:c>
      <x:c r="C363" s="44" t="str">
        <x:v>P509L</x:v>
      </x:c>
      <x:c r="D363" s="66" t="n">
        <x:v>2022</x:v>
      </x:c>
      <x:c r="E363" s="67" t="n">
        <x:v>619</x:v>
      </x:c>
      <x:c r="F363" s="68" t="n">
        <x:v>42.1</x:v>
      </x:c>
      <x:c r="G363" s="69" t="n">
        <x:f>IF(COUNT(E363:F363)=2,E363*F363,"")</x:f>
        <x:v>26059.9</x:v>
      </x:c>
    </x:row>
    <x:row r="364">
      <x:c r="A364" s="66" t="n">
        <x:v>5</x:v>
      </x:c>
      <x:c r="B364" s="44" t="str">
        <x:v>Canola/Rapeseed</x:v>
      </x:c>
      <x:c r="C364" s="44" t="str">
        <x:v>P509L</x:v>
      </x:c>
      <x:c r="D364" s="66" t="n">
        <x:v>2023</x:v>
      </x:c>
      <x:c r="E364" s="67" t="n">
        <x:v>1555</x:v>
      </x:c>
      <x:c r="F364" s="68" t="n">
        <x:v>43.6</x:v>
      </x:c>
      <x:c r="G364" s="69" t="n">
        <x:f>IF(COUNT(E364:F364)=2,E364*F364,"")</x:f>
        <x:v>67798</x:v>
      </x:c>
    </x:row>
    <x:row r="365">
      <x:c r="A365" s="66" t="n">
        <x:v>5</x:v>
      </x:c>
      <x:c r="B365" s="44" t="str">
        <x:v>Canola/Rapeseed</x:v>
      </x:c>
      <x:c r="C365" s="44" t="str">
        <x:v>P509L</x:v>
      </x:c>
      <x:c r="D365" s="66" t="n">
        <x:v>2024</x:v>
      </x:c>
      <x:c r="E365" s="67" t="n">
        <x:v>2728</x:v>
      </x:c>
      <x:c r="F365" s="68" t="n">
        <x:v>39.5</x:v>
      </x:c>
      <x:c r="G365" s="69" t="n">
        <x:f>IF(COUNT(E365:F365)=2,E365*F365,"")</x:f>
        <x:v>107756</x:v>
      </x:c>
    </x:row>
    <x:row r="366">
      <x:c r="A366" s="66" t="n">
        <x:v>5</x:v>
      </x:c>
      <x:c r="B366" s="44" t="str">
        <x:v>Canola/Rapeseed</x:v>
      </x:c>
      <x:c r="C366" s="44" t="str">
        <x:v>P509L</x:v>
      </x:c>
      <x:c r="D366" s="66" t="n">
        <x:v>2025</x:v>
      </x:c>
      <x:c r="E366" s="67" t="n">
        <x:v>1066</x:v>
      </x:c>
      <x:c r="F366" s="68" t="n">
        <x:v>50.1</x:v>
      </x:c>
      <x:c r="G366" s="69" t="n">
        <x:f>IF(COUNT(E366:F366)=2,E366*F366,"")</x:f>
        <x:v>53406.6</x:v>
      </x:c>
    </x:row>
    <x:row r="367">
      <x:c r="A367" s="66" t="n">
        <x:v>5</x:v>
      </x:c>
      <x:c r="B367" s="44" t="str">
        <x:v>Canola/Rapeseed</x:v>
      </x:c>
      <x:c r="C367" s="44" t="str">
        <x:v>P510G</x:v>
      </x:c>
      <x:c r="D367" s="66" t="n">
        <x:v>2021</x:v>
      </x:c>
      <x:c r="E367" s="67"/>
      <x:c r="F367" s="68"/>
      <x:c r="G367" s="69" t="str">
        <x:f>IF(COUNT(E367:F367)=2,E367*F367,"")</x:f>
      </x:c>
    </x:row>
    <x:row r="368">
      <x:c r="A368" s="66" t="n">
        <x:v>5</x:v>
      </x:c>
      <x:c r="B368" s="44" t="str">
        <x:v>Canola/Rapeseed</x:v>
      </x:c>
      <x:c r="C368" s="44" t="str">
        <x:v>P510G</x:v>
      </x:c>
      <x:c r="D368" s="66" t="n">
        <x:v>2022</x:v>
      </x:c>
      <x:c r="E368" s="67"/>
      <x:c r="F368" s="68"/>
      <x:c r="G368" s="69" t="str">
        <x:f>IF(COUNT(E368:F368)=2,E368*F368,"")</x:f>
      </x:c>
    </x:row>
    <x:row r="369">
      <x:c r="A369" s="66" t="n">
        <x:v>5</x:v>
      </x:c>
      <x:c r="B369" s="44" t="str">
        <x:v>Canola/Rapeseed</x:v>
      </x:c>
      <x:c r="C369" s="44" t="str">
        <x:v>P510G</x:v>
      </x:c>
      <x:c r="D369" s="66" t="n">
        <x:v>2023</x:v>
      </x:c>
      <x:c r="E369" s="67"/>
      <x:c r="F369" s="68"/>
      <x:c r="G369" s="69" t="str">
        <x:f>IF(COUNT(E369:F369)=2,E369*F369,"")</x:f>
      </x:c>
    </x:row>
    <x:row r="370">
      <x:c r="A370" s="66" t="n">
        <x:v>5</x:v>
      </x:c>
      <x:c r="B370" s="44" t="str">
        <x:v>Canola/Rapeseed</x:v>
      </x:c>
      <x:c r="C370" s="44" t="str">
        <x:v>P510G</x:v>
      </x:c>
      <x:c r="D370" s="66" t="n">
        <x:v>2024</x:v>
      </x:c>
      <x:c r="E370" s="67" t="n">
        <x:v>1253</x:v>
      </x:c>
      <x:c r="F370" s="68" t="n">
        <x:v>31.3</x:v>
      </x:c>
      <x:c r="G370" s="69" t="n">
        <x:f>IF(COUNT(E370:F370)=2,E370*F370,"")</x:f>
        <x:v>39218.9</x:v>
      </x:c>
    </x:row>
    <x:row r="371">
      <x:c r="A371" s="66" t="n">
        <x:v>5</x:v>
      </x:c>
      <x:c r="B371" s="44" t="str">
        <x:v>Canola/Rapeseed</x:v>
      </x:c>
      <x:c r="C371" s="44" t="str">
        <x:v>P510G</x:v>
      </x:c>
      <x:c r="D371" s="66" t="n">
        <x:v>2025</x:v>
      </x:c>
      <x:c r="E371" s="67" t="n">
        <x:v>766</x:v>
      </x:c>
      <x:c r="F371" s="68" t="n">
        <x:v>46</x:v>
      </x:c>
      <x:c r="G371" s="69" t="n">
        <x:f>IF(COUNT(E371:F371)=2,E371*F371,"")</x:f>
        <x:v>35236</x:v>
      </x:c>
    </x:row>
    <x:row r="372">
      <x:c r="A372" s="66" t="n">
        <x:v>5</x:v>
      </x:c>
      <x:c r="B372" s="44" t="str">
        <x:v>Canola/Rapeseed</x:v>
      </x:c>
      <x:c r="C372" s="44" t="str">
        <x:v>P514CL</x:v>
      </x:c>
      <x:c r="D372" s="66" t="n">
        <x:v>2021</x:v>
      </x:c>
      <x:c r="E372" s="67"/>
      <x:c r="F372" s="68"/>
      <x:c r="G372" s="69" t="str">
        <x:f>IF(COUNT(E372:F372)=2,E372*F372,"")</x:f>
      </x:c>
    </x:row>
    <x:row r="373">
      <x:c r="A373" s="66" t="n">
        <x:v>5</x:v>
      </x:c>
      <x:c r="B373" s="44" t="str">
        <x:v>Canola/Rapeseed</x:v>
      </x:c>
      <x:c r="C373" s="44" t="str">
        <x:v>P514CL</x:v>
      </x:c>
      <x:c r="D373" s="66" t="n">
        <x:v>2022</x:v>
      </x:c>
      <x:c r="E373" s="67"/>
      <x:c r="F373" s="68"/>
      <x:c r="G373" s="69" t="str">
        <x:f>IF(COUNT(E373:F373)=2,E373*F373,"")</x:f>
      </x:c>
    </x:row>
    <x:row r="374">
      <x:c r="A374" s="66" t="n">
        <x:v>5</x:v>
      </x:c>
      <x:c r="B374" s="44" t="str">
        <x:v>Canola/Rapeseed</x:v>
      </x:c>
      <x:c r="C374" s="44" t="str">
        <x:v>P514CL</x:v>
      </x:c>
      <x:c r="D374" s="66" t="n">
        <x:v>2023</x:v>
      </x:c>
      <x:c r="E374" s="67" t="n">
        <x:v>1173</x:v>
      </x:c>
      <x:c r="F374" s="68" t="n">
        <x:v>34.3</x:v>
      </x:c>
      <x:c r="G374" s="69" t="n">
        <x:f>IF(COUNT(E374:F374)=2,E374*F374,"")</x:f>
        <x:v>40233.899999999994</x:v>
      </x:c>
    </x:row>
    <x:row r="375">
      <x:c r="A375" s="66" t="n">
        <x:v>5</x:v>
      </x:c>
      <x:c r="B375" s="44" t="str">
        <x:v>Canola/Rapeseed</x:v>
      </x:c>
      <x:c r="C375" s="44" t="str">
        <x:v>P514CL</x:v>
      </x:c>
      <x:c r="D375" s="66" t="n">
        <x:v>2024</x:v>
      </x:c>
      <x:c r="E375" s="67" t="n">
        <x:v>551</x:v>
      </x:c>
      <x:c r="F375" s="68" t="n">
        <x:v>37</x:v>
      </x:c>
      <x:c r="G375" s="69" t="n">
        <x:f>IF(COUNT(E375:F375)=2,E375*F375,"")</x:f>
        <x:v>20387</x:v>
      </x:c>
    </x:row>
    <x:row r="376">
      <x:c r="A376" s="66" t="n">
        <x:v>5</x:v>
      </x:c>
      <x:c r="B376" s="44" t="str">
        <x:v>Canola/Rapeseed</x:v>
      </x:c>
      <x:c r="C376" s="44" t="str">
        <x:v>P514CL</x:v>
      </x:c>
      <x:c r="D376" s="66" t="n">
        <x:v>2025</x:v>
      </x:c>
      <x:c r="E376" s="67" t="n">
        <x:v>5189</x:v>
      </x:c>
      <x:c r="F376" s="68" t="n">
        <x:v>39.5</x:v>
      </x:c>
      <x:c r="G376" s="69" t="n">
        <x:f>IF(COUNT(E376:F376)=2,E376*F376,"")</x:f>
        <x:v>204965.5</x:v>
      </x:c>
    </x:row>
    <x:row r="377">
      <x:c r="A377" s="66" t="n">
        <x:v>5</x:v>
      </x:c>
      <x:c r="B377" s="44" t="str">
        <x:v>Canola/Rapeseed</x:v>
      </x:c>
      <x:c r="C377" s="44" t="str">
        <x:v>P515G</x:v>
      </x:c>
      <x:c r="D377" s="66" t="n">
        <x:v>2021</x:v>
      </x:c>
      <x:c r="E377" s="67"/>
      <x:c r="F377" s="68"/>
      <x:c r="G377" s="69" t="str">
        <x:f>IF(COUNT(E377:F377)=2,E377*F377,"")</x:f>
      </x:c>
    </x:row>
    <x:row r="378">
      <x:c r="A378" s="66" t="n">
        <x:v>5</x:v>
      </x:c>
      <x:c r="B378" s="44" t="str">
        <x:v>Canola/Rapeseed</x:v>
      </x:c>
      <x:c r="C378" s="44" t="str">
        <x:v>P515G</x:v>
      </x:c>
      <x:c r="D378" s="66" t="n">
        <x:v>2022</x:v>
      </x:c>
      <x:c r="E378" s="67"/>
      <x:c r="F378" s="68"/>
      <x:c r="G378" s="69" t="str">
        <x:f>IF(COUNT(E378:F378)=2,E378*F378,"")</x:f>
      </x:c>
    </x:row>
    <x:row r="379">
      <x:c r="A379" s="66" t="n">
        <x:v>5</x:v>
      </x:c>
      <x:c r="B379" s="44" t="str">
        <x:v>Canola/Rapeseed</x:v>
      </x:c>
      <x:c r="C379" s="44" t="str">
        <x:v>P515G</x:v>
      </x:c>
      <x:c r="D379" s="66" t="n">
        <x:v>2023</x:v>
      </x:c>
      <x:c r="E379" s="67" t="n">
        <x:v>660</x:v>
      </x:c>
      <x:c r="F379" s="68" t="n">
        <x:v>37.7</x:v>
      </x:c>
      <x:c r="G379" s="69" t="n">
        <x:f>IF(COUNT(E379:F379)=2,E379*F379,"")</x:f>
        <x:v>24882.000000000004</x:v>
      </x:c>
    </x:row>
    <x:row r="380">
      <x:c r="A380" s="66" t="n">
        <x:v>5</x:v>
      </x:c>
      <x:c r="B380" s="44" t="str">
        <x:v>Canola/Rapeseed</x:v>
      </x:c>
      <x:c r="C380" s="44" t="str">
        <x:v>P515G</x:v>
      </x:c>
      <x:c r="D380" s="66" t="n">
        <x:v>2024</x:v>
      </x:c>
      <x:c r="E380" s="67" t="n">
        <x:v>1621</x:v>
      </x:c>
      <x:c r="F380" s="68" t="n">
        <x:v>25.9</x:v>
      </x:c>
      <x:c r="G380" s="69" t="n">
        <x:f>IF(COUNT(E380:F380)=2,E380*F380,"")</x:f>
        <x:v>41983.899999999994</x:v>
      </x:c>
    </x:row>
    <x:row r="381">
      <x:c r="A381" s="66" t="n">
        <x:v>5</x:v>
      </x:c>
      <x:c r="B381" s="44" t="str">
        <x:v>Canola/Rapeseed</x:v>
      </x:c>
      <x:c r="C381" s="44" t="str">
        <x:v>P515G</x:v>
      </x:c>
      <x:c r="D381" s="66" t="n">
        <x:v>2025</x:v>
      </x:c>
      <x:c r="E381" s="67" t="n">
        <x:v>2462</x:v>
      </x:c>
      <x:c r="F381" s="68" t="n">
        <x:v>44</x:v>
      </x:c>
      <x:c r="G381" s="69" t="n">
        <x:f>IF(COUNT(E381:F381)=2,E381*F381,"")</x:f>
        <x:v>108328</x:v>
      </x:c>
    </x:row>
    <x:row r="382">
      <x:c r="A382" s="66" t="n">
        <x:v>5</x:v>
      </x:c>
      <x:c r="B382" s="44" t="str">
        <x:v>Canola/Rapeseed</x:v>
      </x:c>
      <x:c r="C382" s="44" t="str">
        <x:v>P516L</x:v>
      </x:c>
      <x:c r="D382" s="66" t="n">
        <x:v>2021</x:v>
      </x:c>
      <x:c r="E382" s="67"/>
      <x:c r="F382" s="68"/>
      <x:c r="G382" s="69" t="str">
        <x:f>IF(COUNT(E382:F382)=2,E382*F382,"")</x:f>
      </x:c>
    </x:row>
    <x:row r="383">
      <x:c r="A383" s="66" t="n">
        <x:v>5</x:v>
      </x:c>
      <x:c r="B383" s="44" t="str">
        <x:v>Canola/Rapeseed</x:v>
      </x:c>
      <x:c r="C383" s="44" t="str">
        <x:v>P516L</x:v>
      </x:c>
      <x:c r="D383" s="66" t="n">
        <x:v>2022</x:v>
      </x:c>
      <x:c r="E383" s="67"/>
      <x:c r="F383" s="68"/>
      <x:c r="G383" s="69" t="str">
        <x:f>IF(COUNT(E383:F383)=2,E383*F383,"")</x:f>
      </x:c>
    </x:row>
    <x:row r="384">
      <x:c r="A384" s="66" t="n">
        <x:v>5</x:v>
      </x:c>
      <x:c r="B384" s="44" t="str">
        <x:v>Canola/Rapeseed</x:v>
      </x:c>
      <x:c r="C384" s="44" t="str">
        <x:v>P516L</x:v>
      </x:c>
      <x:c r="D384" s="66" t="n">
        <x:v>2023</x:v>
      </x:c>
      <x:c r="E384" s="67" t="n">
        <x:v>1888</x:v>
      </x:c>
      <x:c r="F384" s="68" t="n">
        <x:v>40.8</x:v>
      </x:c>
      <x:c r="G384" s="69" t="n">
        <x:f>IF(COUNT(E384:F384)=2,E384*F384,"")</x:f>
        <x:v>77030.4</x:v>
      </x:c>
    </x:row>
    <x:row r="385">
      <x:c r="A385" s="66" t="n">
        <x:v>5</x:v>
      </x:c>
      <x:c r="B385" s="44" t="str">
        <x:v>Canola/Rapeseed</x:v>
      </x:c>
      <x:c r="C385" s="44" t="str">
        <x:v>P516L</x:v>
      </x:c>
      <x:c r="D385" s="66" t="n">
        <x:v>2024</x:v>
      </x:c>
      <x:c r="E385" s="67" t="n">
        <x:v>3937</x:v>
      </x:c>
      <x:c r="F385" s="68" t="n">
        <x:v>41.4</x:v>
      </x:c>
      <x:c r="G385" s="69" t="n">
        <x:f>IF(COUNT(E385:F385)=2,E385*F385,"")</x:f>
        <x:v>162991.8</x:v>
      </x:c>
    </x:row>
    <x:row r="386">
      <x:c r="A386" s="66" t="n">
        <x:v>5</x:v>
      </x:c>
      <x:c r="B386" s="44" t="str">
        <x:v>Canola/Rapeseed</x:v>
      </x:c>
      <x:c r="C386" s="44" t="str">
        <x:v>P516L</x:v>
      </x:c>
      <x:c r="D386" s="66" t="n">
        <x:v>2025</x:v>
      </x:c>
      <x:c r="E386" s="67" t="n">
        <x:v>2479</x:v>
      </x:c>
      <x:c r="F386" s="68" t="n">
        <x:v>42.4</x:v>
      </x:c>
      <x:c r="G386" s="69" t="n">
        <x:f>IF(COUNT(E386:F386)=2,E386*F386,"")</x:f>
        <x:v>105109.59999999999</x:v>
      </x:c>
    </x:row>
    <x:row r="387">
      <x:c r="A387" s="66" t="n">
        <x:v>5</x:v>
      </x:c>
      <x:c r="B387" s="44" t="str">
        <x:v>Canola/Rapeseed</x:v>
      </x:c>
      <x:c r="C387" s="44" t="str">
        <x:v>P520L</x:v>
      </x:c>
      <x:c r="D387" s="66" t="n">
        <x:v>2021</x:v>
      </x:c>
      <x:c r="E387" s="67"/>
      <x:c r="F387" s="68"/>
      <x:c r="G387" s="69" t="str">
        <x:f>IF(COUNT(E387:F387)=2,E387*F387,"")</x:f>
      </x:c>
    </x:row>
    <x:row r="388">
      <x:c r="A388" s="66" t="n">
        <x:v>5</x:v>
      </x:c>
      <x:c r="B388" s="44" t="str">
        <x:v>Canola/Rapeseed</x:v>
      </x:c>
      <x:c r="C388" s="44" t="str">
        <x:v>P520L</x:v>
      </x:c>
      <x:c r="D388" s="66" t="n">
        <x:v>2022</x:v>
      </x:c>
      <x:c r="E388" s="67"/>
      <x:c r="F388" s="68"/>
      <x:c r="G388" s="69" t="str">
        <x:f>IF(COUNT(E388:F388)=2,E388*F388,"")</x:f>
      </x:c>
    </x:row>
    <x:row r="389">
      <x:c r="A389" s="66" t="n">
        <x:v>5</x:v>
      </x:c>
      <x:c r="B389" s="44" t="str">
        <x:v>Canola/Rapeseed</x:v>
      </x:c>
      <x:c r="C389" s="44" t="str">
        <x:v>P520L</x:v>
      </x:c>
      <x:c r="D389" s="66" t="n">
        <x:v>2023</x:v>
      </x:c>
      <x:c r="E389" s="67"/>
      <x:c r="F389" s="68"/>
      <x:c r="G389" s="69" t="str">
        <x:f>IF(COUNT(E389:F389)=2,E389*F389,"")</x:f>
      </x:c>
    </x:row>
    <x:row r="390">
      <x:c r="A390" s="66" t="n">
        <x:v>5</x:v>
      </x:c>
      <x:c r="B390" s="44" t="str">
        <x:v>Canola/Rapeseed</x:v>
      </x:c>
      <x:c r="C390" s="44" t="str">
        <x:v>P520L</x:v>
      </x:c>
      <x:c r="D390" s="66" t="n">
        <x:v>2024</x:v>
      </x:c>
      <x:c r="E390" s="67"/>
      <x:c r="F390" s="68"/>
      <x:c r="G390" s="69" t="str">
        <x:f>IF(COUNT(E390:F390)=2,E390*F390,"")</x:f>
      </x:c>
    </x:row>
    <x:row r="391">
      <x:c r="A391" s="66" t="n">
        <x:v>5</x:v>
      </x:c>
      <x:c r="B391" s="44" t="str">
        <x:v>Canola/Rapeseed</x:v>
      </x:c>
      <x:c r="C391" s="44" t="str">
        <x:v>P520L</x:v>
      </x:c>
      <x:c r="D391" s="66" t="n">
        <x:v>2025</x:v>
      </x:c>
      <x:c r="E391" s="67" t="n">
        <x:v>13790</x:v>
      </x:c>
      <x:c r="F391" s="68" t="n">
        <x:v>46.6</x:v>
      </x:c>
      <x:c r="G391" s="69" t="n">
        <x:f>IF(COUNT(E391:F391)=2,E391*F391,"")</x:f>
        <x:v>642614</x:v>
      </x:c>
    </x:row>
    <x:row r="392">
      <x:c r="A392" s="66" t="n">
        <x:v>6</x:v>
      </x:c>
      <x:c r="B392" s="44" t="str">
        <x:v>Canola/Rapeseed</x:v>
      </x:c>
      <x:c r="C392" s="44" t="str">
        <x:v>BY 6211TF</x:v>
      </x:c>
      <x:c r="D392" s="66" t="n">
        <x:v>2021</x:v>
      </x:c>
      <x:c r="E392" s="67"/>
      <x:c r="F392" s="68"/>
      <x:c r="G392" s="69" t="str">
        <x:f>IF(COUNT(E392:F392)=2,E392*F392,"")</x:f>
      </x:c>
    </x:row>
    <x:row r="393">
      <x:c r="A393" s="66" t="n">
        <x:v>6</x:v>
      </x:c>
      <x:c r="B393" s="44" t="str">
        <x:v>Canola/Rapeseed</x:v>
      </x:c>
      <x:c r="C393" s="44" t="str">
        <x:v>BY 6211TF</x:v>
      </x:c>
      <x:c r="D393" s="66" t="n">
        <x:v>2022</x:v>
      </x:c>
      <x:c r="E393" s="67"/>
      <x:c r="F393" s="68"/>
      <x:c r="G393" s="69" t="str">
        <x:f>IF(COUNT(E393:F393)=2,E393*F393,"")</x:f>
      </x:c>
    </x:row>
    <x:row r="394">
      <x:c r="A394" s="66" t="n">
        <x:v>6</x:v>
      </x:c>
      <x:c r="B394" s="44" t="str">
        <x:v>Canola/Rapeseed</x:v>
      </x:c>
      <x:c r="C394" s="44" t="str">
        <x:v>BY 6211TF</x:v>
      </x:c>
      <x:c r="D394" s="66" t="n">
        <x:v>2023</x:v>
      </x:c>
      <x:c r="E394" s="67" t="n">
        <x:v>1254</x:v>
      </x:c>
      <x:c r="F394" s="68" t="n">
        <x:v>23.1</x:v>
      </x:c>
      <x:c r="G394" s="69" t="n">
        <x:f>IF(COUNT(E394:F394)=2,E394*F394,"")</x:f>
        <x:v>28967.4</x:v>
      </x:c>
    </x:row>
    <x:row r="395">
      <x:c r="A395" s="66" t="n">
        <x:v>6</x:v>
      </x:c>
      <x:c r="B395" s="44" t="str">
        <x:v>Canola/Rapeseed</x:v>
      </x:c>
      <x:c r="C395" s="44" t="str">
        <x:v>BY 6211TF</x:v>
      </x:c>
      <x:c r="D395" s="66" t="n">
        <x:v>2024</x:v>
      </x:c>
      <x:c r="E395" s="67"/>
      <x:c r="F395" s="68"/>
      <x:c r="G395" s="69" t="str">
        <x:f>IF(COUNT(E395:F395)=2,E395*F395,"")</x:f>
      </x:c>
    </x:row>
    <x:row r="396">
      <x:c r="A396" s="66" t="n">
        <x:v>6</x:v>
      </x:c>
      <x:c r="B396" s="44" t="str">
        <x:v>Canola/Rapeseed</x:v>
      </x:c>
      <x:c r="C396" s="44" t="str">
        <x:v>BY 6211TF</x:v>
      </x:c>
      <x:c r="D396" s="66" t="n">
        <x:v>2025</x:v>
      </x:c>
      <x:c r="E396" s="67" t="n">
        <x:v>1523</x:v>
      </x:c>
      <x:c r="F396" s="68" t="n">
        <x:v>29.5</x:v>
      </x:c>
      <x:c r="G396" s="69" t="n">
        <x:f>IF(COUNT(E396:F396)=2,E396*F396,"")</x:f>
        <x:v>44928.5</x:v>
      </x:c>
    </x:row>
    <x:row r="397">
      <x:c r="A397" s="66" t="n">
        <x:v>6</x:v>
      </x:c>
      <x:c r="B397" s="44" t="str">
        <x:v>Canola/Rapeseed</x:v>
      </x:c>
      <x:c r="C397" s="44" t="str">
        <x:v>BY 7204LL</x:v>
      </x:c>
      <x:c r="D397" s="66" t="n">
        <x:v>2021</x:v>
      </x:c>
      <x:c r="E397" s="67"/>
      <x:c r="F397" s="68"/>
      <x:c r="G397" s="69" t="str">
        <x:f>IF(COUNT(E397:F397)=2,E397*F397,"")</x:f>
      </x:c>
    </x:row>
    <x:row r="398">
      <x:c r="A398" s="66" t="n">
        <x:v>6</x:v>
      </x:c>
      <x:c r="B398" s="44" t="str">
        <x:v>Canola/Rapeseed</x:v>
      </x:c>
      <x:c r="C398" s="44" t="str">
        <x:v>BY 7204LL</x:v>
      </x:c>
      <x:c r="D398" s="66" t="n">
        <x:v>2022</x:v>
      </x:c>
      <x:c r="E398" s="67"/>
      <x:c r="F398" s="68"/>
      <x:c r="G398" s="69" t="str">
        <x:f>IF(COUNT(E398:F398)=2,E398*F398,"")</x:f>
      </x:c>
    </x:row>
    <x:row r="399">
      <x:c r="A399" s="66" t="n">
        <x:v>6</x:v>
      </x:c>
      <x:c r="B399" s="44" t="str">
        <x:v>Canola/Rapeseed</x:v>
      </x:c>
      <x:c r="C399" s="44" t="str">
        <x:v>BY 7204LL</x:v>
      </x:c>
      <x:c r="D399" s="66" t="n">
        <x:v>2023</x:v>
      </x:c>
      <x:c r="E399" s="67"/>
      <x:c r="F399" s="68"/>
      <x:c r="G399" s="69" t="str">
        <x:f>IF(COUNT(E399:F399)=2,E399*F399,"")</x:f>
      </x:c>
    </x:row>
    <x:row r="400">
      <x:c r="A400" s="66" t="n">
        <x:v>6</x:v>
      </x:c>
      <x:c r="B400" s="44" t="str">
        <x:v>Canola/Rapeseed</x:v>
      </x:c>
      <x:c r="C400" s="44" t="str">
        <x:v>BY 7204LL</x:v>
      </x:c>
      <x:c r="D400" s="66" t="n">
        <x:v>2024</x:v>
      </x:c>
      <x:c r="E400" s="67" t="n">
        <x:v>459</x:v>
      </x:c>
      <x:c r="F400" s="68" t="n">
        <x:v>30.4</x:v>
      </x:c>
      <x:c r="G400" s="69" t="n">
        <x:f>IF(COUNT(E400:F400)=2,E400*F400,"")</x:f>
        <x:v>13953.599999999999</x:v>
      </x:c>
    </x:row>
    <x:row r="401">
      <x:c r="A401" s="66" t="n">
        <x:v>6</x:v>
      </x:c>
      <x:c r="B401" s="44" t="str">
        <x:v>Canola/Rapeseed</x:v>
      </x:c>
      <x:c r="C401" s="44" t="str">
        <x:v>BY 7204LL</x:v>
      </x:c>
      <x:c r="D401" s="66" t="n">
        <x:v>2025</x:v>
      </x:c>
      <x:c r="E401" s="67" t="n">
        <x:v>2715</x:v>
      </x:c>
      <x:c r="F401" s="68" t="n">
        <x:v>39.7</x:v>
      </x:c>
      <x:c r="G401" s="69" t="n">
        <x:f>IF(COUNT(E401:F401)=2,E401*F401,"")</x:f>
        <x:v>107785.50000000001</x:v>
      </x:c>
    </x:row>
    <x:row r="402">
      <x:c r="A402" s="66" t="n">
        <x:v>6</x:v>
      </x:c>
      <x:c r="B402" s="44" t="str">
        <x:v>Canola/Rapeseed</x:v>
      </x:c>
      <x:c r="C402" s="44" t="str">
        <x:v>DK 801 LL</x:v>
      </x:c>
      <x:c r="D402" s="66" t="n">
        <x:v>2021</x:v>
      </x:c>
      <x:c r="E402" s="67"/>
      <x:c r="F402" s="68"/>
      <x:c r="G402" s="69" t="str">
        <x:f>IF(COUNT(E402:F402)=2,E402*F402,"")</x:f>
      </x:c>
    </x:row>
    <x:row r="403">
      <x:c r="A403" s="66" t="n">
        <x:v>6</x:v>
      </x:c>
      <x:c r="B403" s="44" t="str">
        <x:v>Canola/Rapeseed</x:v>
      </x:c>
      <x:c r="C403" s="44" t="str">
        <x:v>DK 801 LL</x:v>
      </x:c>
      <x:c r="D403" s="66" t="n">
        <x:v>2022</x:v>
      </x:c>
      <x:c r="E403" s="67"/>
      <x:c r="F403" s="68"/>
      <x:c r="G403" s="69" t="str">
        <x:f>IF(COUNT(E403:F403)=2,E403*F403,"")</x:f>
      </x:c>
    </x:row>
    <x:row r="404">
      <x:c r="A404" s="66" t="n">
        <x:v>6</x:v>
      </x:c>
      <x:c r="B404" s="44" t="str">
        <x:v>Canola/Rapeseed</x:v>
      </x:c>
      <x:c r="C404" s="44" t="str">
        <x:v>DK 801 LL</x:v>
      </x:c>
      <x:c r="D404" s="66" t="n">
        <x:v>2023</x:v>
      </x:c>
      <x:c r="E404" s="67"/>
      <x:c r="F404" s="68"/>
      <x:c r="G404" s="69" t="str">
        <x:f>IF(COUNT(E404:F404)=2,E404*F404,"")</x:f>
      </x:c>
    </x:row>
    <x:row r="405">
      <x:c r="A405" s="66" t="n">
        <x:v>6</x:v>
      </x:c>
      <x:c r="B405" s="44" t="str">
        <x:v>Canola/Rapeseed</x:v>
      </x:c>
      <x:c r="C405" s="44" t="str">
        <x:v>DK 801 LL</x:v>
      </x:c>
      <x:c r="D405" s="66" t="n">
        <x:v>2024</x:v>
      </x:c>
      <x:c r="E405" s="67"/>
      <x:c r="F405" s="68"/>
      <x:c r="G405" s="69" t="str">
        <x:f>IF(COUNT(E405:F405)=2,E405*F405,"")</x:f>
      </x:c>
    </x:row>
    <x:row r="406">
      <x:c r="A406" s="66" t="n">
        <x:v>6</x:v>
      </x:c>
      <x:c r="B406" s="44" t="str">
        <x:v>Canola/Rapeseed</x:v>
      </x:c>
      <x:c r="C406" s="44" t="str">
        <x:v>DK 801 LL</x:v>
      </x:c>
      <x:c r="D406" s="66" t="n">
        <x:v>2025</x:v>
      </x:c>
      <x:c r="E406" s="67" t="n">
        <x:v>4742</x:v>
      </x:c>
      <x:c r="F406" s="68" t="n">
        <x:v>44.6</x:v>
      </x:c>
      <x:c r="G406" s="69" t="n">
        <x:f>IF(COUNT(E406:F406)=2,E406*F406,"")</x:f>
        <x:v>211493.2</x:v>
      </x:c>
    </x:row>
    <x:row r="407">
      <x:c r="A407" s="66" t="n">
        <x:v>6</x:v>
      </x:c>
      <x:c r="B407" s="44" t="str">
        <x:v>Canola/Rapeseed</x:v>
      </x:c>
      <x:c r="C407" s="44" t="str">
        <x:v>DKTFLL 21 SC</x:v>
      </x:c>
      <x:c r="D407" s="66" t="n">
        <x:v>2021</x:v>
      </x:c>
      <x:c r="E407" s="67" t="n">
        <x:v>3243</x:v>
      </x:c>
      <x:c r="F407" s="68" t="n">
        <x:v>17.8</x:v>
      </x:c>
      <x:c r="G407" s="69" t="n">
        <x:f>IF(COUNT(E407:F407)=2,E407*F407,"")</x:f>
        <x:v>57725.4</x:v>
      </x:c>
    </x:row>
    <x:row r="408">
      <x:c r="A408" s="66" t="n">
        <x:v>6</x:v>
      </x:c>
      <x:c r="B408" s="44" t="str">
        <x:v>Canola/Rapeseed</x:v>
      </x:c>
      <x:c r="C408" s="44" t="str">
        <x:v>DKTFLL 21 SC</x:v>
      </x:c>
      <x:c r="D408" s="66" t="n">
        <x:v>2022</x:v>
      </x:c>
      <x:c r="E408" s="67" t="n">
        <x:v>933</x:v>
      </x:c>
      <x:c r="F408" s="68" t="n">
        <x:v>31.1</x:v>
      </x:c>
      <x:c r="G408" s="69" t="n">
        <x:f>IF(COUNT(E408:F408)=2,E408*F408,"")</x:f>
        <x:v>29016.300000000003</x:v>
      </x:c>
    </x:row>
    <x:row r="409">
      <x:c r="A409" s="66" t="n">
        <x:v>6</x:v>
      </x:c>
      <x:c r="B409" s="44" t="str">
        <x:v>Canola/Rapeseed</x:v>
      </x:c>
      <x:c r="C409" s="44" t="str">
        <x:v>DKTFLL 21 SC</x:v>
      </x:c>
      <x:c r="D409" s="66" t="n">
        <x:v>2023</x:v>
      </x:c>
      <x:c r="E409" s="67" t="n">
        <x:v>5260</x:v>
      </x:c>
      <x:c r="F409" s="68" t="n">
        <x:v>14.2</x:v>
      </x:c>
      <x:c r="G409" s="69" t="n">
        <x:f>IF(COUNT(E409:F409)=2,E409*F409,"")</x:f>
        <x:v>74692</x:v>
      </x:c>
    </x:row>
    <x:row r="410">
      <x:c r="A410" s="66" t="n">
        <x:v>6</x:v>
      </x:c>
      <x:c r="B410" s="44" t="str">
        <x:v>Canola/Rapeseed</x:v>
      </x:c>
      <x:c r="C410" s="44" t="str">
        <x:v>DKTFLL 21 SC</x:v>
      </x:c>
      <x:c r="D410" s="66" t="n">
        <x:v>2024</x:v>
      </x:c>
      <x:c r="E410" s="67" t="n">
        <x:v>4246</x:v>
      </x:c>
      <x:c r="F410" s="68" t="n">
        <x:v>17.1</x:v>
      </x:c>
      <x:c r="G410" s="69" t="n">
        <x:f>IF(COUNT(E410:F410)=2,E410*F410,"")</x:f>
        <x:v>72606.6</x:v>
      </x:c>
    </x:row>
    <x:row r="411">
      <x:c r="A411" s="66" t="n">
        <x:v>6</x:v>
      </x:c>
      <x:c r="B411" s="44" t="str">
        <x:v>Canola/Rapeseed</x:v>
      </x:c>
      <x:c r="C411" s="44" t="str">
        <x:v>DKTFLL 21 SC</x:v>
      </x:c>
      <x:c r="D411" s="66" t="n">
        <x:v>2025</x:v>
      </x:c>
      <x:c r="E411" s="67" t="n">
        <x:v>674</x:v>
      </x:c>
      <x:c r="F411" s="68" t="n">
        <x:v>45</x:v>
      </x:c>
      <x:c r="G411" s="69" t="n">
        <x:f>IF(COUNT(E411:F411)=2,E411*F411,"")</x:f>
        <x:v>30330</x:v>
      </x:c>
    </x:row>
    <x:row r="412">
      <x:c r="A412" s="66" t="n">
        <x:v>6</x:v>
      </x:c>
      <x:c r="B412" s="44" t="str">
        <x:v>Canola/Rapeseed</x:v>
      </x:c>
      <x:c r="C412" s="44" t="str">
        <x:v>DK400TL</x:v>
      </x:c>
      <x:c r="D412" s="66" t="n">
        <x:v>2021</x:v>
      </x:c>
      <x:c r="E412" s="67"/>
      <x:c r="F412" s="68"/>
      <x:c r="G412" s="69" t="str">
        <x:f>IF(COUNT(E412:F412)=2,E412*F412,"")</x:f>
      </x:c>
    </x:row>
    <x:row r="413">
      <x:c r="A413" s="66" t="n">
        <x:v>6</x:v>
      </x:c>
      <x:c r="B413" s="44" t="str">
        <x:v>Canola/Rapeseed</x:v>
      </x:c>
      <x:c r="C413" s="44" t="str">
        <x:v>DK400TL</x:v>
      </x:c>
      <x:c r="D413" s="66" t="n">
        <x:v>2022</x:v>
      </x:c>
      <x:c r="E413" s="67"/>
      <x:c r="F413" s="68"/>
      <x:c r="G413" s="69" t="str">
        <x:f>IF(COUNT(E413:F413)=2,E413*F413,"")</x:f>
      </x:c>
    </x:row>
    <x:row r="414">
      <x:c r="A414" s="66" t="n">
        <x:v>6</x:v>
      </x:c>
      <x:c r="B414" s="44" t="str">
        <x:v>Canola/Rapeseed</x:v>
      </x:c>
      <x:c r="C414" s="44" t="str">
        <x:v>DK400TL</x:v>
      </x:c>
      <x:c r="D414" s="66" t="n">
        <x:v>2023</x:v>
      </x:c>
      <x:c r="E414" s="67"/>
      <x:c r="F414" s="68"/>
      <x:c r="G414" s="69" t="str">
        <x:f>IF(COUNT(E414:F414)=2,E414*F414,"")</x:f>
      </x:c>
    </x:row>
    <x:row r="415">
      <x:c r="A415" s="66" t="n">
        <x:v>6</x:v>
      </x:c>
      <x:c r="B415" s="44" t="str">
        <x:v>Canola/Rapeseed</x:v>
      </x:c>
      <x:c r="C415" s="44" t="str">
        <x:v>DK400TL</x:v>
      </x:c>
      <x:c r="D415" s="66" t="n">
        <x:v>2024</x:v>
      </x:c>
      <x:c r="E415" s="67" t="n">
        <x:v>655</x:v>
      </x:c>
      <x:c r="F415" s="68" t="n">
        <x:v>7.7</x:v>
      </x:c>
      <x:c r="G415" s="69" t="n">
        <x:f>IF(COUNT(E415:F415)=2,E415*F415,"")</x:f>
        <x:v>5043.5</x:v>
      </x:c>
    </x:row>
    <x:row r="416">
      <x:c r="A416" s="66" t="n">
        <x:v>6</x:v>
      </x:c>
      <x:c r="B416" s="44" t="str">
        <x:v>Canola/Rapeseed</x:v>
      </x:c>
      <x:c r="C416" s="44" t="str">
        <x:v>DK400TL</x:v>
      </x:c>
      <x:c r="D416" s="66" t="n">
        <x:v>2025</x:v>
      </x:c>
      <x:c r="E416" s="67" t="n">
        <x:v>3535</x:v>
      </x:c>
      <x:c r="F416" s="68" t="n">
        <x:v>32.7</x:v>
      </x:c>
      <x:c r="G416" s="69" t="n">
        <x:f>IF(COUNT(E416:F416)=2,E416*F416,"")</x:f>
        <x:v>115594.50000000001</x:v>
      </x:c>
    </x:row>
    <x:row r="417">
      <x:c r="A417" s="66" t="n">
        <x:v>6</x:v>
      </x:c>
      <x:c r="B417" s="44" t="str">
        <x:v>Canola/Rapeseed</x:v>
      </x:c>
      <x:c r="C417" s="44" t="str">
        <x:v>DK401TK</x:v>
      </x:c>
      <x:c r="D417" s="66" t="n">
        <x:v>2021</x:v>
      </x:c>
      <x:c r="E417" s="67"/>
      <x:c r="F417" s="68"/>
      <x:c r="G417" s="69" t="str">
        <x:f>IF(COUNT(E417:F417)=2,E417*F417,"")</x:f>
      </x:c>
    </x:row>
    <x:row r="418">
      <x:c r="A418" s="66" t="n">
        <x:v>6</x:v>
      </x:c>
      <x:c r="B418" s="44" t="str">
        <x:v>Canola/Rapeseed</x:v>
      </x:c>
      <x:c r="C418" s="44" t="str">
        <x:v>DK401TK</x:v>
      </x:c>
      <x:c r="D418" s="66" t="n">
        <x:v>2022</x:v>
      </x:c>
      <x:c r="E418" s="67"/>
      <x:c r="F418" s="68"/>
      <x:c r="G418" s="69" t="str">
        <x:f>IF(COUNT(E418:F418)=2,E418*F418,"")</x:f>
      </x:c>
    </x:row>
    <x:row r="419">
      <x:c r="A419" s="66" t="n">
        <x:v>6</x:v>
      </x:c>
      <x:c r="B419" s="44" t="str">
        <x:v>Canola/Rapeseed</x:v>
      </x:c>
      <x:c r="C419" s="44" t="str">
        <x:v>DK401TK</x:v>
      </x:c>
      <x:c r="D419" s="66" t="n">
        <x:v>2023</x:v>
      </x:c>
      <x:c r="E419" s="67"/>
      <x:c r="F419" s="68"/>
      <x:c r="G419" s="69" t="str">
        <x:f>IF(COUNT(E419:F419)=2,E419*F419,"")</x:f>
      </x:c>
    </x:row>
    <x:row r="420">
      <x:c r="A420" s="66" t="n">
        <x:v>6</x:v>
      </x:c>
      <x:c r="B420" s="44" t="str">
        <x:v>Canola/Rapeseed</x:v>
      </x:c>
      <x:c r="C420" s="44" t="str">
        <x:v>DK401TK</x:v>
      </x:c>
      <x:c r="D420" s="66" t="n">
        <x:v>2024</x:v>
      </x:c>
      <x:c r="E420" s="67"/>
      <x:c r="F420" s="68"/>
      <x:c r="G420" s="69" t="str">
        <x:f>IF(COUNT(E420:F420)=2,E420*F420,"")</x:f>
      </x:c>
    </x:row>
    <x:row r="421">
      <x:c r="A421" s="66" t="n">
        <x:v>6</x:v>
      </x:c>
      <x:c r="B421" s="44" t="str">
        <x:v>Canola/Rapeseed</x:v>
      </x:c>
      <x:c r="C421" s="44" t="str">
        <x:v>DK401TK</x:v>
      </x:c>
      <x:c r="D421" s="66" t="n">
        <x:v>2025</x:v>
      </x:c>
      <x:c r="E421" s="67" t="n">
        <x:v>2421</x:v>
      </x:c>
      <x:c r="F421" s="68" t="n">
        <x:v>37.4</x:v>
      </x:c>
      <x:c r="G421" s="69" t="n">
        <x:f>IF(COUNT(E421:F421)=2,E421*F421,"")</x:f>
        <x:v>90545.4</x:v>
      </x:c>
    </x:row>
    <x:row r="422">
      <x:c r="A422" s="66" t="n">
        <x:v>6</x:v>
      </x:c>
      <x:c r="B422" s="44" t="str">
        <x:v>Canola/Rapeseed</x:v>
      </x:c>
      <x:c r="C422" s="44" t="str">
        <x:v>DK800LL</x:v>
      </x:c>
      <x:c r="D422" s="66" t="n">
        <x:v>2021</x:v>
      </x:c>
      <x:c r="E422" s="67"/>
      <x:c r="F422" s="68"/>
      <x:c r="G422" s="69" t="str">
        <x:f>IF(COUNT(E422:F422)=2,E422*F422,"")</x:f>
      </x:c>
    </x:row>
    <x:row r="423">
      <x:c r="A423" s="66" t="n">
        <x:v>6</x:v>
      </x:c>
      <x:c r="B423" s="44" t="str">
        <x:v>Canola/Rapeseed</x:v>
      </x:c>
      <x:c r="C423" s="44" t="str">
        <x:v>DK800LL</x:v>
      </x:c>
      <x:c r="D423" s="66" t="n">
        <x:v>2022</x:v>
      </x:c>
      <x:c r="E423" s="67"/>
      <x:c r="F423" s="68"/>
      <x:c r="G423" s="69" t="str">
        <x:f>IF(COUNT(E423:F423)=2,E423*F423,"")</x:f>
      </x:c>
    </x:row>
    <x:row r="424">
      <x:c r="A424" s="66" t="n">
        <x:v>6</x:v>
      </x:c>
      <x:c r="B424" s="44" t="str">
        <x:v>Canola/Rapeseed</x:v>
      </x:c>
      <x:c r="C424" s="44" t="str">
        <x:v>DK800LL</x:v>
      </x:c>
      <x:c r="D424" s="66" t="n">
        <x:v>2023</x:v>
      </x:c>
      <x:c r="E424" s="67"/>
      <x:c r="F424" s="68"/>
      <x:c r="G424" s="69" t="str">
        <x:f>IF(COUNT(E424:F424)=2,E424*F424,"")</x:f>
      </x:c>
    </x:row>
    <x:row r="425">
      <x:c r="A425" s="66" t="n">
        <x:v>6</x:v>
      </x:c>
      <x:c r="B425" s="44" t="str">
        <x:v>Canola/Rapeseed</x:v>
      </x:c>
      <x:c r="C425" s="44" t="str">
        <x:v>DK800LL</x:v>
      </x:c>
      <x:c r="D425" s="66" t="n">
        <x:v>2024</x:v>
      </x:c>
      <x:c r="E425" s="67" t="n">
        <x:v>558</x:v>
      </x:c>
      <x:c r="F425" s="68" t="n">
        <x:v>18.8</x:v>
      </x:c>
      <x:c r="G425" s="69" t="n">
        <x:f>IF(COUNT(E425:F425)=2,E425*F425,"")</x:f>
        <x:v>10490.4</x:v>
      </x:c>
    </x:row>
    <x:row r="426">
      <x:c r="A426" s="66" t="n">
        <x:v>6</x:v>
      </x:c>
      <x:c r="B426" s="44" t="str">
        <x:v>Canola/Rapeseed</x:v>
      </x:c>
      <x:c r="C426" s="44" t="str">
        <x:v>DK800LL</x:v>
      </x:c>
      <x:c r="D426" s="66" t="n">
        <x:v>2025</x:v>
      </x:c>
      <x:c r="E426" s="67" t="n">
        <x:v>1855</x:v>
      </x:c>
      <x:c r="F426" s="68" t="n">
        <x:v>59.3</x:v>
      </x:c>
      <x:c r="G426" s="69" t="n">
        <x:f>IF(COUNT(E426:F426)=2,E426*F426,"")</x:f>
        <x:v>110001.5</x:v>
      </x:c>
    </x:row>
    <x:row r="427">
      <x:c r="A427" s="66" t="n">
        <x:v>6</x:v>
      </x:c>
      <x:c r="B427" s="44" t="str">
        <x:v>Canola/Rapeseed</x:v>
      </x:c>
      <x:c r="C427" s="44" t="str">
        <x:v>LR354PC</x:v>
      </x:c>
      <x:c r="D427" s="66" t="n">
        <x:v>2021</x:v>
      </x:c>
      <x:c r="E427" s="67"/>
      <x:c r="F427" s="68"/>
      <x:c r="G427" s="69" t="str">
        <x:f>IF(COUNT(E427:F427)=2,E427*F427,"")</x:f>
      </x:c>
    </x:row>
    <x:row r="428">
      <x:c r="A428" s="66" t="n">
        <x:v>6</x:v>
      </x:c>
      <x:c r="B428" s="44" t="str">
        <x:v>Canola/Rapeseed</x:v>
      </x:c>
      <x:c r="C428" s="44" t="str">
        <x:v>LR354PC</x:v>
      </x:c>
      <x:c r="D428" s="66" t="n">
        <x:v>2022</x:v>
      </x:c>
      <x:c r="E428" s="67"/>
      <x:c r="F428" s="68"/>
      <x:c r="G428" s="69" t="str">
        <x:f>IF(COUNT(E428:F428)=2,E428*F428,"")</x:f>
      </x:c>
    </x:row>
    <x:row r="429">
      <x:c r="A429" s="66" t="n">
        <x:v>6</x:v>
      </x:c>
      <x:c r="B429" s="44" t="str">
        <x:v>Canola/Rapeseed</x:v>
      </x:c>
      <x:c r="C429" s="44" t="str">
        <x:v>LR354PC</x:v>
      </x:c>
      <x:c r="D429" s="66" t="n">
        <x:v>2023</x:v>
      </x:c>
      <x:c r="E429" s="67" t="n">
        <x:v>5054</x:v>
      </x:c>
      <x:c r="F429" s="68" t="n">
        <x:v>17.4</x:v>
      </x:c>
      <x:c r="G429" s="69" t="n">
        <x:f>IF(COUNT(E429:F429)=2,E429*F429,"")</x:f>
        <x:v>87939.59999999999</x:v>
      </x:c>
    </x:row>
    <x:row r="430">
      <x:c r="A430" s="66" t="n">
        <x:v>6</x:v>
      </x:c>
      <x:c r="B430" s="44" t="str">
        <x:v>Canola/Rapeseed</x:v>
      </x:c>
      <x:c r="C430" s="44" t="str">
        <x:v>LR354PC</x:v>
      </x:c>
      <x:c r="D430" s="66" t="n">
        <x:v>2024</x:v>
      </x:c>
      <x:c r="E430" s="67" t="n">
        <x:v>2937</x:v>
      </x:c>
      <x:c r="F430" s="68" t="n">
        <x:v>16.8</x:v>
      </x:c>
      <x:c r="G430" s="69" t="n">
        <x:f>IF(COUNT(E430:F430)=2,E430*F430,"")</x:f>
        <x:v>49341.6</x:v>
      </x:c>
    </x:row>
    <x:row r="431">
      <x:c r="A431" s="66" t="n">
        <x:v>6</x:v>
      </x:c>
      <x:c r="B431" s="44" t="str">
        <x:v>Canola/Rapeseed</x:v>
      </x:c>
      <x:c r="C431" s="44" t="str">
        <x:v>LR354PC</x:v>
      </x:c>
      <x:c r="D431" s="66" t="n">
        <x:v>2025</x:v>
      </x:c>
      <x:c r="E431" s="67" t="n">
        <x:v>1330</x:v>
      </x:c>
      <x:c r="F431" s="68" t="n">
        <x:v>44.8</x:v>
      </x:c>
      <x:c r="G431" s="69" t="n">
        <x:f>IF(COUNT(E431:F431)=2,E431*F431,"")</x:f>
        <x:v>59583.99999999999</x:v>
      </x:c>
    </x:row>
    <x:row r="432">
      <x:c r="A432" s="66" t="n">
        <x:v>6</x:v>
      </x:c>
      <x:c r="B432" s="44" t="str">
        <x:v>Canola/Rapeseed</x:v>
      </x:c>
      <x:c r="C432" s="44" t="str">
        <x:v>L233P</x:v>
      </x:c>
      <x:c r="D432" s="66" t="n">
        <x:v>2021</x:v>
      </x:c>
      <x:c r="E432" s="67" t="n">
        <x:v>134957</x:v>
      </x:c>
      <x:c r="F432" s="68" t="n">
        <x:v>15.6</x:v>
      </x:c>
      <x:c r="G432" s="69" t="n">
        <x:f>IF(COUNT(E432:F432)=2,E432*F432,"")</x:f>
        <x:v>2105329.1999999997</x:v>
      </x:c>
    </x:row>
    <x:row r="433">
      <x:c r="A433" s="66" t="n">
        <x:v>6</x:v>
      </x:c>
      <x:c r="B433" s="44" t="str">
        <x:v>Canola/Rapeseed</x:v>
      </x:c>
      <x:c r="C433" s="44" t="str">
        <x:v>L233P</x:v>
      </x:c>
      <x:c r="D433" s="66" t="n">
        <x:v>2022</x:v>
      </x:c>
      <x:c r="E433" s="67" t="n">
        <x:v>124083</x:v>
      </x:c>
      <x:c r="F433" s="68" t="n">
        <x:v>24.6</x:v>
      </x:c>
      <x:c r="G433" s="69" t="n">
        <x:f>IF(COUNT(E433:F433)=2,E433*F433,"")</x:f>
        <x:v>3052441.8000000003</x:v>
      </x:c>
    </x:row>
    <x:row r="434">
      <x:c r="A434" s="66" t="n">
        <x:v>6</x:v>
      </x:c>
      <x:c r="B434" s="44" t="str">
        <x:v>Canola/Rapeseed</x:v>
      </x:c>
      <x:c r="C434" s="44" t="str">
        <x:v>L233P</x:v>
      </x:c>
      <x:c r="D434" s="66" t="n">
        <x:v>2023</x:v>
      </x:c>
      <x:c r="E434" s="67" t="n">
        <x:v>93601</x:v>
      </x:c>
      <x:c r="F434" s="68" t="n">
        <x:v>21</x:v>
      </x:c>
      <x:c r="G434" s="69" t="n">
        <x:f>IF(COUNT(E434:F434)=2,E434*F434,"")</x:f>
        <x:v>1965621</x:v>
      </x:c>
    </x:row>
    <x:row r="435">
      <x:c r="A435" s="66" t="n">
        <x:v>6</x:v>
      </x:c>
      <x:c r="B435" s="44" t="str">
        <x:v>Canola/Rapeseed</x:v>
      </x:c>
      <x:c r="C435" s="44" t="str">
        <x:v>L233P</x:v>
      </x:c>
      <x:c r="D435" s="66" t="n">
        <x:v>2024</x:v>
      </x:c>
      <x:c r="E435" s="67" t="n">
        <x:v>52360</x:v>
      </x:c>
      <x:c r="F435" s="68" t="n">
        <x:v>16.9</x:v>
      </x:c>
      <x:c r="G435" s="69" t="n">
        <x:f>IF(COUNT(E435:F435)=2,E435*F435,"")</x:f>
        <x:v>884883.9999999999</x:v>
      </x:c>
    </x:row>
    <x:row r="436">
      <x:c r="A436" s="66" t="n">
        <x:v>6</x:v>
      </x:c>
      <x:c r="B436" s="44" t="str">
        <x:v>Canola/Rapeseed</x:v>
      </x:c>
      <x:c r="C436" s="44" t="str">
        <x:v>L233P</x:v>
      </x:c>
      <x:c r="D436" s="66" t="n">
        <x:v>2025</x:v>
      </x:c>
      <x:c r="E436" s="67" t="n">
        <x:v>39989</x:v>
      </x:c>
      <x:c r="F436" s="68" t="n">
        <x:v>39.8</x:v>
      </x:c>
      <x:c r="G436" s="69" t="n">
        <x:f>IF(COUNT(E436:F436)=2,E436*F436,"")</x:f>
        <x:v>1591562.2</x:v>
      </x:c>
    </x:row>
    <x:row r="437">
      <x:c r="A437" s="66" t="n">
        <x:v>6</x:v>
      </x:c>
      <x:c r="B437" s="44" t="str">
        <x:v>Canola/Rapeseed</x:v>
      </x:c>
      <x:c r="C437" s="44" t="str">
        <x:v>L330PC</x:v>
      </x:c>
      <x:c r="D437" s="66" t="n">
        <x:v>2021</x:v>
      </x:c>
      <x:c r="E437" s="67"/>
      <x:c r="F437" s="68"/>
      <x:c r="G437" s="69" t="str">
        <x:f>IF(COUNT(E437:F437)=2,E437*F437,"")</x:f>
      </x:c>
    </x:row>
    <x:row r="438">
      <x:c r="A438" s="66" t="n">
        <x:v>6</x:v>
      </x:c>
      <x:c r="B438" s="44" t="str">
        <x:v>Canola/Rapeseed</x:v>
      </x:c>
      <x:c r="C438" s="44" t="str">
        <x:v>L330PC</x:v>
      </x:c>
      <x:c r="D438" s="66" t="n">
        <x:v>2022</x:v>
      </x:c>
      <x:c r="E438" s="67"/>
      <x:c r="F438" s="68"/>
      <x:c r="G438" s="69" t="str">
        <x:f>IF(COUNT(E438:F438)=2,E438*F438,"")</x:f>
      </x:c>
    </x:row>
    <x:row r="439">
      <x:c r="A439" s="66" t="n">
        <x:v>6</x:v>
      </x:c>
      <x:c r="B439" s="44" t="str">
        <x:v>Canola/Rapeseed</x:v>
      </x:c>
      <x:c r="C439" s="44" t="str">
        <x:v>L330PC</x:v>
      </x:c>
      <x:c r="D439" s="66" t="n">
        <x:v>2023</x:v>
      </x:c>
      <x:c r="E439" s="67"/>
      <x:c r="F439" s="68"/>
      <x:c r="G439" s="69" t="str">
        <x:f>IF(COUNT(E439:F439)=2,E439*F439,"")</x:f>
      </x:c>
    </x:row>
    <x:row r="440">
      <x:c r="A440" s="66" t="n">
        <x:v>6</x:v>
      </x:c>
      <x:c r="B440" s="44" t="str">
        <x:v>Canola/Rapeseed</x:v>
      </x:c>
      <x:c r="C440" s="44" t="str">
        <x:v>L330PC</x:v>
      </x:c>
      <x:c r="D440" s="66" t="n">
        <x:v>2024</x:v>
      </x:c>
      <x:c r="E440" s="67"/>
      <x:c r="F440" s="68"/>
      <x:c r="G440" s="69" t="str">
        <x:f>IF(COUNT(E440:F440)=2,E440*F440,"")</x:f>
      </x:c>
    </x:row>
    <x:row r="441">
      <x:c r="A441" s="66" t="n">
        <x:v>6</x:v>
      </x:c>
      <x:c r="B441" s="44" t="str">
        <x:v>Canola/Rapeseed</x:v>
      </x:c>
      <x:c r="C441" s="44" t="str">
        <x:v>L330PC</x:v>
      </x:c>
      <x:c r="D441" s="66" t="n">
        <x:v>2025</x:v>
      </x:c>
      <x:c r="E441" s="67" t="n">
        <x:v>14762</x:v>
      </x:c>
      <x:c r="F441" s="68" t="n">
        <x:v>42.2</x:v>
      </x:c>
      <x:c r="G441" s="69" t="n">
        <x:f>IF(COUNT(E441:F441)=2,E441*F441,"")</x:f>
        <x:v>622956.4</x:v>
      </x:c>
    </x:row>
    <x:row r="442">
      <x:c r="A442" s="66" t="n">
        <x:v>6</x:v>
      </x:c>
      <x:c r="B442" s="44" t="str">
        <x:v>Canola/Rapeseed</x:v>
      </x:c>
      <x:c r="C442" s="44" t="str">
        <x:v>L333PC</x:v>
      </x:c>
      <x:c r="D442" s="66" t="n">
        <x:v>2021</x:v>
      </x:c>
      <x:c r="E442" s="67"/>
      <x:c r="F442" s="68"/>
      <x:c r="G442" s="69" t="str">
        <x:f>IF(COUNT(E442:F442)=2,E442*F442,"")</x:f>
      </x:c>
    </x:row>
    <x:row r="443">
      <x:c r="A443" s="66" t="n">
        <x:v>6</x:v>
      </x:c>
      <x:c r="B443" s="44" t="str">
        <x:v>Canola/Rapeseed</x:v>
      </x:c>
      <x:c r="C443" s="44" t="str">
        <x:v>L333PC</x:v>
      </x:c>
      <x:c r="D443" s="66" t="n">
        <x:v>2022</x:v>
      </x:c>
      <x:c r="E443" s="67"/>
      <x:c r="F443" s="68"/>
      <x:c r="G443" s="69" t="str">
        <x:f>IF(COUNT(E443:F443)=2,E443*F443,"")</x:f>
      </x:c>
    </x:row>
    <x:row r="444">
      <x:c r="A444" s="66" t="n">
        <x:v>6</x:v>
      </x:c>
      <x:c r="B444" s="44" t="str">
        <x:v>Canola/Rapeseed</x:v>
      </x:c>
      <x:c r="C444" s="44" t="str">
        <x:v>L333PC</x:v>
      </x:c>
      <x:c r="D444" s="66" t="n">
        <x:v>2023</x:v>
      </x:c>
      <x:c r="E444" s="67"/>
      <x:c r="F444" s="68"/>
      <x:c r="G444" s="69" t="str">
        <x:f>IF(COUNT(E444:F444)=2,E444*F444,"")</x:f>
      </x:c>
    </x:row>
    <x:row r="445">
      <x:c r="A445" s="66" t="n">
        <x:v>6</x:v>
      </x:c>
      <x:c r="B445" s="44" t="str">
        <x:v>Canola/Rapeseed</x:v>
      </x:c>
      <x:c r="C445" s="44" t="str">
        <x:v>L333PC</x:v>
      </x:c>
      <x:c r="D445" s="66" t="n">
        <x:v>2024</x:v>
      </x:c>
      <x:c r="E445" s="67"/>
      <x:c r="F445" s="68"/>
      <x:c r="G445" s="69" t="str">
        <x:f>IF(COUNT(E445:F445)=2,E445*F445,"")</x:f>
      </x:c>
    </x:row>
    <x:row r="446">
      <x:c r="A446" s="66" t="n">
        <x:v>6</x:v>
      </x:c>
      <x:c r="B446" s="44" t="str">
        <x:v>Canola/Rapeseed</x:v>
      </x:c>
      <x:c r="C446" s="44" t="str">
        <x:v>L333PC</x:v>
      </x:c>
      <x:c r="D446" s="66" t="n">
        <x:v>2025</x:v>
      </x:c>
      <x:c r="E446" s="67" t="n">
        <x:v>8111</x:v>
      </x:c>
      <x:c r="F446" s="68" t="n">
        <x:v>48.6</x:v>
      </x:c>
      <x:c r="G446" s="69" t="n">
        <x:f>IF(COUNT(E446:F446)=2,E446*F446,"")</x:f>
        <x:v>394194.60000000003</x:v>
      </x:c>
    </x:row>
    <x:row r="447">
      <x:c r="A447" s="66" t="n">
        <x:v>6</x:v>
      </x:c>
      <x:c r="B447" s="44" t="str">
        <x:v>Canola/Rapeseed</x:v>
      </x:c>
      <x:c r="C447" s="44" t="str">
        <x:v>L340PC</x:v>
      </x:c>
      <x:c r="D447" s="66" t="n">
        <x:v>2021</x:v>
      </x:c>
      <x:c r="E447" s="67" t="n">
        <x:v>12640</x:v>
      </x:c>
      <x:c r="F447" s="68" t="n">
        <x:v>21.9</x:v>
      </x:c>
      <x:c r="G447" s="69" t="n">
        <x:f>IF(COUNT(E447:F447)=2,E447*F447,"")</x:f>
        <x:v>276816</x:v>
      </x:c>
    </x:row>
    <x:row r="448">
      <x:c r="A448" s="66" t="n">
        <x:v>6</x:v>
      </x:c>
      <x:c r="B448" s="44" t="str">
        <x:v>Canola/Rapeseed</x:v>
      </x:c>
      <x:c r="C448" s="44" t="str">
        <x:v>L340PC</x:v>
      </x:c>
      <x:c r="D448" s="66" t="n">
        <x:v>2022</x:v>
      </x:c>
      <x:c r="E448" s="67" t="n">
        <x:v>64931</x:v>
      </x:c>
      <x:c r="F448" s="68" t="n">
        <x:v>30.2</x:v>
      </x:c>
      <x:c r="G448" s="69" t="n">
        <x:f>IF(COUNT(E448:F448)=2,E448*F448,"")</x:f>
        <x:v>1960916.2</x:v>
      </x:c>
    </x:row>
    <x:row r="449">
      <x:c r="A449" s="66" t="n">
        <x:v>6</x:v>
      </x:c>
      <x:c r="B449" s="44" t="str">
        <x:v>Canola/Rapeseed</x:v>
      </x:c>
      <x:c r="C449" s="44" t="str">
        <x:v>L340PC</x:v>
      </x:c>
      <x:c r="D449" s="66" t="n">
        <x:v>2023</x:v>
      </x:c>
      <x:c r="E449" s="67" t="n">
        <x:v>104774</x:v>
      </x:c>
      <x:c r="F449" s="68" t="n">
        <x:v>22.8</x:v>
      </x:c>
      <x:c r="G449" s="69" t="n">
        <x:f>IF(COUNT(E449:F449)=2,E449*F449,"")</x:f>
        <x:v>2388847.2</x:v>
      </x:c>
    </x:row>
    <x:row r="450">
      <x:c r="A450" s="66" t="n">
        <x:v>6</x:v>
      </x:c>
      <x:c r="B450" s="44" t="str">
        <x:v>Canola/Rapeseed</x:v>
      </x:c>
      <x:c r="C450" s="44" t="str">
        <x:v>L340PC</x:v>
      </x:c>
      <x:c r="D450" s="66" t="n">
        <x:v>2024</x:v>
      </x:c>
      <x:c r="E450" s="67" t="n">
        <x:v>171308</x:v>
      </x:c>
      <x:c r="F450" s="68" t="n">
        <x:v>17</x:v>
      </x:c>
      <x:c r="G450" s="69" t="n">
        <x:f>IF(COUNT(E450:F450)=2,E450*F450,"")</x:f>
        <x:v>2912236</x:v>
      </x:c>
    </x:row>
    <x:row r="451">
      <x:c r="A451" s="66" t="n">
        <x:v>6</x:v>
      </x:c>
      <x:c r="B451" s="44" t="str">
        <x:v>Canola/Rapeseed</x:v>
      </x:c>
      <x:c r="C451" s="44" t="str">
        <x:v>L340PC</x:v>
      </x:c>
      <x:c r="D451" s="66" t="n">
        <x:v>2025</x:v>
      </x:c>
      <x:c r="E451" s="67" t="n">
        <x:v>172800</x:v>
      </x:c>
      <x:c r="F451" s="68" t="n">
        <x:v>38.1</x:v>
      </x:c>
      <x:c r="G451" s="69" t="n">
        <x:f>IF(COUNT(E451:F451)=2,E451*F451,"")</x:f>
        <x:v>6583680</x:v>
      </x:c>
    </x:row>
    <x:row r="452">
      <x:c r="A452" s="66" t="n">
        <x:v>6</x:v>
      </x:c>
      <x:c r="B452" s="44" t="str">
        <x:v>Canola/Rapeseed</x:v>
      </x:c>
      <x:c r="C452" s="44" t="str">
        <x:v>L341PC</x:v>
      </x:c>
      <x:c r="D452" s="66" t="n">
        <x:v>2021</x:v>
      </x:c>
      <x:c r="E452" s="67"/>
      <x:c r="F452" s="68"/>
      <x:c r="G452" s="69" t="str">
        <x:f>IF(COUNT(E452:F452)=2,E452*F452,"")</x:f>
      </x:c>
    </x:row>
    <x:row r="453">
      <x:c r="A453" s="66" t="n">
        <x:v>6</x:v>
      </x:c>
      <x:c r="B453" s="44" t="str">
        <x:v>Canola/Rapeseed</x:v>
      </x:c>
      <x:c r="C453" s="44" t="str">
        <x:v>L341PC</x:v>
      </x:c>
      <x:c r="D453" s="66" t="n">
        <x:v>2022</x:v>
      </x:c>
      <x:c r="E453" s="67"/>
      <x:c r="F453" s="68"/>
      <x:c r="G453" s="69" t="str">
        <x:f>IF(COUNT(E453:F453)=2,E453*F453,"")</x:f>
      </x:c>
    </x:row>
    <x:row r="454">
      <x:c r="A454" s="66" t="n">
        <x:v>6</x:v>
      </x:c>
      <x:c r="B454" s="44" t="str">
        <x:v>Canola/Rapeseed</x:v>
      </x:c>
      <x:c r="C454" s="44" t="str">
        <x:v>L341PC</x:v>
      </x:c>
      <x:c r="D454" s="66" t="n">
        <x:v>2023</x:v>
      </x:c>
      <x:c r="E454" s="67"/>
      <x:c r="F454" s="68"/>
      <x:c r="G454" s="69" t="str">
        <x:f>IF(COUNT(E454:F454)=2,E454*F454,"")</x:f>
      </x:c>
    </x:row>
    <x:row r="455">
      <x:c r="A455" s="66" t="n">
        <x:v>6</x:v>
      </x:c>
      <x:c r="B455" s="44" t="str">
        <x:v>Canola/Rapeseed</x:v>
      </x:c>
      <x:c r="C455" s="44" t="str">
        <x:v>L341PC</x:v>
      </x:c>
      <x:c r="D455" s="66" t="n">
        <x:v>2024</x:v>
      </x:c>
      <x:c r="E455" s="67"/>
      <x:c r="F455" s="68"/>
      <x:c r="G455" s="69" t="str">
        <x:f>IF(COUNT(E455:F455)=2,E455*F455,"")</x:f>
      </x:c>
    </x:row>
    <x:row r="456">
      <x:c r="A456" s="66" t="n">
        <x:v>6</x:v>
      </x:c>
      <x:c r="B456" s="44" t="str">
        <x:v>Canola/Rapeseed</x:v>
      </x:c>
      <x:c r="C456" s="44" t="str">
        <x:v>L341PC</x:v>
      </x:c>
      <x:c r="D456" s="66" t="n">
        <x:v>2025</x:v>
      </x:c>
      <x:c r="E456" s="67" t="n">
        <x:v>2127</x:v>
      </x:c>
      <x:c r="F456" s="68" t="n">
        <x:v>45.8</x:v>
      </x:c>
      <x:c r="G456" s="69" t="n">
        <x:f>IF(COUNT(E456:F456)=2,E456*F456,"")</x:f>
        <x:v>97416.59999999999</x:v>
      </x:c>
    </x:row>
    <x:row r="457">
      <x:c r="A457" s="66" t="n">
        <x:v>6</x:v>
      </x:c>
      <x:c r="B457" s="44" t="str">
        <x:v>Canola/Rapeseed</x:v>
      </x:c>
      <x:c r="C457" s="44" t="str">
        <x:v>L343PC</x:v>
      </x:c>
      <x:c r="D457" s="66" t="n">
        <x:v>2021</x:v>
      </x:c>
      <x:c r="E457" s="67"/>
      <x:c r="F457" s="68"/>
      <x:c r="G457" s="69" t="str">
        <x:f>IF(COUNT(E457:F457)=2,E457*F457,"")</x:f>
      </x:c>
    </x:row>
    <x:row r="458">
      <x:c r="A458" s="66" t="n">
        <x:v>6</x:v>
      </x:c>
      <x:c r="B458" s="44" t="str">
        <x:v>Canola/Rapeseed</x:v>
      </x:c>
      <x:c r="C458" s="44" t="str">
        <x:v>L343PC</x:v>
      </x:c>
      <x:c r="D458" s="66" t="n">
        <x:v>2022</x:v>
      </x:c>
      <x:c r="E458" s="67" t="n">
        <x:v>800</x:v>
      </x:c>
      <x:c r="F458" s="68" t="n">
        <x:v>24.8</x:v>
      </x:c>
      <x:c r="G458" s="69" t="n">
        <x:f>IF(COUNT(E458:F458)=2,E458*F458,"")</x:f>
        <x:v>19840</x:v>
      </x:c>
    </x:row>
    <x:row r="459">
      <x:c r="A459" s="66" t="n">
        <x:v>6</x:v>
      </x:c>
      <x:c r="B459" s="44" t="str">
        <x:v>Canola/Rapeseed</x:v>
      </x:c>
      <x:c r="C459" s="44" t="str">
        <x:v>L343PC</x:v>
      </x:c>
      <x:c r="D459" s="66" t="n">
        <x:v>2023</x:v>
      </x:c>
      <x:c r="E459" s="67" t="n">
        <x:v>2035</x:v>
      </x:c>
      <x:c r="F459" s="68" t="n">
        <x:v>28</x:v>
      </x:c>
      <x:c r="G459" s="69" t="n">
        <x:f>IF(COUNT(E459:F459)=2,E459*F459,"")</x:f>
        <x:v>56980</x:v>
      </x:c>
    </x:row>
    <x:row r="460">
      <x:c r="A460" s="66" t="n">
        <x:v>6</x:v>
      </x:c>
      <x:c r="B460" s="44" t="str">
        <x:v>Canola/Rapeseed</x:v>
      </x:c>
      <x:c r="C460" s="44" t="str">
        <x:v>L343PC</x:v>
      </x:c>
      <x:c r="D460" s="66" t="n">
        <x:v>2024</x:v>
      </x:c>
      <x:c r="E460" s="67" t="n">
        <x:v>1915</x:v>
      </x:c>
      <x:c r="F460" s="68" t="n">
        <x:v>16.1</x:v>
      </x:c>
      <x:c r="G460" s="69" t="n">
        <x:f>IF(COUNT(E460:F460)=2,E460*F460,"")</x:f>
        <x:v>30831.500000000004</x:v>
      </x:c>
    </x:row>
    <x:row r="461">
      <x:c r="A461" s="66" t="n">
        <x:v>6</x:v>
      </x:c>
      <x:c r="B461" s="44" t="str">
        <x:v>Canola/Rapeseed</x:v>
      </x:c>
      <x:c r="C461" s="44" t="str">
        <x:v>L343PC</x:v>
      </x:c>
      <x:c r="D461" s="66" t="n">
        <x:v>2025</x:v>
      </x:c>
      <x:c r="E461" s="67" t="n">
        <x:v>540</x:v>
      </x:c>
      <x:c r="F461" s="68" t="n">
        <x:v>44.8</x:v>
      </x:c>
      <x:c r="G461" s="69" t="n">
        <x:f>IF(COUNT(E461:F461)=2,E461*F461,"")</x:f>
        <x:v>24192</x:v>
      </x:c>
    </x:row>
    <x:row r="462">
      <x:c r="A462" s="66" t="n">
        <x:v>6</x:v>
      </x:c>
      <x:c r="B462" s="44" t="str">
        <x:v>Canola/Rapeseed</x:v>
      </x:c>
      <x:c r="C462" s="44" t="str">
        <x:v>L345PC</x:v>
      </x:c>
      <x:c r="D462" s="66" t="n">
        <x:v>2021</x:v>
      </x:c>
      <x:c r="E462" s="67" t="n">
        <x:v>70309</x:v>
      </x:c>
      <x:c r="F462" s="68" t="n">
        <x:v>16.6</x:v>
      </x:c>
      <x:c r="G462" s="69" t="n">
        <x:f>IF(COUNT(E462:F462)=2,E462*F462,"")</x:f>
        <x:v>1167129.4000000001</x:v>
      </x:c>
    </x:row>
    <x:row r="463">
      <x:c r="A463" s="66" t="n">
        <x:v>6</x:v>
      </x:c>
      <x:c r="B463" s="44" t="str">
        <x:v>Canola/Rapeseed</x:v>
      </x:c>
      <x:c r="C463" s="44" t="str">
        <x:v>L345PC</x:v>
      </x:c>
      <x:c r="D463" s="66" t="n">
        <x:v>2022</x:v>
      </x:c>
      <x:c r="E463" s="67" t="n">
        <x:v>80131</x:v>
      </x:c>
      <x:c r="F463" s="68" t="n">
        <x:v>26.4</x:v>
      </x:c>
      <x:c r="G463" s="69" t="n">
        <x:f>IF(COUNT(E463:F463)=2,E463*F463,"")</x:f>
        <x:v>2115458.4</x:v>
      </x:c>
    </x:row>
    <x:row r="464">
      <x:c r="A464" s="66" t="n">
        <x:v>6</x:v>
      </x:c>
      <x:c r="B464" s="44" t="str">
        <x:v>Canola/Rapeseed</x:v>
      </x:c>
      <x:c r="C464" s="44" t="str">
        <x:v>L345PC</x:v>
      </x:c>
      <x:c r="D464" s="66" t="n">
        <x:v>2023</x:v>
      </x:c>
      <x:c r="E464" s="67" t="n">
        <x:v>71165</x:v>
      </x:c>
      <x:c r="F464" s="68" t="n">
        <x:v>20.1</x:v>
      </x:c>
      <x:c r="G464" s="69" t="n">
        <x:f>IF(COUNT(E464:F464)=2,E464*F464,"")</x:f>
        <x:v>1430416.5</x:v>
      </x:c>
    </x:row>
    <x:row r="465">
      <x:c r="A465" s="66" t="n">
        <x:v>6</x:v>
      </x:c>
      <x:c r="B465" s="44" t="str">
        <x:v>Canola/Rapeseed</x:v>
      </x:c>
      <x:c r="C465" s="44" t="str">
        <x:v>L345PC</x:v>
      </x:c>
      <x:c r="D465" s="66" t="n">
        <x:v>2024</x:v>
      </x:c>
      <x:c r="E465" s="67" t="n">
        <x:v>61251</x:v>
      </x:c>
      <x:c r="F465" s="68" t="n">
        <x:v>19.7</x:v>
      </x:c>
      <x:c r="G465" s="69" t="n">
        <x:f>IF(COUNT(E465:F465)=2,E465*F465,"")</x:f>
        <x:v>1206644.7</x:v>
      </x:c>
    </x:row>
    <x:row r="466">
      <x:c r="A466" s="66" t="n">
        <x:v>6</x:v>
      </x:c>
      <x:c r="B466" s="44" t="str">
        <x:v>Canola/Rapeseed</x:v>
      </x:c>
      <x:c r="C466" s="44" t="str">
        <x:v>L345PC</x:v>
      </x:c>
      <x:c r="D466" s="66" t="n">
        <x:v>2025</x:v>
      </x:c>
      <x:c r="E466" s="67" t="n">
        <x:v>24257</x:v>
      </x:c>
      <x:c r="F466" s="68" t="n">
        <x:v>36.9</x:v>
      </x:c>
      <x:c r="G466" s="69" t="n">
        <x:f>IF(COUNT(E466:F466)=2,E466*F466,"")</x:f>
        <x:v>895083.2999999999</x:v>
      </x:c>
    </x:row>
    <x:row r="467">
      <x:c r="A467" s="66" t="n">
        <x:v>6</x:v>
      </x:c>
      <x:c r="B467" s="44" t="str">
        <x:v>Canola/Rapeseed</x:v>
      </x:c>
      <x:c r="C467" s="44" t="str">
        <x:v>L356PC</x:v>
      </x:c>
      <x:c r="D467" s="66" t="n">
        <x:v>2021</x:v>
      </x:c>
      <x:c r="E467" s="67"/>
      <x:c r="F467" s="68"/>
      <x:c r="G467" s="69" t="str">
        <x:f>IF(COUNT(E467:F467)=2,E467*F467,"")</x:f>
      </x:c>
    </x:row>
    <x:row r="468">
      <x:c r="A468" s="66" t="n">
        <x:v>6</x:v>
      </x:c>
      <x:c r="B468" s="44" t="str">
        <x:v>Canola/Rapeseed</x:v>
      </x:c>
      <x:c r="C468" s="44" t="str">
        <x:v>L356PC</x:v>
      </x:c>
      <x:c r="D468" s="66" t="n">
        <x:v>2022</x:v>
      </x:c>
      <x:c r="E468" s="67"/>
      <x:c r="F468" s="68"/>
      <x:c r="G468" s="69" t="str">
        <x:f>IF(COUNT(E468:F468)=2,E468*F468,"")</x:f>
      </x:c>
    </x:row>
    <x:row r="469">
      <x:c r="A469" s="66" t="n">
        <x:v>6</x:v>
      </x:c>
      <x:c r="B469" s="44" t="str">
        <x:v>Canola/Rapeseed</x:v>
      </x:c>
      <x:c r="C469" s="44" t="str">
        <x:v>L356PC</x:v>
      </x:c>
      <x:c r="D469" s="66" t="n">
        <x:v>2023</x:v>
      </x:c>
      <x:c r="E469" s="67" t="n">
        <x:v>18275</x:v>
      </x:c>
      <x:c r="F469" s="68" t="n">
        <x:v>27.7</x:v>
      </x:c>
      <x:c r="G469" s="69" t="n">
        <x:f>IF(COUNT(E469:F469)=2,E469*F469,"")</x:f>
        <x:v>506217.5</x:v>
      </x:c>
    </x:row>
    <x:row r="470">
      <x:c r="A470" s="66" t="n">
        <x:v>6</x:v>
      </x:c>
      <x:c r="B470" s="44" t="str">
        <x:v>Canola/Rapeseed</x:v>
      </x:c>
      <x:c r="C470" s="44" t="str">
        <x:v>L356PC</x:v>
      </x:c>
      <x:c r="D470" s="66" t="n">
        <x:v>2024</x:v>
      </x:c>
      <x:c r="E470" s="67" t="n">
        <x:v>24072</x:v>
      </x:c>
      <x:c r="F470" s="68" t="n">
        <x:v>18.7</x:v>
      </x:c>
      <x:c r="G470" s="69" t="n">
        <x:f>IF(COUNT(E470:F470)=2,E470*F470,"")</x:f>
        <x:v>450146.39999999997</x:v>
      </x:c>
    </x:row>
    <x:row r="471">
      <x:c r="A471" s="66" t="n">
        <x:v>6</x:v>
      </x:c>
      <x:c r="B471" s="44" t="str">
        <x:v>Canola/Rapeseed</x:v>
      </x:c>
      <x:c r="C471" s="44" t="str">
        <x:v>L356PC</x:v>
      </x:c>
      <x:c r="D471" s="66" t="n">
        <x:v>2025</x:v>
      </x:c>
      <x:c r="E471" s="67" t="n">
        <x:v>26893</x:v>
      </x:c>
      <x:c r="F471" s="68" t="n">
        <x:v>39.7</x:v>
      </x:c>
      <x:c r="G471" s="69" t="n">
        <x:f>IF(COUNT(E471:F471)=2,E471*F471,"")</x:f>
        <x:v>1067652.1</x:v>
      </x:c>
    </x:row>
    <x:row r="472">
      <x:c r="A472" s="66" t="n">
        <x:v>6</x:v>
      </x:c>
      <x:c r="B472" s="44" t="str">
        <x:v>Canola/Rapeseed</x:v>
      </x:c>
      <x:c r="C472" s="44" t="str">
        <x:v>P1540L</x:v>
      </x:c>
      <x:c r="D472" s="66" t="n">
        <x:v>2021</x:v>
      </x:c>
      <x:c r="E472" s="67"/>
      <x:c r="F472" s="68"/>
      <x:c r="G472" s="69" t="str">
        <x:f>IF(COUNT(E472:F472)=2,E472*F472,"")</x:f>
      </x:c>
    </x:row>
    <x:row r="473">
      <x:c r="A473" s="66" t="n">
        <x:v>6</x:v>
      </x:c>
      <x:c r="B473" s="44" t="str">
        <x:v>Canola/Rapeseed</x:v>
      </x:c>
      <x:c r="C473" s="44" t="str">
        <x:v>P1540L</x:v>
      </x:c>
      <x:c r="D473" s="66" t="n">
        <x:v>2022</x:v>
      </x:c>
      <x:c r="E473" s="67"/>
      <x:c r="F473" s="68"/>
      <x:c r="G473" s="69" t="str">
        <x:f>IF(COUNT(E473:F473)=2,E473*F473,"")</x:f>
      </x:c>
    </x:row>
    <x:row r="474">
      <x:c r="A474" s="66" t="n">
        <x:v>6</x:v>
      </x:c>
      <x:c r="B474" s="44" t="str">
        <x:v>Canola/Rapeseed</x:v>
      </x:c>
      <x:c r="C474" s="44" t="str">
        <x:v>P1540L</x:v>
      </x:c>
      <x:c r="D474" s="66" t="n">
        <x:v>2023</x:v>
      </x:c>
      <x:c r="E474" s="67"/>
      <x:c r="F474" s="68"/>
      <x:c r="G474" s="69" t="str">
        <x:f>IF(COUNT(E474:F474)=2,E474*F474,"")</x:f>
      </x:c>
    </x:row>
    <x:row r="475">
      <x:c r="A475" s="66" t="n">
        <x:v>6</x:v>
      </x:c>
      <x:c r="B475" s="44" t="str">
        <x:v>Canola/Rapeseed</x:v>
      </x:c>
      <x:c r="C475" s="44" t="str">
        <x:v>P1540L</x:v>
      </x:c>
      <x:c r="D475" s="66" t="n">
        <x:v>2024</x:v>
      </x:c>
      <x:c r="E475" s="67"/>
      <x:c r="F475" s="68"/>
      <x:c r="G475" s="69" t="str">
        <x:f>IF(COUNT(E475:F475)=2,E475*F475,"")</x:f>
      </x:c>
    </x:row>
    <x:row r="476">
      <x:c r="A476" s="66" t="n">
        <x:v>6</x:v>
      </x:c>
      <x:c r="B476" s="44" t="str">
        <x:v>Canola/Rapeseed</x:v>
      </x:c>
      <x:c r="C476" s="44" t="str">
        <x:v>P1540L</x:v>
      </x:c>
      <x:c r="D476" s="66" t="n">
        <x:v>2025</x:v>
      </x:c>
      <x:c r="E476" s="67" t="n">
        <x:v>580</x:v>
      </x:c>
      <x:c r="F476" s="68" t="n">
        <x:v>53.1</x:v>
      </x:c>
      <x:c r="G476" s="69" t="n">
        <x:f>IF(COUNT(E476:F476)=2,E476*F476,"")</x:f>
        <x:v>30798</x:v>
      </x:c>
    </x:row>
    <x:row r="477">
      <x:c r="A477" s="66" t="n">
        <x:v>6</x:v>
      </x:c>
      <x:c r="B477" s="44" t="str">
        <x:v>Canola/Rapeseed</x:v>
      </x:c>
      <x:c r="C477" s="44" t="str">
        <x:v>P520L</x:v>
      </x:c>
      <x:c r="D477" s="66" t="n">
        <x:v>2021</x:v>
      </x:c>
      <x:c r="E477" s="67"/>
      <x:c r="F477" s="68"/>
      <x:c r="G477" s="69" t="str">
        <x:f>IF(COUNT(E477:F477)=2,E477*F477,"")</x:f>
      </x:c>
    </x:row>
    <x:row r="478">
      <x:c r="A478" s="66" t="n">
        <x:v>6</x:v>
      </x:c>
      <x:c r="B478" s="44" t="str">
        <x:v>Canola/Rapeseed</x:v>
      </x:c>
      <x:c r="C478" s="44" t="str">
        <x:v>P520L</x:v>
      </x:c>
      <x:c r="D478" s="66" t="n">
        <x:v>2022</x:v>
      </x:c>
      <x:c r="E478" s="67"/>
      <x:c r="F478" s="68"/>
      <x:c r="G478" s="69" t="str">
        <x:f>IF(COUNT(E478:F478)=2,E478*F478,"")</x:f>
      </x:c>
    </x:row>
    <x:row r="479">
      <x:c r="A479" s="66" t="n">
        <x:v>6</x:v>
      </x:c>
      <x:c r="B479" s="44" t="str">
        <x:v>Canola/Rapeseed</x:v>
      </x:c>
      <x:c r="C479" s="44" t="str">
        <x:v>P520L</x:v>
      </x:c>
      <x:c r="D479" s="66" t="n">
        <x:v>2023</x:v>
      </x:c>
      <x:c r="E479" s="67"/>
      <x:c r="F479" s="68"/>
      <x:c r="G479" s="69" t="str">
        <x:f>IF(COUNT(E479:F479)=2,E479*F479,"")</x:f>
      </x:c>
    </x:row>
    <x:row r="480">
      <x:c r="A480" s="66" t="n">
        <x:v>6</x:v>
      </x:c>
      <x:c r="B480" s="44" t="str">
        <x:v>Canola/Rapeseed</x:v>
      </x:c>
      <x:c r="C480" s="44" t="str">
        <x:v>P520L</x:v>
      </x:c>
      <x:c r="D480" s="66" t="n">
        <x:v>2024</x:v>
      </x:c>
      <x:c r="E480" s="67" t="n">
        <x:v>832</x:v>
      </x:c>
      <x:c r="F480" s="68" t="n">
        <x:v>19.9</x:v>
      </x:c>
      <x:c r="G480" s="69" t="n">
        <x:f>IF(COUNT(E480:F480)=2,E480*F480,"")</x:f>
        <x:v>16556.8</x:v>
      </x:c>
    </x:row>
    <x:row r="481">
      <x:c r="A481" s="66" t="n">
        <x:v>6</x:v>
      </x:c>
      <x:c r="B481" s="44" t="str">
        <x:v>Canola/Rapeseed</x:v>
      </x:c>
      <x:c r="C481" s="44" t="str">
        <x:v>P520L</x:v>
      </x:c>
      <x:c r="D481" s="66" t="n">
        <x:v>2025</x:v>
      </x:c>
      <x:c r="E481" s="67" t="n">
        <x:v>6445</x:v>
      </x:c>
      <x:c r="F481" s="68" t="n">
        <x:v>38.7</x:v>
      </x:c>
      <x:c r="G481" s="69" t="n">
        <x:f>IF(COUNT(E481:F481)=2,E481*F481,"")</x:f>
        <x:v>249421.50000000003</x:v>
      </x:c>
    </x:row>
    <x:row r="482">
      <x:c r="A482" s="66" t="n">
        <x:v>7</x:v>
      </x:c>
      <x:c r="B482" s="44" t="str">
        <x:v>Canola/Rapeseed</x:v>
      </x:c>
      <x:c r="C482" s="44" t="str">
        <x:v>BY 5125CL</x:v>
      </x:c>
      <x:c r="D482" s="66" t="n">
        <x:v>2021</x:v>
      </x:c>
      <x:c r="E482" s="67" t="n">
        <x:v>1838</x:v>
      </x:c>
      <x:c r="F482" s="68" t="n">
        <x:v>27.3</x:v>
      </x:c>
      <x:c r="G482" s="69" t="n">
        <x:f>IF(COUNT(E482:F482)=2,E482*F482,"")</x:f>
        <x:v>50177.4</x:v>
      </x:c>
    </x:row>
    <x:row r="483">
      <x:c r="A483" s="66" t="n">
        <x:v>7</x:v>
      </x:c>
      <x:c r="B483" s="44" t="str">
        <x:v>Canola/Rapeseed</x:v>
      </x:c>
      <x:c r="C483" s="44" t="str">
        <x:v>BY 5125CL</x:v>
      </x:c>
      <x:c r="D483" s="66" t="n">
        <x:v>2022</x:v>
      </x:c>
      <x:c r="E483" s="67" t="n">
        <x:v>1800</x:v>
      </x:c>
      <x:c r="F483" s="68" t="n">
        <x:v>39.8</x:v>
      </x:c>
      <x:c r="G483" s="69" t="n">
        <x:f>IF(COUNT(E483:F483)=2,E483*F483,"")</x:f>
        <x:v>71640</x:v>
      </x:c>
    </x:row>
    <x:row r="484">
      <x:c r="A484" s="66" t="n">
        <x:v>7</x:v>
      </x:c>
      <x:c r="B484" s="44" t="str">
        <x:v>Canola/Rapeseed</x:v>
      </x:c>
      <x:c r="C484" s="44" t="str">
        <x:v>BY 5125CL</x:v>
      </x:c>
      <x:c r="D484" s="66" t="n">
        <x:v>2023</x:v>
      </x:c>
      <x:c r="E484" s="67" t="n">
        <x:v>5481</x:v>
      </x:c>
      <x:c r="F484" s="68" t="n">
        <x:v>41</x:v>
      </x:c>
      <x:c r="G484" s="69" t="n">
        <x:f>IF(COUNT(E484:F484)=2,E484*F484,"")</x:f>
        <x:v>224721</x:v>
      </x:c>
    </x:row>
    <x:row r="485">
      <x:c r="A485" s="66" t="n">
        <x:v>7</x:v>
      </x:c>
      <x:c r="B485" s="44" t="str">
        <x:v>Canola/Rapeseed</x:v>
      </x:c>
      <x:c r="C485" s="44" t="str">
        <x:v>BY 5125CL</x:v>
      </x:c>
      <x:c r="D485" s="66" t="n">
        <x:v>2024</x:v>
      </x:c>
      <x:c r="E485" s="67" t="n">
        <x:v>1539</x:v>
      </x:c>
      <x:c r="F485" s="68" t="n">
        <x:v>34.5</x:v>
      </x:c>
      <x:c r="G485" s="69" t="n">
        <x:f>IF(COUNT(E485:F485)=2,E485*F485,"")</x:f>
        <x:v>53095.5</x:v>
      </x:c>
    </x:row>
    <x:row r="486">
      <x:c r="A486" s="66" t="n">
        <x:v>7</x:v>
      </x:c>
      <x:c r="B486" s="44" t="str">
        <x:v>Canola/Rapeseed</x:v>
      </x:c>
      <x:c r="C486" s="44" t="str">
        <x:v>BY 5125CL</x:v>
      </x:c>
      <x:c r="D486" s="66" t="n">
        <x:v>2025</x:v>
      </x:c>
      <x:c r="E486" s="67" t="n">
        <x:v>4072</x:v>
      </x:c>
      <x:c r="F486" s="68" t="n">
        <x:v>43.9</x:v>
      </x:c>
      <x:c r="G486" s="69" t="n">
        <x:f>IF(COUNT(E486:F486)=2,E486*F486,"")</x:f>
        <x:v>178760.8</x:v>
      </x:c>
    </x:row>
    <x:row r="487">
      <x:c r="A487" s="66" t="n">
        <x:v>7</x:v>
      </x:c>
      <x:c r="B487" s="44" t="str">
        <x:v>Canola/Rapeseed</x:v>
      </x:c>
      <x:c r="C487" s="44" t="str">
        <x:v>BY 6211TF</x:v>
      </x:c>
      <x:c r="D487" s="66" t="n">
        <x:v>2021</x:v>
      </x:c>
      <x:c r="E487" s="67"/>
      <x:c r="F487" s="68"/>
      <x:c r="G487" s="69" t="str">
        <x:f>IF(COUNT(E487:F487)=2,E487*F487,"")</x:f>
      </x:c>
    </x:row>
    <x:row r="488">
      <x:c r="A488" s="66" t="n">
        <x:v>7</x:v>
      </x:c>
      <x:c r="B488" s="44" t="str">
        <x:v>Canola/Rapeseed</x:v>
      </x:c>
      <x:c r="C488" s="44" t="str">
        <x:v>BY 6211TF</x:v>
      </x:c>
      <x:c r="D488" s="66" t="n">
        <x:v>2022</x:v>
      </x:c>
      <x:c r="E488" s="67" t="n">
        <x:v>1741</x:v>
      </x:c>
      <x:c r="F488" s="68" t="n">
        <x:v>41.1</x:v>
      </x:c>
      <x:c r="G488" s="69" t="n">
        <x:f>IF(COUNT(E488:F488)=2,E488*F488,"")</x:f>
        <x:v>71555.1</x:v>
      </x:c>
    </x:row>
    <x:row r="489">
      <x:c r="A489" s="66" t="n">
        <x:v>7</x:v>
      </x:c>
      <x:c r="B489" s="44" t="str">
        <x:v>Canola/Rapeseed</x:v>
      </x:c>
      <x:c r="C489" s="44" t="str">
        <x:v>BY 6211TF</x:v>
      </x:c>
      <x:c r="D489" s="66" t="n">
        <x:v>2023</x:v>
      </x:c>
      <x:c r="E489" s="67" t="n">
        <x:v>4245</x:v>
      </x:c>
      <x:c r="F489" s="68" t="n">
        <x:v>38</x:v>
      </x:c>
      <x:c r="G489" s="69" t="n">
        <x:f>IF(COUNT(E489:F489)=2,E489*F489,"")</x:f>
        <x:v>161310</x:v>
      </x:c>
    </x:row>
    <x:row r="490">
      <x:c r="A490" s="66" t="n">
        <x:v>7</x:v>
      </x:c>
      <x:c r="B490" s="44" t="str">
        <x:v>Canola/Rapeseed</x:v>
      </x:c>
      <x:c r="C490" s="44" t="str">
        <x:v>BY 6211TF</x:v>
      </x:c>
      <x:c r="D490" s="66" t="n">
        <x:v>2024</x:v>
      </x:c>
      <x:c r="E490" s="67" t="n">
        <x:v>1417</x:v>
      </x:c>
      <x:c r="F490" s="68" t="n">
        <x:v>34.3</x:v>
      </x:c>
      <x:c r="G490" s="69" t="n">
        <x:f>IF(COUNT(E490:F490)=2,E490*F490,"")</x:f>
        <x:v>48603.1</x:v>
      </x:c>
    </x:row>
    <x:row r="491">
      <x:c r="A491" s="66" t="n">
        <x:v>7</x:v>
      </x:c>
      <x:c r="B491" s="44" t="str">
        <x:v>Canola/Rapeseed</x:v>
      </x:c>
      <x:c r="C491" s="44" t="str">
        <x:v>BY 6211TF</x:v>
      </x:c>
      <x:c r="D491" s="66" t="n">
        <x:v>2025</x:v>
      </x:c>
      <x:c r="E491" s="67" t="n">
        <x:v>1641</x:v>
      </x:c>
      <x:c r="F491" s="68" t="n">
        <x:v>42</x:v>
      </x:c>
      <x:c r="G491" s="69" t="n">
        <x:f>IF(COUNT(E491:F491)=2,E491*F491,"")</x:f>
        <x:v>68922</x:v>
      </x:c>
    </x:row>
    <x:row r="492">
      <x:c r="A492" s="66" t="n">
        <x:v>7</x:v>
      </x:c>
      <x:c r="B492" s="44" t="str">
        <x:v>Canola/Rapeseed</x:v>
      </x:c>
      <x:c r="C492" s="44" t="str">
        <x:v>BY 6217TF</x:v>
      </x:c>
      <x:c r="D492" s="66" t="n">
        <x:v>2021</x:v>
      </x:c>
      <x:c r="E492" s="67"/>
      <x:c r="F492" s="68"/>
      <x:c r="G492" s="69" t="str">
        <x:f>IF(COUNT(E492:F492)=2,E492*F492,"")</x:f>
      </x:c>
    </x:row>
    <x:row r="493">
      <x:c r="A493" s="66" t="n">
        <x:v>7</x:v>
      </x:c>
      <x:c r="B493" s="44" t="str">
        <x:v>Canola/Rapeseed</x:v>
      </x:c>
      <x:c r="C493" s="44" t="str">
        <x:v>BY 6217TF</x:v>
      </x:c>
      <x:c r="D493" s="66" t="n">
        <x:v>2022</x:v>
      </x:c>
      <x:c r="E493" s="67"/>
      <x:c r="F493" s="68"/>
      <x:c r="G493" s="69" t="str">
        <x:f>IF(COUNT(E493:F493)=2,E493*F493,"")</x:f>
      </x:c>
    </x:row>
    <x:row r="494">
      <x:c r="A494" s="66" t="n">
        <x:v>7</x:v>
      </x:c>
      <x:c r="B494" s="44" t="str">
        <x:v>Canola/Rapeseed</x:v>
      </x:c>
      <x:c r="C494" s="44" t="str">
        <x:v>BY 6217TF</x:v>
      </x:c>
      <x:c r="D494" s="66" t="n">
        <x:v>2023</x:v>
      </x:c>
      <x:c r="E494" s="67" t="n">
        <x:v>6734</x:v>
      </x:c>
      <x:c r="F494" s="68" t="n">
        <x:v>32.1</x:v>
      </x:c>
      <x:c r="G494" s="69" t="n">
        <x:f>IF(COUNT(E494:F494)=2,E494*F494,"")</x:f>
        <x:v>216161.40000000002</x:v>
      </x:c>
    </x:row>
    <x:row r="495">
      <x:c r="A495" s="66" t="n">
        <x:v>7</x:v>
      </x:c>
      <x:c r="B495" s="44" t="str">
        <x:v>Canola/Rapeseed</x:v>
      </x:c>
      <x:c r="C495" s="44" t="str">
        <x:v>BY 6217TF</x:v>
      </x:c>
      <x:c r="D495" s="66" t="n">
        <x:v>2024</x:v>
      </x:c>
      <x:c r="E495" s="67" t="n">
        <x:v>3032</x:v>
      </x:c>
      <x:c r="F495" s="68" t="n">
        <x:v>36.3</x:v>
      </x:c>
      <x:c r="G495" s="69" t="n">
        <x:f>IF(COUNT(E495:F495)=2,E495*F495,"")</x:f>
        <x:v>110061.59999999999</x:v>
      </x:c>
    </x:row>
    <x:row r="496">
      <x:c r="A496" s="66" t="n">
        <x:v>7</x:v>
      </x:c>
      <x:c r="B496" s="44" t="str">
        <x:v>Canola/Rapeseed</x:v>
      </x:c>
      <x:c r="C496" s="44" t="str">
        <x:v>BY 6217TF</x:v>
      </x:c>
      <x:c r="D496" s="66" t="n">
        <x:v>2025</x:v>
      </x:c>
      <x:c r="E496" s="67" t="n">
        <x:v>1638</x:v>
      </x:c>
      <x:c r="F496" s="68" t="n">
        <x:v>38.4</x:v>
      </x:c>
      <x:c r="G496" s="69" t="n">
        <x:f>IF(COUNT(E496:F496)=2,E496*F496,"")</x:f>
        <x:v>62899.2</x:v>
      </x:c>
    </x:row>
    <x:row r="497">
      <x:c r="A497" s="66" t="n">
        <x:v>7</x:v>
      </x:c>
      <x:c r="B497" s="44" t="str">
        <x:v>Canola/Rapeseed</x:v>
      </x:c>
      <x:c r="C497" s="44" t="str">
        <x:v>BY 7204LL</x:v>
      </x:c>
      <x:c r="D497" s="66" t="n">
        <x:v>2021</x:v>
      </x:c>
      <x:c r="E497" s="67"/>
      <x:c r="F497" s="68"/>
      <x:c r="G497" s="69" t="str">
        <x:f>IF(COUNT(E497:F497)=2,E497*F497,"")</x:f>
      </x:c>
    </x:row>
    <x:row r="498">
      <x:c r="A498" s="66" t="n">
        <x:v>7</x:v>
      </x:c>
      <x:c r="B498" s="44" t="str">
        <x:v>Canola/Rapeseed</x:v>
      </x:c>
      <x:c r="C498" s="44" t="str">
        <x:v>BY 7204LL</x:v>
      </x:c>
      <x:c r="D498" s="66" t="n">
        <x:v>2022</x:v>
      </x:c>
      <x:c r="E498" s="67"/>
      <x:c r="F498" s="68"/>
      <x:c r="G498" s="69" t="str">
        <x:f>IF(COUNT(E498:F498)=2,E498*F498,"")</x:f>
      </x:c>
    </x:row>
    <x:row r="499">
      <x:c r="A499" s="66" t="n">
        <x:v>7</x:v>
      </x:c>
      <x:c r="B499" s="44" t="str">
        <x:v>Canola/Rapeseed</x:v>
      </x:c>
      <x:c r="C499" s="44" t="str">
        <x:v>BY 7204LL</x:v>
      </x:c>
      <x:c r="D499" s="66" t="n">
        <x:v>2023</x:v>
      </x:c>
      <x:c r="E499" s="67"/>
      <x:c r="F499" s="68"/>
      <x:c r="G499" s="69" t="str">
        <x:f>IF(COUNT(E499:F499)=2,E499*F499,"")</x:f>
      </x:c>
    </x:row>
    <x:row r="500">
      <x:c r="A500" s="66" t="n">
        <x:v>7</x:v>
      </x:c>
      <x:c r="B500" s="44" t="str">
        <x:v>Canola/Rapeseed</x:v>
      </x:c>
      <x:c r="C500" s="44" t="str">
        <x:v>BY 7204LL</x:v>
      </x:c>
      <x:c r="D500" s="66" t="n">
        <x:v>2024</x:v>
      </x:c>
      <x:c r="E500" s="67" t="n">
        <x:v>2189</x:v>
      </x:c>
      <x:c r="F500" s="68" t="n">
        <x:v>31</x:v>
      </x:c>
      <x:c r="G500" s="69" t="n">
        <x:f>IF(COUNT(E500:F500)=2,E500*F500,"")</x:f>
        <x:v>67859</x:v>
      </x:c>
    </x:row>
    <x:row r="501">
      <x:c r="A501" s="66" t="n">
        <x:v>7</x:v>
      </x:c>
      <x:c r="B501" s="44" t="str">
        <x:v>Canola/Rapeseed</x:v>
      </x:c>
      <x:c r="C501" s="44" t="str">
        <x:v>BY 7204LL</x:v>
      </x:c>
      <x:c r="D501" s="66" t="n">
        <x:v>2025</x:v>
      </x:c>
      <x:c r="E501" s="67" t="n">
        <x:v>8374</x:v>
      </x:c>
      <x:c r="F501" s="68" t="n">
        <x:v>48.9</x:v>
      </x:c>
      <x:c r="G501" s="69" t="n">
        <x:f>IF(COUNT(E501:F501)=2,E501*F501,"")</x:f>
        <x:v>409488.6</x:v>
      </x:c>
    </x:row>
    <x:row r="502">
      <x:c r="A502" s="66" t="n">
        <x:v>7</x:v>
      </x:c>
      <x:c r="B502" s="44" t="str">
        <x:v>Canola/Rapeseed</x:v>
      </x:c>
      <x:c r="C502" s="44" t="str">
        <x:v>B3020</x:v>
      </x:c>
      <x:c r="D502" s="66" t="n">
        <x:v>2021</x:v>
      </x:c>
      <x:c r="E502" s="67"/>
      <x:c r="F502" s="68"/>
      <x:c r="G502" s="69" t="str">
        <x:f>IF(COUNT(E502:F502)=2,E502*F502,"")</x:f>
      </x:c>
    </x:row>
    <x:row r="503">
      <x:c r="A503" s="66" t="n">
        <x:v>7</x:v>
      </x:c>
      <x:c r="B503" s="44" t="str">
        <x:v>Canola/Rapeseed</x:v>
      </x:c>
      <x:c r="C503" s="44" t="str">
        <x:v>B3020</x:v>
      </x:c>
      <x:c r="D503" s="66" t="n">
        <x:v>2022</x:v>
      </x:c>
      <x:c r="E503" s="67"/>
      <x:c r="F503" s="68"/>
      <x:c r="G503" s="69" t="str">
        <x:f>IF(COUNT(E503:F503)=2,E503*F503,"")</x:f>
      </x:c>
    </x:row>
    <x:row r="504">
      <x:c r="A504" s="66" t="n">
        <x:v>7</x:v>
      </x:c>
      <x:c r="B504" s="44" t="str">
        <x:v>Canola/Rapeseed</x:v>
      </x:c>
      <x:c r="C504" s="44" t="str">
        <x:v>B3020</x:v>
      </x:c>
      <x:c r="D504" s="66" t="n">
        <x:v>2023</x:v>
      </x:c>
      <x:c r="E504" s="67"/>
      <x:c r="F504" s="68"/>
      <x:c r="G504" s="69" t="str">
        <x:f>IF(COUNT(E504:F504)=2,E504*F504,"")</x:f>
      </x:c>
    </x:row>
    <x:row r="505">
      <x:c r="A505" s="66" t="n">
        <x:v>7</x:v>
      </x:c>
      <x:c r="B505" s="44" t="str">
        <x:v>Canola/Rapeseed</x:v>
      </x:c>
      <x:c r="C505" s="44" t="str">
        <x:v>B3020</x:v>
      </x:c>
      <x:c r="D505" s="66" t="n">
        <x:v>2024</x:v>
      </x:c>
      <x:c r="E505" s="67"/>
      <x:c r="F505" s="68"/>
      <x:c r="G505" s="69" t="str">
        <x:f>IF(COUNT(E505:F505)=2,E505*F505,"")</x:f>
      </x:c>
    </x:row>
    <x:row r="506">
      <x:c r="A506" s="66" t="n">
        <x:v>7</x:v>
      </x:c>
      <x:c r="B506" s="44" t="str">
        <x:v>Canola/Rapeseed</x:v>
      </x:c>
      <x:c r="C506" s="44" t="str">
        <x:v>B3020</x:v>
      </x:c>
      <x:c r="D506" s="66" t="n">
        <x:v>2025</x:v>
      </x:c>
      <x:c r="E506" s="67" t="n">
        <x:v>618</x:v>
      </x:c>
      <x:c r="F506" s="68" t="n">
        <x:v>44.6</x:v>
      </x:c>
      <x:c r="G506" s="69" t="n">
        <x:f>IF(COUNT(E506:F506)=2,E506*F506,"")</x:f>
        <x:v>27562.8</x:v>
      </x:c>
    </x:row>
    <x:row r="507">
      <x:c r="A507" s="66" t="n">
        <x:v>7</x:v>
      </x:c>
      <x:c r="B507" s="44" t="str">
        <x:v>Canola/Rapeseed</x:v>
      </x:c>
      <x:c r="C507" s="44" t="str">
        <x:v>CS3300 TF</x:v>
      </x:c>
      <x:c r="D507" s="66" t="n">
        <x:v>2021</x:v>
      </x:c>
      <x:c r="E507" s="67"/>
      <x:c r="F507" s="68"/>
      <x:c r="G507" s="69" t="str">
        <x:f>IF(COUNT(E507:F507)=2,E507*F507,"")</x:f>
      </x:c>
    </x:row>
    <x:row r="508">
      <x:c r="A508" s="66" t="n">
        <x:v>7</x:v>
      </x:c>
      <x:c r="B508" s="44" t="str">
        <x:v>Canola/Rapeseed</x:v>
      </x:c>
      <x:c r="C508" s="44" t="str">
        <x:v>CS3300 TF</x:v>
      </x:c>
      <x:c r="D508" s="66" t="n">
        <x:v>2022</x:v>
      </x:c>
      <x:c r="E508" s="67"/>
      <x:c r="F508" s="68"/>
      <x:c r="G508" s="69" t="str">
        <x:f>IF(COUNT(E508:F508)=2,E508*F508,"")</x:f>
      </x:c>
    </x:row>
    <x:row r="509">
      <x:c r="A509" s="66" t="n">
        <x:v>7</x:v>
      </x:c>
      <x:c r="B509" s="44" t="str">
        <x:v>Canola/Rapeseed</x:v>
      </x:c>
      <x:c r="C509" s="44" t="str">
        <x:v>CS3300 TF</x:v>
      </x:c>
      <x:c r="D509" s="66" t="n">
        <x:v>2023</x:v>
      </x:c>
      <x:c r="E509" s="67"/>
      <x:c r="F509" s="68"/>
      <x:c r="G509" s="69" t="str">
        <x:f>IF(COUNT(E509:F509)=2,E509*F509,"")</x:f>
      </x:c>
    </x:row>
    <x:row r="510">
      <x:c r="A510" s="66" t="n">
        <x:v>7</x:v>
      </x:c>
      <x:c r="B510" s="44" t="str">
        <x:v>Canola/Rapeseed</x:v>
      </x:c>
      <x:c r="C510" s="44" t="str">
        <x:v>CS3300 TF</x:v>
      </x:c>
      <x:c r="D510" s="66" t="n">
        <x:v>2024</x:v>
      </x:c>
      <x:c r="E510" s="67"/>
      <x:c r="F510" s="68"/>
      <x:c r="G510" s="69" t="str">
        <x:f>IF(COUNT(E510:F510)=2,E510*F510,"")</x:f>
      </x:c>
    </x:row>
    <x:row r="511">
      <x:c r="A511" s="66" t="n">
        <x:v>7</x:v>
      </x:c>
      <x:c r="B511" s="44" t="str">
        <x:v>Canola/Rapeseed</x:v>
      </x:c>
      <x:c r="C511" s="44" t="str">
        <x:v>CS3300 TF</x:v>
      </x:c>
      <x:c r="D511" s="66" t="n">
        <x:v>2025</x:v>
      </x:c>
      <x:c r="E511" s="67" t="n">
        <x:v>432</x:v>
      </x:c>
      <x:c r="F511" s="68" t="n">
        <x:v>44.4</x:v>
      </x:c>
      <x:c r="G511" s="69" t="n">
        <x:f>IF(COUNT(E511:F511)=2,E511*F511,"")</x:f>
        <x:v>19180.8</x:v>
      </x:c>
    </x:row>
    <x:row r="512">
      <x:c r="A512" s="66" t="n">
        <x:v>7</x:v>
      </x:c>
      <x:c r="B512" s="44" t="str">
        <x:v>Canola/Rapeseed</x:v>
      </x:c>
      <x:c r="C512" s="44" t="str">
        <x:v>CS4100 LL</x:v>
      </x:c>
      <x:c r="D512" s="66" t="n">
        <x:v>2021</x:v>
      </x:c>
      <x:c r="E512" s="67"/>
      <x:c r="F512" s="68"/>
      <x:c r="G512" s="69" t="str">
        <x:f>IF(COUNT(E512:F512)=2,E512*F512,"")</x:f>
      </x:c>
    </x:row>
    <x:row r="513">
      <x:c r="A513" s="66" t="n">
        <x:v>7</x:v>
      </x:c>
      <x:c r="B513" s="44" t="str">
        <x:v>Canola/Rapeseed</x:v>
      </x:c>
      <x:c r="C513" s="44" t="str">
        <x:v>CS4100 LL</x:v>
      </x:c>
      <x:c r="D513" s="66" t="n">
        <x:v>2022</x:v>
      </x:c>
      <x:c r="E513" s="67"/>
      <x:c r="F513" s="68"/>
      <x:c r="G513" s="69" t="str">
        <x:f>IF(COUNT(E513:F513)=2,E513*F513,"")</x:f>
      </x:c>
    </x:row>
    <x:row r="514">
      <x:c r="A514" s="66" t="n">
        <x:v>7</x:v>
      </x:c>
      <x:c r="B514" s="44" t="str">
        <x:v>Canola/Rapeseed</x:v>
      </x:c>
      <x:c r="C514" s="44" t="str">
        <x:v>CS4100 LL</x:v>
      </x:c>
      <x:c r="D514" s="66" t="n">
        <x:v>2023</x:v>
      </x:c>
      <x:c r="E514" s="67"/>
      <x:c r="F514" s="68"/>
      <x:c r="G514" s="69" t="str">
        <x:f>IF(COUNT(E514:F514)=2,E514*F514,"")</x:f>
      </x:c>
    </x:row>
    <x:row r="515">
      <x:c r="A515" s="66" t="n">
        <x:v>7</x:v>
      </x:c>
      <x:c r="B515" s="44" t="str">
        <x:v>Canola/Rapeseed</x:v>
      </x:c>
      <x:c r="C515" s="44" t="str">
        <x:v>CS4100 LL</x:v>
      </x:c>
      <x:c r="D515" s="66" t="n">
        <x:v>2024</x:v>
      </x:c>
      <x:c r="E515" s="67"/>
      <x:c r="F515" s="68"/>
      <x:c r="G515" s="69" t="str">
        <x:f>IF(COUNT(E515:F515)=2,E515*F515,"")</x:f>
      </x:c>
    </x:row>
    <x:row r="516">
      <x:c r="A516" s="66" t="n">
        <x:v>7</x:v>
      </x:c>
      <x:c r="B516" s="44" t="str">
        <x:v>Canola/Rapeseed</x:v>
      </x:c>
      <x:c r="C516" s="44" t="str">
        <x:v>CS4100 LL</x:v>
      </x:c>
      <x:c r="D516" s="66" t="n">
        <x:v>2025</x:v>
      </x:c>
      <x:c r="E516" s="67" t="n">
        <x:v>2248</x:v>
      </x:c>
      <x:c r="F516" s="68" t="n">
        <x:v>38.4</x:v>
      </x:c>
      <x:c r="G516" s="69" t="n">
        <x:f>IF(COUNT(E516:F516)=2,E516*F516,"")</x:f>
        <x:v>86323.2</x:v>
      </x:c>
    </x:row>
    <x:row r="517">
      <x:c r="A517" s="66" t="n">
        <x:v>7</x:v>
      </x:c>
      <x:c r="B517" s="44" t="str">
        <x:v>Canola/Rapeseed</x:v>
      </x:c>
      <x:c r="C517" s="44" t="str">
        <x:v>DK 801 LL</x:v>
      </x:c>
      <x:c r="D517" s="66" t="n">
        <x:v>2021</x:v>
      </x:c>
      <x:c r="E517" s="67"/>
      <x:c r="F517" s="68"/>
      <x:c r="G517" s="69" t="str">
        <x:f>IF(COUNT(E517:F517)=2,E517*F517,"")</x:f>
      </x:c>
    </x:row>
    <x:row r="518">
      <x:c r="A518" s="66" t="n">
        <x:v>7</x:v>
      </x:c>
      <x:c r="B518" s="44" t="str">
        <x:v>Canola/Rapeseed</x:v>
      </x:c>
      <x:c r="C518" s="44" t="str">
        <x:v>DK 801 LL</x:v>
      </x:c>
      <x:c r="D518" s="66" t="n">
        <x:v>2022</x:v>
      </x:c>
      <x:c r="E518" s="67"/>
      <x:c r="F518" s="68"/>
      <x:c r="G518" s="69" t="str">
        <x:f>IF(COUNT(E518:F518)=2,E518*F518,"")</x:f>
      </x:c>
    </x:row>
    <x:row r="519">
      <x:c r="A519" s="66" t="n">
        <x:v>7</x:v>
      </x:c>
      <x:c r="B519" s="44" t="str">
        <x:v>Canola/Rapeseed</x:v>
      </x:c>
      <x:c r="C519" s="44" t="str">
        <x:v>DK 801 LL</x:v>
      </x:c>
      <x:c r="D519" s="66" t="n">
        <x:v>2023</x:v>
      </x:c>
      <x:c r="E519" s="67"/>
      <x:c r="F519" s="68"/>
      <x:c r="G519" s="69" t="str">
        <x:f>IF(COUNT(E519:F519)=2,E519*F519,"")</x:f>
      </x:c>
    </x:row>
    <x:row r="520">
      <x:c r="A520" s="66" t="n">
        <x:v>7</x:v>
      </x:c>
      <x:c r="B520" s="44" t="str">
        <x:v>Canola/Rapeseed</x:v>
      </x:c>
      <x:c r="C520" s="44" t="str">
        <x:v>DK 801 LL</x:v>
      </x:c>
      <x:c r="D520" s="66" t="n">
        <x:v>2024</x:v>
      </x:c>
      <x:c r="E520" s="67"/>
      <x:c r="F520" s="68"/>
      <x:c r="G520" s="69" t="str">
        <x:f>IF(COUNT(E520:F520)=2,E520*F520,"")</x:f>
      </x:c>
    </x:row>
    <x:row r="521">
      <x:c r="A521" s="66" t="n">
        <x:v>7</x:v>
      </x:c>
      <x:c r="B521" s="44" t="str">
        <x:v>Canola/Rapeseed</x:v>
      </x:c>
      <x:c r="C521" s="44" t="str">
        <x:v>DK 801 LL</x:v>
      </x:c>
      <x:c r="D521" s="66" t="n">
        <x:v>2025</x:v>
      </x:c>
      <x:c r="E521" s="67" t="n">
        <x:v>3922</x:v>
      </x:c>
      <x:c r="F521" s="68" t="n">
        <x:v>45.7</x:v>
      </x:c>
      <x:c r="G521" s="69" t="n">
        <x:f>IF(COUNT(E521:F521)=2,E521*F521,"")</x:f>
        <x:v>179235.40000000002</x:v>
      </x:c>
    </x:row>
    <x:row r="522">
      <x:c r="A522" s="66" t="n">
        <x:v>7</x:v>
      </x:c>
      <x:c r="B522" s="44" t="str">
        <x:v>Canola/Rapeseed</x:v>
      </x:c>
      <x:c r="C522" s="44" t="str">
        <x:v>DK401TK</x:v>
      </x:c>
      <x:c r="D522" s="66" t="n">
        <x:v>2021</x:v>
      </x:c>
      <x:c r="E522" s="67"/>
      <x:c r="F522" s="68"/>
      <x:c r="G522" s="69" t="str">
        <x:f>IF(COUNT(E522:F522)=2,E522*F522,"")</x:f>
      </x:c>
    </x:row>
    <x:row r="523">
      <x:c r="A523" s="66" t="n">
        <x:v>7</x:v>
      </x:c>
      <x:c r="B523" s="44" t="str">
        <x:v>Canola/Rapeseed</x:v>
      </x:c>
      <x:c r="C523" s="44" t="str">
        <x:v>DK401TK</x:v>
      </x:c>
      <x:c r="D523" s="66" t="n">
        <x:v>2022</x:v>
      </x:c>
      <x:c r="E523" s="67"/>
      <x:c r="F523" s="68"/>
      <x:c r="G523" s="69" t="str">
        <x:f>IF(COUNT(E523:F523)=2,E523*F523,"")</x:f>
      </x:c>
    </x:row>
    <x:row r="524">
      <x:c r="A524" s="66" t="n">
        <x:v>7</x:v>
      </x:c>
      <x:c r="B524" s="44" t="str">
        <x:v>Canola/Rapeseed</x:v>
      </x:c>
      <x:c r="C524" s="44" t="str">
        <x:v>DK401TK</x:v>
      </x:c>
      <x:c r="D524" s="66" t="n">
        <x:v>2023</x:v>
      </x:c>
      <x:c r="E524" s="67"/>
      <x:c r="F524" s="68"/>
      <x:c r="G524" s="69" t="str">
        <x:f>IF(COUNT(E524:F524)=2,E524*F524,"")</x:f>
      </x:c>
    </x:row>
    <x:row r="525">
      <x:c r="A525" s="66" t="n">
        <x:v>7</x:v>
      </x:c>
      <x:c r="B525" s="44" t="str">
        <x:v>Canola/Rapeseed</x:v>
      </x:c>
      <x:c r="C525" s="44" t="str">
        <x:v>DK401TK</x:v>
      </x:c>
      <x:c r="D525" s="66" t="n">
        <x:v>2024</x:v>
      </x:c>
      <x:c r="E525" s="67"/>
      <x:c r="F525" s="68"/>
      <x:c r="G525" s="69" t="str">
        <x:f>IF(COUNT(E525:F525)=2,E525*F525,"")</x:f>
      </x:c>
    </x:row>
    <x:row r="526">
      <x:c r="A526" s="66" t="n">
        <x:v>7</x:v>
      </x:c>
      <x:c r="B526" s="44" t="str">
        <x:v>Canola/Rapeseed</x:v>
      </x:c>
      <x:c r="C526" s="44" t="str">
        <x:v>DK401TK</x:v>
      </x:c>
      <x:c r="D526" s="66" t="n">
        <x:v>2025</x:v>
      </x:c>
      <x:c r="E526" s="67" t="n">
        <x:v>1054</x:v>
      </x:c>
      <x:c r="F526" s="68" t="n">
        <x:v>48.9</x:v>
      </x:c>
      <x:c r="G526" s="69" t="n">
        <x:f>IF(COUNT(E526:F526)=2,E526*F526,"")</x:f>
        <x:v>51540.6</x:v>
      </x:c>
    </x:row>
    <x:row r="527">
      <x:c r="A527" s="66" t="n">
        <x:v>7</x:v>
      </x:c>
      <x:c r="B527" s="44" t="str">
        <x:v>Canola/Rapeseed</x:v>
      </x:c>
      <x:c r="C527" s="44" t="str">
        <x:v>DK401TL</x:v>
      </x:c>
      <x:c r="D527" s="66" t="n">
        <x:v>2021</x:v>
      </x:c>
      <x:c r="E527" s="67"/>
      <x:c r="F527" s="68"/>
      <x:c r="G527" s="69" t="str">
        <x:f>IF(COUNT(E527:F527)=2,E527*F527,"")</x:f>
      </x:c>
    </x:row>
    <x:row r="528">
      <x:c r="A528" s="66" t="n">
        <x:v>7</x:v>
      </x:c>
      <x:c r="B528" s="44" t="str">
        <x:v>Canola/Rapeseed</x:v>
      </x:c>
      <x:c r="C528" s="44" t="str">
        <x:v>DK401TL</x:v>
      </x:c>
      <x:c r="D528" s="66" t="n">
        <x:v>2022</x:v>
      </x:c>
      <x:c r="E528" s="67"/>
      <x:c r="F528" s="68"/>
      <x:c r="G528" s="69" t="str">
        <x:f>IF(COUNT(E528:F528)=2,E528*F528,"")</x:f>
      </x:c>
    </x:row>
    <x:row r="529">
      <x:c r="A529" s="66" t="n">
        <x:v>7</x:v>
      </x:c>
      <x:c r="B529" s="44" t="str">
        <x:v>Canola/Rapeseed</x:v>
      </x:c>
      <x:c r="C529" s="44" t="str">
        <x:v>DK401TL</x:v>
      </x:c>
      <x:c r="D529" s="66" t="n">
        <x:v>2023</x:v>
      </x:c>
      <x:c r="E529" s="67"/>
      <x:c r="F529" s="68"/>
      <x:c r="G529" s="69" t="str">
        <x:f>IF(COUNT(E529:F529)=2,E529*F529,"")</x:f>
      </x:c>
    </x:row>
    <x:row r="530">
      <x:c r="A530" s="66" t="n">
        <x:v>7</x:v>
      </x:c>
      <x:c r="B530" s="44" t="str">
        <x:v>Canola/Rapeseed</x:v>
      </x:c>
      <x:c r="C530" s="44" t="str">
        <x:v>DK401TL</x:v>
      </x:c>
      <x:c r="D530" s="66" t="n">
        <x:v>2024</x:v>
      </x:c>
      <x:c r="E530" s="67"/>
      <x:c r="F530" s="68"/>
      <x:c r="G530" s="69" t="str">
        <x:f>IF(COUNT(E530:F530)=2,E530*F530,"")</x:f>
      </x:c>
    </x:row>
    <x:row r="531">
      <x:c r="A531" s="66" t="n">
        <x:v>7</x:v>
      </x:c>
      <x:c r="B531" s="44" t="str">
        <x:v>Canola/Rapeseed</x:v>
      </x:c>
      <x:c r="C531" s="44" t="str">
        <x:v>DK401TL</x:v>
      </x:c>
      <x:c r="D531" s="66" t="n">
        <x:v>2025</x:v>
      </x:c>
      <x:c r="E531" s="67" t="n">
        <x:v>1942</x:v>
      </x:c>
      <x:c r="F531" s="68" t="n">
        <x:v>51.6</x:v>
      </x:c>
      <x:c r="G531" s="69" t="n">
        <x:f>IF(COUNT(E531:F531)=2,E531*F531,"")</x:f>
        <x:v>100207.2</x:v>
      </x:c>
    </x:row>
    <x:row r="532">
      <x:c r="A532" s="66" t="n">
        <x:v>7</x:v>
      </x:c>
      <x:c r="B532" s="44" t="str">
        <x:v>Canola/Rapeseed</x:v>
      </x:c>
      <x:c r="C532" s="44" t="str">
        <x:v>DK800LL</x:v>
      </x:c>
      <x:c r="D532" s="66" t="n">
        <x:v>2021</x:v>
      </x:c>
      <x:c r="E532" s="67"/>
      <x:c r="F532" s="68"/>
      <x:c r="G532" s="69" t="str">
        <x:f>IF(COUNT(E532:F532)=2,E532*F532,"")</x:f>
      </x:c>
    </x:row>
    <x:row r="533">
      <x:c r="A533" s="66" t="n">
        <x:v>7</x:v>
      </x:c>
      <x:c r="B533" s="44" t="str">
        <x:v>Canola/Rapeseed</x:v>
      </x:c>
      <x:c r="C533" s="44" t="str">
        <x:v>DK800LL</x:v>
      </x:c>
      <x:c r="D533" s="66" t="n">
        <x:v>2022</x:v>
      </x:c>
      <x:c r="E533" s="67"/>
      <x:c r="F533" s="68"/>
      <x:c r="G533" s="69" t="str">
        <x:f>IF(COUNT(E533:F533)=2,E533*F533,"")</x:f>
      </x:c>
    </x:row>
    <x:row r="534">
      <x:c r="A534" s="66" t="n">
        <x:v>7</x:v>
      </x:c>
      <x:c r="B534" s="44" t="str">
        <x:v>Canola/Rapeseed</x:v>
      </x:c>
      <x:c r="C534" s="44" t="str">
        <x:v>DK800LL</x:v>
      </x:c>
      <x:c r="D534" s="66" t="n">
        <x:v>2023</x:v>
      </x:c>
      <x:c r="E534" s="67"/>
      <x:c r="F534" s="68"/>
      <x:c r="G534" s="69" t="str">
        <x:f>IF(COUNT(E534:F534)=2,E534*F534,"")</x:f>
      </x:c>
    </x:row>
    <x:row r="535">
      <x:c r="A535" s="66" t="n">
        <x:v>7</x:v>
      </x:c>
      <x:c r="B535" s="44" t="str">
        <x:v>Canola/Rapeseed</x:v>
      </x:c>
      <x:c r="C535" s="44" t="str">
        <x:v>DK800LL</x:v>
      </x:c>
      <x:c r="D535" s="66" t="n">
        <x:v>2024</x:v>
      </x:c>
      <x:c r="E535" s="67" t="n">
        <x:v>1805</x:v>
      </x:c>
      <x:c r="F535" s="68" t="n">
        <x:v>31.4</x:v>
      </x:c>
      <x:c r="G535" s="69" t="n">
        <x:f>IF(COUNT(E535:F535)=2,E535*F535,"")</x:f>
        <x:v>56677</x:v>
      </x:c>
    </x:row>
    <x:row r="536">
      <x:c r="A536" s="66" t="n">
        <x:v>7</x:v>
      </x:c>
      <x:c r="B536" s="44" t="str">
        <x:v>Canola/Rapeseed</x:v>
      </x:c>
      <x:c r="C536" s="44" t="str">
        <x:v>DK800LL</x:v>
      </x:c>
      <x:c r="D536" s="66" t="n">
        <x:v>2025</x:v>
      </x:c>
      <x:c r="E536" s="67" t="n">
        <x:v>6177</x:v>
      </x:c>
      <x:c r="F536" s="68" t="n">
        <x:v>44.3</x:v>
      </x:c>
      <x:c r="G536" s="69" t="n">
        <x:f>IF(COUNT(E536:F536)=2,E536*F536,"")</x:f>
        <x:v>273641.1</x:v>
      </x:c>
    </x:row>
    <x:row r="537">
      <x:c r="A537" s="66" t="n">
        <x:v>7</x:v>
      </x:c>
      <x:c r="B537" s="44" t="str">
        <x:v>Canola/Rapeseed</x:v>
      </x:c>
      <x:c r="C537" s="44" t="str">
        <x:v>DK801LL</x:v>
      </x:c>
      <x:c r="D537" s="66" t="n">
        <x:v>2021</x:v>
      </x:c>
      <x:c r="E537" s="67"/>
      <x:c r="F537" s="68"/>
      <x:c r="G537" s="69" t="str">
        <x:f>IF(COUNT(E537:F537)=2,E537*F537,"")</x:f>
      </x:c>
    </x:row>
    <x:row r="538">
      <x:c r="A538" s="66" t="n">
        <x:v>7</x:v>
      </x:c>
      <x:c r="B538" s="44" t="str">
        <x:v>Canola/Rapeseed</x:v>
      </x:c>
      <x:c r="C538" s="44" t="str">
        <x:v>DK801LL</x:v>
      </x:c>
      <x:c r="D538" s="66" t="n">
        <x:v>2022</x:v>
      </x:c>
      <x:c r="E538" s="67"/>
      <x:c r="F538" s="68"/>
      <x:c r="G538" s="69" t="str">
        <x:f>IF(COUNT(E538:F538)=2,E538*F538,"")</x:f>
      </x:c>
    </x:row>
    <x:row r="539">
      <x:c r="A539" s="66" t="n">
        <x:v>7</x:v>
      </x:c>
      <x:c r="B539" s="44" t="str">
        <x:v>Canola/Rapeseed</x:v>
      </x:c>
      <x:c r="C539" s="44" t="str">
        <x:v>DK801LL</x:v>
      </x:c>
      <x:c r="D539" s="66" t="n">
        <x:v>2023</x:v>
      </x:c>
      <x:c r="E539" s="67"/>
      <x:c r="F539" s="68"/>
      <x:c r="G539" s="69" t="str">
        <x:f>IF(COUNT(E539:F539)=2,E539*F539,"")</x:f>
      </x:c>
    </x:row>
    <x:row r="540">
      <x:c r="A540" s="66" t="n">
        <x:v>7</x:v>
      </x:c>
      <x:c r="B540" s="44" t="str">
        <x:v>Canola/Rapeseed</x:v>
      </x:c>
      <x:c r="C540" s="44" t="str">
        <x:v>DK801LL</x:v>
      </x:c>
      <x:c r="D540" s="66" t="n">
        <x:v>2024</x:v>
      </x:c>
      <x:c r="E540" s="67"/>
      <x:c r="F540" s="68"/>
      <x:c r="G540" s="69" t="str">
        <x:f>IF(COUNT(E540:F540)=2,E540*F540,"")</x:f>
      </x:c>
    </x:row>
    <x:row r="541">
      <x:c r="A541" s="66" t="n">
        <x:v>7</x:v>
      </x:c>
      <x:c r="B541" s="44" t="str">
        <x:v>Canola/Rapeseed</x:v>
      </x:c>
      <x:c r="C541" s="44" t="str">
        <x:v>DK801LL</x:v>
      </x:c>
      <x:c r="D541" s="66" t="n">
        <x:v>2025</x:v>
      </x:c>
      <x:c r="E541" s="67" t="n">
        <x:v>1324</x:v>
      </x:c>
      <x:c r="F541" s="68" t="n">
        <x:v>48.1</x:v>
      </x:c>
      <x:c r="G541" s="69" t="n">
        <x:f>IF(COUNT(E541:F541)=2,E541*F541,"")</x:f>
        <x:v>63684.4</x:v>
      </x:c>
    </x:row>
    <x:row r="542">
      <x:c r="A542" s="66" t="n">
        <x:v>7</x:v>
      </x:c>
      <x:c r="B542" s="44" t="str">
        <x:v>Canola/Rapeseed</x:v>
      </x:c>
      <x:c r="C542" s="44" t="str">
        <x:v>DK900TF</x:v>
      </x:c>
      <x:c r="D542" s="66" t="n">
        <x:v>2021</x:v>
      </x:c>
      <x:c r="E542" s="67"/>
      <x:c r="F542" s="68"/>
      <x:c r="G542" s="69" t="str">
        <x:f>IF(COUNT(E542:F542)=2,E542*F542,"")</x:f>
      </x:c>
    </x:row>
    <x:row r="543">
      <x:c r="A543" s="66" t="n">
        <x:v>7</x:v>
      </x:c>
      <x:c r="B543" s="44" t="str">
        <x:v>Canola/Rapeseed</x:v>
      </x:c>
      <x:c r="C543" s="44" t="str">
        <x:v>DK900TF</x:v>
      </x:c>
      <x:c r="D543" s="66" t="n">
        <x:v>2022</x:v>
      </x:c>
      <x:c r="E543" s="67"/>
      <x:c r="F543" s="68"/>
      <x:c r="G543" s="69" t="str">
        <x:f>IF(COUNT(E543:F543)=2,E543*F543,"")</x:f>
      </x:c>
    </x:row>
    <x:row r="544">
      <x:c r="A544" s="66" t="n">
        <x:v>7</x:v>
      </x:c>
      <x:c r="B544" s="44" t="str">
        <x:v>Canola/Rapeseed</x:v>
      </x:c>
      <x:c r="C544" s="44" t="str">
        <x:v>DK900TF</x:v>
      </x:c>
      <x:c r="D544" s="66" t="n">
        <x:v>2023</x:v>
      </x:c>
      <x:c r="E544" s="67" t="n">
        <x:v>1640</x:v>
      </x:c>
      <x:c r="F544" s="68" t="n">
        <x:v>43.1</x:v>
      </x:c>
      <x:c r="G544" s="69" t="n">
        <x:f>IF(COUNT(E544:F544)=2,E544*F544,"")</x:f>
        <x:v>70684</x:v>
      </x:c>
    </x:row>
    <x:row r="545">
      <x:c r="A545" s="66" t="n">
        <x:v>7</x:v>
      </x:c>
      <x:c r="B545" s="44" t="str">
        <x:v>Canola/Rapeseed</x:v>
      </x:c>
      <x:c r="C545" s="44" t="str">
        <x:v>DK900TF</x:v>
      </x:c>
      <x:c r="D545" s="66" t="n">
        <x:v>2024</x:v>
      </x:c>
      <x:c r="E545" s="67" t="n">
        <x:v>5089</x:v>
      </x:c>
      <x:c r="F545" s="68" t="n">
        <x:v>32.5</x:v>
      </x:c>
      <x:c r="G545" s="69" t="n">
        <x:f>IF(COUNT(E545:F545)=2,E545*F545,"")</x:f>
        <x:v>165392.5</x:v>
      </x:c>
    </x:row>
    <x:row r="546">
      <x:c r="A546" s="66" t="n">
        <x:v>7</x:v>
      </x:c>
      <x:c r="B546" s="44" t="str">
        <x:v>Canola/Rapeseed</x:v>
      </x:c>
      <x:c r="C546" s="44" t="str">
        <x:v>DK900TF</x:v>
      </x:c>
      <x:c r="D546" s="66" t="n">
        <x:v>2025</x:v>
      </x:c>
      <x:c r="E546" s="67" t="n">
        <x:v>1904</x:v>
      </x:c>
      <x:c r="F546" s="68" t="n">
        <x:v>35</x:v>
      </x:c>
      <x:c r="G546" s="69" t="n">
        <x:f>IF(COUNT(E546:F546)=2,E546*F546,"")</x:f>
        <x:v>66640</x:v>
      </x:c>
    </x:row>
    <x:row r="547">
      <x:c r="A547" s="66" t="n">
        <x:v>7</x:v>
      </x:c>
      <x:c r="B547" s="44" t="str">
        <x:v>Canola/Rapeseed</x:v>
      </x:c>
      <x:c r="C547" s="44" t="str">
        <x:v>DK901TF</x:v>
      </x:c>
      <x:c r="D547" s="66" t="n">
        <x:v>2021</x:v>
      </x:c>
      <x:c r="E547" s="67"/>
      <x:c r="F547" s="68"/>
      <x:c r="G547" s="69" t="str">
        <x:f>IF(COUNT(E547:F547)=2,E547*F547,"")</x:f>
      </x:c>
    </x:row>
    <x:row r="548">
      <x:c r="A548" s="66" t="n">
        <x:v>7</x:v>
      </x:c>
      <x:c r="B548" s="44" t="str">
        <x:v>Canola/Rapeseed</x:v>
      </x:c>
      <x:c r="C548" s="44" t="str">
        <x:v>DK901TF</x:v>
      </x:c>
      <x:c r="D548" s="66" t="n">
        <x:v>2022</x:v>
      </x:c>
      <x:c r="E548" s="67"/>
      <x:c r="F548" s="68"/>
      <x:c r="G548" s="69" t="str">
        <x:f>IF(COUNT(E548:F548)=2,E548*F548,"")</x:f>
      </x:c>
    </x:row>
    <x:row r="549">
      <x:c r="A549" s="66" t="n">
        <x:v>7</x:v>
      </x:c>
      <x:c r="B549" s="44" t="str">
        <x:v>Canola/Rapeseed</x:v>
      </x:c>
      <x:c r="C549" s="44" t="str">
        <x:v>DK901TF</x:v>
      </x:c>
      <x:c r="D549" s="66" t="n">
        <x:v>2023</x:v>
      </x:c>
      <x:c r="E549" s="67" t="n">
        <x:v>679</x:v>
      </x:c>
      <x:c r="F549" s="68" t="n">
        <x:v>26</x:v>
      </x:c>
      <x:c r="G549" s="69" t="n">
        <x:f>IF(COUNT(E549:F549)=2,E549*F549,"")</x:f>
        <x:v>17654</x:v>
      </x:c>
    </x:row>
    <x:row r="550">
      <x:c r="A550" s="66" t="n">
        <x:v>7</x:v>
      </x:c>
      <x:c r="B550" s="44" t="str">
        <x:v>Canola/Rapeseed</x:v>
      </x:c>
      <x:c r="C550" s="44" t="str">
        <x:v>DK901TF</x:v>
      </x:c>
      <x:c r="D550" s="66" t="n">
        <x:v>2024</x:v>
      </x:c>
      <x:c r="E550" s="67"/>
      <x:c r="F550" s="68"/>
      <x:c r="G550" s="69" t="str">
        <x:f>IF(COUNT(E550:F550)=2,E550*F550,"")</x:f>
      </x:c>
    </x:row>
    <x:row r="551">
      <x:c r="A551" s="66" t="n">
        <x:v>7</x:v>
      </x:c>
      <x:c r="B551" s="44" t="str">
        <x:v>Canola/Rapeseed</x:v>
      </x:c>
      <x:c r="C551" s="44" t="str">
        <x:v>DK901TF</x:v>
      </x:c>
      <x:c r="D551" s="66" t="n">
        <x:v>2025</x:v>
      </x:c>
      <x:c r="E551" s="67" t="n">
        <x:v>866</x:v>
      </x:c>
      <x:c r="F551" s="68" t="n">
        <x:v>42.4</x:v>
      </x:c>
      <x:c r="G551" s="69" t="n">
        <x:f>IF(COUNT(E551:F551)=2,E551*F551,"")</x:f>
        <x:v>36718.4</x:v>
      </x:c>
    </x:row>
    <x:row r="552">
      <x:c r="A552" s="66" t="n">
        <x:v>7</x:v>
      </x:c>
      <x:c r="B552" s="44" t="str">
        <x:v>Canola/Rapeseed</x:v>
      </x:c>
      <x:c r="C552" s="44" t="str">
        <x:v>LR354PC</x:v>
      </x:c>
      <x:c r="D552" s="66" t="n">
        <x:v>2021</x:v>
      </x:c>
      <x:c r="E552" s="67"/>
      <x:c r="F552" s="68"/>
      <x:c r="G552" s="69" t="str">
        <x:f>IF(COUNT(E552:F552)=2,E552*F552,"")</x:f>
      </x:c>
    </x:row>
    <x:row r="553">
      <x:c r="A553" s="66" t="n">
        <x:v>7</x:v>
      </x:c>
      <x:c r="B553" s="44" t="str">
        <x:v>Canola/Rapeseed</x:v>
      </x:c>
      <x:c r="C553" s="44" t="str">
        <x:v>LR354PC</x:v>
      </x:c>
      <x:c r="D553" s="66" t="n">
        <x:v>2022</x:v>
      </x:c>
      <x:c r="E553" s="67"/>
      <x:c r="F553" s="68"/>
      <x:c r="G553" s="69" t="str">
        <x:f>IF(COUNT(E553:F553)=2,E553*F553,"")</x:f>
      </x:c>
    </x:row>
    <x:row r="554">
      <x:c r="A554" s="66" t="n">
        <x:v>7</x:v>
      </x:c>
      <x:c r="B554" s="44" t="str">
        <x:v>Canola/Rapeseed</x:v>
      </x:c>
      <x:c r="C554" s="44" t="str">
        <x:v>LR354PC</x:v>
      </x:c>
      <x:c r="D554" s="66" t="n">
        <x:v>2023</x:v>
      </x:c>
      <x:c r="E554" s="67" t="n">
        <x:v>1920</x:v>
      </x:c>
      <x:c r="F554" s="68" t="n">
        <x:v>39.9</x:v>
      </x:c>
      <x:c r="G554" s="69" t="n">
        <x:f>IF(COUNT(E554:F554)=2,E554*F554,"")</x:f>
        <x:v>76608</x:v>
      </x:c>
    </x:row>
    <x:row r="555">
      <x:c r="A555" s="66" t="n">
        <x:v>7</x:v>
      </x:c>
      <x:c r="B555" s="44" t="str">
        <x:v>Canola/Rapeseed</x:v>
      </x:c>
      <x:c r="C555" s="44" t="str">
        <x:v>LR354PC</x:v>
      </x:c>
      <x:c r="D555" s="66" t="n">
        <x:v>2024</x:v>
      </x:c>
      <x:c r="E555" s="67"/>
      <x:c r="F555" s="68"/>
      <x:c r="G555" s="69" t="str">
        <x:f>IF(COUNT(E555:F555)=2,E555*F555,"")</x:f>
      </x:c>
    </x:row>
    <x:row r="556">
      <x:c r="A556" s="66" t="n">
        <x:v>7</x:v>
      </x:c>
      <x:c r="B556" s="44" t="str">
        <x:v>Canola/Rapeseed</x:v>
      </x:c>
      <x:c r="C556" s="44" t="str">
        <x:v>LR354PC</x:v>
      </x:c>
      <x:c r="D556" s="66" t="n">
        <x:v>2025</x:v>
      </x:c>
      <x:c r="E556" s="67" t="n">
        <x:v>1478</x:v>
      </x:c>
      <x:c r="F556" s="68" t="n">
        <x:v>52</x:v>
      </x:c>
      <x:c r="G556" s="69" t="n">
        <x:f>IF(COUNT(E556:F556)=2,E556*F556,"")</x:f>
        <x:v>76856</x:v>
      </x:c>
    </x:row>
    <x:row r="557">
      <x:c r="A557" s="66" t="n">
        <x:v>7</x:v>
      </x:c>
      <x:c r="B557" s="44" t="str">
        <x:v>Canola/Rapeseed</x:v>
      </x:c>
      <x:c r="C557" s="44" t="str">
        <x:v>L233P</x:v>
      </x:c>
      <x:c r="D557" s="66" t="n">
        <x:v>2021</x:v>
      </x:c>
      <x:c r="E557" s="67" t="n">
        <x:v>117888</x:v>
      </x:c>
      <x:c r="F557" s="68" t="n">
        <x:v>30.5</x:v>
      </x:c>
      <x:c r="G557" s="69" t="n">
        <x:f>IF(COUNT(E557:F557)=2,E557*F557,"")</x:f>
        <x:v>3595584</x:v>
      </x:c>
    </x:row>
    <x:row r="558">
      <x:c r="A558" s="66" t="n">
        <x:v>7</x:v>
      </x:c>
      <x:c r="B558" s="44" t="str">
        <x:v>Canola/Rapeseed</x:v>
      </x:c>
      <x:c r="C558" s="44" t="str">
        <x:v>L233P</x:v>
      </x:c>
      <x:c r="D558" s="66" t="n">
        <x:v>2022</x:v>
      </x:c>
      <x:c r="E558" s="67" t="n">
        <x:v>72276</x:v>
      </x:c>
      <x:c r="F558" s="68" t="n">
        <x:v>41.5</x:v>
      </x:c>
      <x:c r="G558" s="69" t="n">
        <x:f>IF(COUNT(E558:F558)=2,E558*F558,"")</x:f>
        <x:v>2999454</x:v>
      </x:c>
    </x:row>
    <x:row r="559">
      <x:c r="A559" s="66" t="n">
        <x:v>7</x:v>
      </x:c>
      <x:c r="B559" s="44" t="str">
        <x:v>Canola/Rapeseed</x:v>
      </x:c>
      <x:c r="C559" s="44" t="str">
        <x:v>L233P</x:v>
      </x:c>
      <x:c r="D559" s="66" t="n">
        <x:v>2023</x:v>
      </x:c>
      <x:c r="E559" s="67" t="n">
        <x:v>45639</x:v>
      </x:c>
      <x:c r="F559" s="68" t="n">
        <x:v>42.1</x:v>
      </x:c>
      <x:c r="G559" s="69" t="n">
        <x:f>IF(COUNT(E559:F559)=2,E559*F559,"")</x:f>
        <x:v>1921401.9000000001</x:v>
      </x:c>
    </x:row>
    <x:row r="560">
      <x:c r="A560" s="66" t="n">
        <x:v>7</x:v>
      </x:c>
      <x:c r="B560" s="44" t="str">
        <x:v>Canola/Rapeseed</x:v>
      </x:c>
      <x:c r="C560" s="44" t="str">
        <x:v>L233P</x:v>
      </x:c>
      <x:c r="D560" s="66" t="n">
        <x:v>2024</x:v>
      </x:c>
      <x:c r="E560" s="67" t="n">
        <x:v>28150</x:v>
      </x:c>
      <x:c r="F560" s="68" t="n">
        <x:v>36.2</x:v>
      </x:c>
      <x:c r="G560" s="69" t="n">
        <x:f>IF(COUNT(E560:F560)=2,E560*F560,"")</x:f>
        <x:v>1019030.0000000001</x:v>
      </x:c>
    </x:row>
    <x:row r="561">
      <x:c r="A561" s="66" t="n">
        <x:v>7</x:v>
      </x:c>
      <x:c r="B561" s="44" t="str">
        <x:v>Canola/Rapeseed</x:v>
      </x:c>
      <x:c r="C561" s="44" t="str">
        <x:v>L233P</x:v>
      </x:c>
      <x:c r="D561" s="66" t="n">
        <x:v>2025</x:v>
      </x:c>
      <x:c r="E561" s="67" t="n">
        <x:v>6841</x:v>
      </x:c>
      <x:c r="F561" s="68" t="n">
        <x:v>43.4</x:v>
      </x:c>
      <x:c r="G561" s="69" t="n">
        <x:f>IF(COUNT(E561:F561)=2,E561*F561,"")</x:f>
        <x:v>296899.39999999997</x:v>
      </x:c>
    </x:row>
    <x:row r="562">
      <x:c r="A562" s="66" t="n">
        <x:v>7</x:v>
      </x:c>
      <x:c r="B562" s="44" t="str">
        <x:v>Canola/Rapeseed</x:v>
      </x:c>
      <x:c r="C562" s="44" t="str">
        <x:v>L330PC</x:v>
      </x:c>
      <x:c r="D562" s="66" t="n">
        <x:v>2021</x:v>
      </x:c>
      <x:c r="E562" s="67"/>
      <x:c r="F562" s="68"/>
      <x:c r="G562" s="69" t="str">
        <x:f>IF(COUNT(E562:F562)=2,E562*F562,"")</x:f>
      </x:c>
    </x:row>
    <x:row r="563">
      <x:c r="A563" s="66" t="n">
        <x:v>7</x:v>
      </x:c>
      <x:c r="B563" s="44" t="str">
        <x:v>Canola/Rapeseed</x:v>
      </x:c>
      <x:c r="C563" s="44" t="str">
        <x:v>L330PC</x:v>
      </x:c>
      <x:c r="D563" s="66" t="n">
        <x:v>2022</x:v>
      </x:c>
      <x:c r="E563" s="67"/>
      <x:c r="F563" s="68"/>
      <x:c r="G563" s="69" t="str">
        <x:f>IF(COUNT(E563:F563)=2,E563*F563,"")</x:f>
      </x:c>
    </x:row>
    <x:row r="564">
      <x:c r="A564" s="66" t="n">
        <x:v>7</x:v>
      </x:c>
      <x:c r="B564" s="44" t="str">
        <x:v>Canola/Rapeseed</x:v>
      </x:c>
      <x:c r="C564" s="44" t="str">
        <x:v>L330PC</x:v>
      </x:c>
      <x:c r="D564" s="66" t="n">
        <x:v>2023</x:v>
      </x:c>
      <x:c r="E564" s="67"/>
      <x:c r="F564" s="68"/>
      <x:c r="G564" s="69" t="str">
        <x:f>IF(COUNT(E564:F564)=2,E564*F564,"")</x:f>
      </x:c>
    </x:row>
    <x:row r="565">
      <x:c r="A565" s="66" t="n">
        <x:v>7</x:v>
      </x:c>
      <x:c r="B565" s="44" t="str">
        <x:v>Canola/Rapeseed</x:v>
      </x:c>
      <x:c r="C565" s="44" t="str">
        <x:v>L330PC</x:v>
      </x:c>
      <x:c r="D565" s="66" t="n">
        <x:v>2024</x:v>
      </x:c>
      <x:c r="E565" s="67"/>
      <x:c r="F565" s="68"/>
      <x:c r="G565" s="69" t="str">
        <x:f>IF(COUNT(E565:F565)=2,E565*F565,"")</x:f>
      </x:c>
    </x:row>
    <x:row r="566">
      <x:c r="A566" s="66" t="n">
        <x:v>7</x:v>
      </x:c>
      <x:c r="B566" s="44" t="str">
        <x:v>Canola/Rapeseed</x:v>
      </x:c>
      <x:c r="C566" s="44" t="str">
        <x:v>L330PC</x:v>
      </x:c>
      <x:c r="D566" s="66" t="n">
        <x:v>2025</x:v>
      </x:c>
      <x:c r="E566" s="67" t="n">
        <x:v>40010</x:v>
      </x:c>
      <x:c r="F566" s="68" t="n">
        <x:v>51.1</x:v>
      </x:c>
      <x:c r="G566" s="69" t="n">
        <x:f>IF(COUNT(E566:F566)=2,E566*F566,"")</x:f>
        <x:v>2044511</x:v>
      </x:c>
    </x:row>
    <x:row r="567">
      <x:c r="A567" s="66" t="n">
        <x:v>7</x:v>
      </x:c>
      <x:c r="B567" s="44" t="str">
        <x:v>Canola/Rapeseed</x:v>
      </x:c>
      <x:c r="C567" s="44" t="str">
        <x:v>L333PC</x:v>
      </x:c>
      <x:c r="D567" s="66" t="n">
        <x:v>2021</x:v>
      </x:c>
      <x:c r="E567" s="67"/>
      <x:c r="F567" s="68"/>
      <x:c r="G567" s="69" t="str">
        <x:f>IF(COUNT(E567:F567)=2,E567*F567,"")</x:f>
      </x:c>
    </x:row>
    <x:row r="568">
      <x:c r="A568" s="66" t="n">
        <x:v>7</x:v>
      </x:c>
      <x:c r="B568" s="44" t="str">
        <x:v>Canola/Rapeseed</x:v>
      </x:c>
      <x:c r="C568" s="44" t="str">
        <x:v>L333PC</x:v>
      </x:c>
      <x:c r="D568" s="66" t="n">
        <x:v>2022</x:v>
      </x:c>
      <x:c r="E568" s="67"/>
      <x:c r="F568" s="68"/>
      <x:c r="G568" s="69" t="str">
        <x:f>IF(COUNT(E568:F568)=2,E568*F568,"")</x:f>
      </x:c>
    </x:row>
    <x:row r="569">
      <x:c r="A569" s="66" t="n">
        <x:v>7</x:v>
      </x:c>
      <x:c r="B569" s="44" t="str">
        <x:v>Canola/Rapeseed</x:v>
      </x:c>
      <x:c r="C569" s="44" t="str">
        <x:v>L333PC</x:v>
      </x:c>
      <x:c r="D569" s="66" t="n">
        <x:v>2023</x:v>
      </x:c>
      <x:c r="E569" s="67"/>
      <x:c r="F569" s="68"/>
      <x:c r="G569" s="69" t="str">
        <x:f>IF(COUNT(E569:F569)=2,E569*F569,"")</x:f>
      </x:c>
    </x:row>
    <x:row r="570">
      <x:c r="A570" s="66" t="n">
        <x:v>7</x:v>
      </x:c>
      <x:c r="B570" s="44" t="str">
        <x:v>Canola/Rapeseed</x:v>
      </x:c>
      <x:c r="C570" s="44" t="str">
        <x:v>L333PC</x:v>
      </x:c>
      <x:c r="D570" s="66" t="n">
        <x:v>2024</x:v>
      </x:c>
      <x:c r="E570" s="67"/>
      <x:c r="F570" s="68"/>
      <x:c r="G570" s="69" t="str">
        <x:f>IF(COUNT(E570:F570)=2,E570*F570,"")</x:f>
      </x:c>
    </x:row>
    <x:row r="571">
      <x:c r="A571" s="66" t="n">
        <x:v>7</x:v>
      </x:c>
      <x:c r="B571" s="44" t="str">
        <x:v>Canola/Rapeseed</x:v>
      </x:c>
      <x:c r="C571" s="44" t="str">
        <x:v>L333PC</x:v>
      </x:c>
      <x:c r="D571" s="66" t="n">
        <x:v>2025</x:v>
      </x:c>
      <x:c r="E571" s="67" t="n">
        <x:v>4480</x:v>
      </x:c>
      <x:c r="F571" s="68" t="n">
        <x:v>49.2</x:v>
      </x:c>
      <x:c r="G571" s="69" t="n">
        <x:f>IF(COUNT(E571:F571)=2,E571*F571,"")</x:f>
        <x:v>220416</x:v>
      </x:c>
    </x:row>
    <x:row r="572">
      <x:c r="A572" s="66" t="n">
        <x:v>7</x:v>
      </x:c>
      <x:c r="B572" s="44" t="str">
        <x:v>Canola/Rapeseed</x:v>
      </x:c>
      <x:c r="C572" s="44" t="str">
        <x:v>L340PC</x:v>
      </x:c>
      <x:c r="D572" s="66" t="n">
        <x:v>2021</x:v>
      </x:c>
      <x:c r="E572" s="67" t="n">
        <x:v>43160</x:v>
      </x:c>
      <x:c r="F572" s="68" t="n">
        <x:v>34.7</x:v>
      </x:c>
      <x:c r="G572" s="69" t="n">
        <x:f>IF(COUNT(E572:F572)=2,E572*F572,"")</x:f>
        <x:v>1497652.0000000002</x:v>
      </x:c>
    </x:row>
    <x:row r="573">
      <x:c r="A573" s="66" t="n">
        <x:v>7</x:v>
      </x:c>
      <x:c r="B573" s="44" t="str">
        <x:v>Canola/Rapeseed</x:v>
      </x:c>
      <x:c r="C573" s="44" t="str">
        <x:v>L340PC</x:v>
      </x:c>
      <x:c r="D573" s="66" t="n">
        <x:v>2022</x:v>
      </x:c>
      <x:c r="E573" s="67" t="n">
        <x:v>122381</x:v>
      </x:c>
      <x:c r="F573" s="68" t="n">
        <x:v>47.6</x:v>
      </x:c>
      <x:c r="G573" s="69" t="n">
        <x:f>IF(COUNT(E573:F573)=2,E573*F573,"")</x:f>
        <x:v>5825335.600000001</x:v>
      </x:c>
    </x:row>
    <x:row r="574">
      <x:c r="A574" s="66" t="n">
        <x:v>7</x:v>
      </x:c>
      <x:c r="B574" s="44" t="str">
        <x:v>Canola/Rapeseed</x:v>
      </x:c>
      <x:c r="C574" s="44" t="str">
        <x:v>L340PC</x:v>
      </x:c>
      <x:c r="D574" s="66" t="n">
        <x:v>2023</x:v>
      </x:c>
      <x:c r="E574" s="67" t="n">
        <x:v>157433</x:v>
      </x:c>
      <x:c r="F574" s="68" t="n">
        <x:v>44.7</x:v>
      </x:c>
      <x:c r="G574" s="69" t="n">
        <x:f>IF(COUNT(E574:F574)=2,E574*F574,"")</x:f>
        <x:v>7037255.100000001</x:v>
      </x:c>
    </x:row>
    <x:row r="575">
      <x:c r="A575" s="66" t="n">
        <x:v>7</x:v>
      </x:c>
      <x:c r="B575" s="44" t="str">
        <x:v>Canola/Rapeseed</x:v>
      </x:c>
      <x:c r="C575" s="44" t="str">
        <x:v>L340PC</x:v>
      </x:c>
      <x:c r="D575" s="66" t="n">
        <x:v>2024</x:v>
      </x:c>
      <x:c r="E575" s="67" t="n">
        <x:v>190362</x:v>
      </x:c>
      <x:c r="F575" s="68" t="n">
        <x:v>39.5</x:v>
      </x:c>
      <x:c r="G575" s="69" t="n">
        <x:f>IF(COUNT(E575:F575)=2,E575*F575,"")</x:f>
        <x:v>7519299</x:v>
      </x:c>
    </x:row>
    <x:row r="576">
      <x:c r="A576" s="66" t="n">
        <x:v>7</x:v>
      </x:c>
      <x:c r="B576" s="44" t="str">
        <x:v>Canola/Rapeseed</x:v>
      </x:c>
      <x:c r="C576" s="44" t="str">
        <x:v>L340PC</x:v>
      </x:c>
      <x:c r="D576" s="66" t="n">
        <x:v>2025</x:v>
      </x:c>
      <x:c r="E576" s="67" t="n">
        <x:v>205436</x:v>
      </x:c>
      <x:c r="F576" s="68" t="n">
        <x:v>48.6</x:v>
      </x:c>
      <x:c r="G576" s="69" t="n">
        <x:f>IF(COUNT(E576:F576)=2,E576*F576,"")</x:f>
        <x:v>9984189.6</x:v>
      </x:c>
    </x:row>
    <x:row r="577">
      <x:c r="A577" s="66" t="n">
        <x:v>7</x:v>
      </x:c>
      <x:c r="B577" s="44" t="str">
        <x:v>Canola/Rapeseed</x:v>
      </x:c>
      <x:c r="C577" s="44" t="str">
        <x:v>L341PC</x:v>
      </x:c>
      <x:c r="D577" s="66" t="n">
        <x:v>2021</x:v>
      </x:c>
      <x:c r="E577" s="67"/>
      <x:c r="F577" s="68"/>
      <x:c r="G577" s="69" t="str">
        <x:f>IF(COUNT(E577:F577)=2,E577*F577,"")</x:f>
      </x:c>
    </x:row>
    <x:row r="578">
      <x:c r="A578" s="66" t="n">
        <x:v>7</x:v>
      </x:c>
      <x:c r="B578" s="44" t="str">
        <x:v>Canola/Rapeseed</x:v>
      </x:c>
      <x:c r="C578" s="44" t="str">
        <x:v>L341PC</x:v>
      </x:c>
      <x:c r="D578" s="66" t="n">
        <x:v>2022</x:v>
      </x:c>
      <x:c r="E578" s="67"/>
      <x:c r="F578" s="68"/>
      <x:c r="G578" s="69" t="str">
        <x:f>IF(COUNT(E578:F578)=2,E578*F578,"")</x:f>
      </x:c>
    </x:row>
    <x:row r="579">
      <x:c r="A579" s="66" t="n">
        <x:v>7</x:v>
      </x:c>
      <x:c r="B579" s="44" t="str">
        <x:v>Canola/Rapeseed</x:v>
      </x:c>
      <x:c r="C579" s="44" t="str">
        <x:v>L341PC</x:v>
      </x:c>
      <x:c r="D579" s="66" t="n">
        <x:v>2023</x:v>
      </x:c>
      <x:c r="E579" s="67"/>
      <x:c r="F579" s="68"/>
      <x:c r="G579" s="69" t="str">
        <x:f>IF(COUNT(E579:F579)=2,E579*F579,"")</x:f>
      </x:c>
    </x:row>
    <x:row r="580">
      <x:c r="A580" s="66" t="n">
        <x:v>7</x:v>
      </x:c>
      <x:c r="B580" s="44" t="str">
        <x:v>Canola/Rapeseed</x:v>
      </x:c>
      <x:c r="C580" s="44" t="str">
        <x:v>L341PC</x:v>
      </x:c>
      <x:c r="D580" s="66" t="n">
        <x:v>2024</x:v>
      </x:c>
      <x:c r="E580" s="67"/>
      <x:c r="F580" s="68"/>
      <x:c r="G580" s="69" t="str">
        <x:f>IF(COUNT(E580:F580)=2,E580*F580,"")</x:f>
      </x:c>
    </x:row>
    <x:row r="581">
      <x:c r="A581" s="66" t="n">
        <x:v>7</x:v>
      </x:c>
      <x:c r="B581" s="44" t="str">
        <x:v>Canola/Rapeseed</x:v>
      </x:c>
      <x:c r="C581" s="44" t="str">
        <x:v>L341PC</x:v>
      </x:c>
      <x:c r="D581" s="66" t="n">
        <x:v>2025</x:v>
      </x:c>
      <x:c r="E581" s="67" t="n">
        <x:v>1487</x:v>
      </x:c>
      <x:c r="F581" s="68" t="n">
        <x:v>49</x:v>
      </x:c>
      <x:c r="G581" s="69" t="n">
        <x:f>IF(COUNT(E581:F581)=2,E581*F581,"")</x:f>
        <x:v>72863</x:v>
      </x:c>
    </x:row>
    <x:row r="582">
      <x:c r="A582" s="66" t="n">
        <x:v>7</x:v>
      </x:c>
      <x:c r="B582" s="44" t="str">
        <x:v>Canola/Rapeseed</x:v>
      </x:c>
      <x:c r="C582" s="44" t="str">
        <x:v>L343PC</x:v>
      </x:c>
      <x:c r="D582" s="66" t="n">
        <x:v>2021</x:v>
      </x:c>
      <x:c r="E582" s="67"/>
      <x:c r="F582" s="68"/>
      <x:c r="G582" s="69" t="str">
        <x:f>IF(COUNT(E582:F582)=2,E582*F582,"")</x:f>
      </x:c>
    </x:row>
    <x:row r="583">
      <x:c r="A583" s="66" t="n">
        <x:v>7</x:v>
      </x:c>
      <x:c r="B583" s="44" t="str">
        <x:v>Canola/Rapeseed</x:v>
      </x:c>
      <x:c r="C583" s="44" t="str">
        <x:v>L343PC</x:v>
      </x:c>
      <x:c r="D583" s="66" t="n">
        <x:v>2022</x:v>
      </x:c>
      <x:c r="E583" s="67" t="n">
        <x:v>815</x:v>
      </x:c>
      <x:c r="F583" s="68" t="n">
        <x:v>43.1</x:v>
      </x:c>
      <x:c r="G583" s="69" t="n">
        <x:f>IF(COUNT(E583:F583)=2,E583*F583,"")</x:f>
        <x:v>35126.5</x:v>
      </x:c>
    </x:row>
    <x:row r="584">
      <x:c r="A584" s="66" t="n">
        <x:v>7</x:v>
      </x:c>
      <x:c r="B584" s="44" t="str">
        <x:v>Canola/Rapeseed</x:v>
      </x:c>
      <x:c r="C584" s="44" t="str">
        <x:v>L343PC</x:v>
      </x:c>
      <x:c r="D584" s="66" t="n">
        <x:v>2023</x:v>
      </x:c>
      <x:c r="E584" s="67" t="n">
        <x:v>11552</x:v>
      </x:c>
      <x:c r="F584" s="68" t="n">
        <x:v>40.8</x:v>
      </x:c>
      <x:c r="G584" s="69" t="n">
        <x:f>IF(COUNT(E584:F584)=2,E584*F584,"")</x:f>
        <x:v>471321.6</x:v>
      </x:c>
    </x:row>
    <x:row r="585">
      <x:c r="A585" s="66" t="n">
        <x:v>7</x:v>
      </x:c>
      <x:c r="B585" s="44" t="str">
        <x:v>Canola/Rapeseed</x:v>
      </x:c>
      <x:c r="C585" s="44" t="str">
        <x:v>L343PC</x:v>
      </x:c>
      <x:c r="D585" s="66" t="n">
        <x:v>2024</x:v>
      </x:c>
      <x:c r="E585" s="67" t="n">
        <x:v>5470</x:v>
      </x:c>
      <x:c r="F585" s="68" t="n">
        <x:v>36.1</x:v>
      </x:c>
      <x:c r="G585" s="69" t="n">
        <x:f>IF(COUNT(E585:F585)=2,E585*F585,"")</x:f>
        <x:v>197467</x:v>
      </x:c>
    </x:row>
    <x:row r="586">
      <x:c r="A586" s="66" t="n">
        <x:v>7</x:v>
      </x:c>
      <x:c r="B586" s="44" t="str">
        <x:v>Canola/Rapeseed</x:v>
      </x:c>
      <x:c r="C586" s="44" t="str">
        <x:v>L343PC</x:v>
      </x:c>
      <x:c r="D586" s="66" t="n">
        <x:v>2025</x:v>
      </x:c>
      <x:c r="E586" s="67" t="n">
        <x:v>4670</x:v>
      </x:c>
      <x:c r="F586" s="68" t="n">
        <x:v>45.6</x:v>
      </x:c>
      <x:c r="G586" s="69" t="n">
        <x:f>IF(COUNT(E586:F586)=2,E586*F586,"")</x:f>
        <x:v>212952</x:v>
      </x:c>
    </x:row>
    <x:row r="587">
      <x:c r="A587" s="66" t="n">
        <x:v>7</x:v>
      </x:c>
      <x:c r="B587" s="44" t="str">
        <x:v>Canola/Rapeseed</x:v>
      </x:c>
      <x:c r="C587" s="44" t="str">
        <x:v>L345PC</x:v>
      </x:c>
      <x:c r="D587" s="66" t="n">
        <x:v>2021</x:v>
      </x:c>
      <x:c r="E587" s="67" t="n">
        <x:v>28897</x:v>
      </x:c>
      <x:c r="F587" s="68" t="n">
        <x:v>36</x:v>
      </x:c>
      <x:c r="G587" s="69" t="n">
        <x:f>IF(COUNT(E587:F587)=2,E587*F587,"")</x:f>
        <x:v>1040292</x:v>
      </x:c>
    </x:row>
    <x:row r="588">
      <x:c r="A588" s="66" t="n">
        <x:v>7</x:v>
      </x:c>
      <x:c r="B588" s="44" t="str">
        <x:v>Canola/Rapeseed</x:v>
      </x:c>
      <x:c r="C588" s="44" t="str">
        <x:v>L345PC</x:v>
      </x:c>
      <x:c r="D588" s="66" t="n">
        <x:v>2022</x:v>
      </x:c>
      <x:c r="E588" s="67" t="n">
        <x:v>38924</x:v>
      </x:c>
      <x:c r="F588" s="68" t="n">
        <x:v>43.6</x:v>
      </x:c>
      <x:c r="G588" s="69" t="n">
        <x:f>IF(COUNT(E588:F588)=2,E588*F588,"")</x:f>
        <x:v>1697086.4000000001</x:v>
      </x:c>
    </x:row>
    <x:row r="589">
      <x:c r="A589" s="66" t="n">
        <x:v>7</x:v>
      </x:c>
      <x:c r="B589" s="44" t="str">
        <x:v>Canola/Rapeseed</x:v>
      </x:c>
      <x:c r="C589" s="44" t="str">
        <x:v>L345PC</x:v>
      </x:c>
      <x:c r="D589" s="66" t="n">
        <x:v>2023</x:v>
      </x:c>
      <x:c r="E589" s="67" t="n">
        <x:v>22341</x:v>
      </x:c>
      <x:c r="F589" s="68" t="n">
        <x:v>45.3</x:v>
      </x:c>
      <x:c r="G589" s="69" t="n">
        <x:f>IF(COUNT(E589:F589)=2,E589*F589,"")</x:f>
        <x:v>1012047.2999999999</x:v>
      </x:c>
    </x:row>
    <x:row r="590">
      <x:c r="A590" s="66" t="n">
        <x:v>7</x:v>
      </x:c>
      <x:c r="B590" s="44" t="str">
        <x:v>Canola/Rapeseed</x:v>
      </x:c>
      <x:c r="C590" s="44" t="str">
        <x:v>L345PC</x:v>
      </x:c>
      <x:c r="D590" s="66" t="n">
        <x:v>2024</x:v>
      </x:c>
      <x:c r="E590" s="67" t="n">
        <x:v>23433</x:v>
      </x:c>
      <x:c r="F590" s="68" t="n">
        <x:v>37.1</x:v>
      </x:c>
      <x:c r="G590" s="69" t="n">
        <x:f>IF(COUNT(E590:F590)=2,E590*F590,"")</x:f>
        <x:v>869364.3</x:v>
      </x:c>
    </x:row>
    <x:row r="591">
      <x:c r="A591" s="66" t="n">
        <x:v>7</x:v>
      </x:c>
      <x:c r="B591" s="44" t="str">
        <x:v>Canola/Rapeseed</x:v>
      </x:c>
      <x:c r="C591" s="44" t="str">
        <x:v>L345PC</x:v>
      </x:c>
      <x:c r="D591" s="66" t="n">
        <x:v>2025</x:v>
      </x:c>
      <x:c r="E591" s="67" t="n">
        <x:v>11721</x:v>
      </x:c>
      <x:c r="F591" s="68" t="n">
        <x:v>45.9</x:v>
      </x:c>
      <x:c r="G591" s="69" t="n">
        <x:f>IF(COUNT(E591:F591)=2,E591*F591,"")</x:f>
        <x:v>537993.9</x:v>
      </x:c>
    </x:row>
    <x:row r="592">
      <x:c r="A592" s="66" t="n">
        <x:v>7</x:v>
      </x:c>
      <x:c r="B592" s="44" t="str">
        <x:v>Canola/Rapeseed</x:v>
      </x:c>
      <x:c r="C592" s="44" t="str">
        <x:v>L350PC</x:v>
      </x:c>
      <x:c r="D592" s="66" t="n">
        <x:v>2021</x:v>
      </x:c>
      <x:c r="E592" s="67"/>
      <x:c r="F592" s="68"/>
      <x:c r="G592" s="69" t="str">
        <x:f>IF(COUNT(E592:F592)=2,E592*F592,"")</x:f>
      </x:c>
    </x:row>
    <x:row r="593">
      <x:c r="A593" s="66" t="n">
        <x:v>7</x:v>
      </x:c>
      <x:c r="B593" s="44" t="str">
        <x:v>Canola/Rapeseed</x:v>
      </x:c>
      <x:c r="C593" s="44" t="str">
        <x:v>L350PC</x:v>
      </x:c>
      <x:c r="D593" s="66" t="n">
        <x:v>2022</x:v>
      </x:c>
      <x:c r="E593" s="67"/>
      <x:c r="F593" s="68"/>
      <x:c r="G593" s="69" t="str">
        <x:f>IF(COUNT(E593:F593)=2,E593*F593,"")</x:f>
      </x:c>
    </x:row>
    <x:row r="594">
      <x:c r="A594" s="66" t="n">
        <x:v>7</x:v>
      </x:c>
      <x:c r="B594" s="44" t="str">
        <x:v>Canola/Rapeseed</x:v>
      </x:c>
      <x:c r="C594" s="44" t="str">
        <x:v>L350PC</x:v>
      </x:c>
      <x:c r="D594" s="66" t="n">
        <x:v>2023</x:v>
      </x:c>
      <x:c r="E594" s="67" t="n">
        <x:v>39945</x:v>
      </x:c>
      <x:c r="F594" s="68" t="n">
        <x:v>44.7</x:v>
      </x:c>
      <x:c r="G594" s="69" t="n">
        <x:f>IF(COUNT(E594:F594)=2,E594*F594,"")</x:f>
        <x:v>1785541.5</x:v>
      </x:c>
    </x:row>
    <x:row r="595">
      <x:c r="A595" s="66" t="n">
        <x:v>7</x:v>
      </x:c>
      <x:c r="B595" s="44" t="str">
        <x:v>Canola/Rapeseed</x:v>
      </x:c>
      <x:c r="C595" s="44" t="str">
        <x:v>L350PC</x:v>
      </x:c>
      <x:c r="D595" s="66" t="n">
        <x:v>2024</x:v>
      </x:c>
      <x:c r="E595" s="67" t="n">
        <x:v>26907</x:v>
      </x:c>
      <x:c r="F595" s="68" t="n">
        <x:v>36.2</x:v>
      </x:c>
      <x:c r="G595" s="69" t="n">
        <x:f>IF(COUNT(E595:F595)=2,E595*F595,"")</x:f>
        <x:v>974033.4</x:v>
      </x:c>
    </x:row>
    <x:row r="596">
      <x:c r="A596" s="66" t="n">
        <x:v>7</x:v>
      </x:c>
      <x:c r="B596" s="44" t="str">
        <x:v>Canola/Rapeseed</x:v>
      </x:c>
      <x:c r="C596" s="44" t="str">
        <x:v>L350PC</x:v>
      </x:c>
      <x:c r="D596" s="66" t="n">
        <x:v>2025</x:v>
      </x:c>
      <x:c r="E596" s="67" t="n">
        <x:v>8367</x:v>
      </x:c>
      <x:c r="F596" s="68" t="n">
        <x:v>46</x:v>
      </x:c>
      <x:c r="G596" s="69" t="n">
        <x:f>IF(COUNT(E596:F596)=2,E596*F596,"")</x:f>
        <x:v>384882</x:v>
      </x:c>
    </x:row>
    <x:row r="597">
      <x:c r="A597" s="66" t="n">
        <x:v>7</x:v>
      </x:c>
      <x:c r="B597" s="44" t="str">
        <x:v>Canola/Rapeseed</x:v>
      </x:c>
      <x:c r="C597" s="44" t="str">
        <x:v>L356PC</x:v>
      </x:c>
      <x:c r="D597" s="66" t="n">
        <x:v>2021</x:v>
      </x:c>
      <x:c r="E597" s="67"/>
      <x:c r="F597" s="68"/>
      <x:c r="G597" s="69" t="str">
        <x:f>IF(COUNT(E597:F597)=2,E597*F597,"")</x:f>
      </x:c>
    </x:row>
    <x:row r="598">
      <x:c r="A598" s="66" t="n">
        <x:v>7</x:v>
      </x:c>
      <x:c r="B598" s="44" t="str">
        <x:v>Canola/Rapeseed</x:v>
      </x:c>
      <x:c r="C598" s="44" t="str">
        <x:v>L356PC</x:v>
      </x:c>
      <x:c r="D598" s="66" t="n">
        <x:v>2022</x:v>
      </x:c>
      <x:c r="E598" s="67" t="n">
        <x:v>24313</x:v>
      </x:c>
      <x:c r="F598" s="68" t="n">
        <x:v>44.8</x:v>
      </x:c>
      <x:c r="G598" s="69" t="n">
        <x:f>IF(COUNT(E598:F598)=2,E598*F598,"")</x:f>
        <x:v>1089222.4</x:v>
      </x:c>
    </x:row>
    <x:row r="599">
      <x:c r="A599" s="66" t="n">
        <x:v>7</x:v>
      </x:c>
      <x:c r="B599" s="44" t="str">
        <x:v>Canola/Rapeseed</x:v>
      </x:c>
      <x:c r="C599" s="44" t="str">
        <x:v>L356PC</x:v>
      </x:c>
      <x:c r="D599" s="66" t="n">
        <x:v>2023</x:v>
      </x:c>
      <x:c r="E599" s="67" t="n">
        <x:v>55030</x:v>
      </x:c>
      <x:c r="F599" s="68" t="n">
        <x:v>42</x:v>
      </x:c>
      <x:c r="G599" s="69" t="n">
        <x:f>IF(COUNT(E599:F599)=2,E599*F599,"")</x:f>
        <x:v>2311260</x:v>
      </x:c>
    </x:row>
    <x:row r="600">
      <x:c r="A600" s="66" t="n">
        <x:v>7</x:v>
      </x:c>
      <x:c r="B600" s="44" t="str">
        <x:v>Canola/Rapeseed</x:v>
      </x:c>
      <x:c r="C600" s="44" t="str">
        <x:v>L356PC</x:v>
      </x:c>
      <x:c r="D600" s="66" t="n">
        <x:v>2024</x:v>
      </x:c>
      <x:c r="E600" s="67" t="n">
        <x:v>79896</x:v>
      </x:c>
      <x:c r="F600" s="68" t="n">
        <x:v>38.2</x:v>
      </x:c>
      <x:c r="G600" s="69" t="n">
        <x:f>IF(COUNT(E600:F600)=2,E600*F600,"")</x:f>
        <x:v>3052027.2</x:v>
      </x:c>
    </x:row>
    <x:row r="601">
      <x:c r="A601" s="66" t="n">
        <x:v>7</x:v>
      </x:c>
      <x:c r="B601" s="44" t="str">
        <x:v>Canola/Rapeseed</x:v>
      </x:c>
      <x:c r="C601" s="44" t="str">
        <x:v>L356PC</x:v>
      </x:c>
      <x:c r="D601" s="66" t="n">
        <x:v>2025</x:v>
      </x:c>
      <x:c r="E601" s="67" t="n">
        <x:v>61023</x:v>
      </x:c>
      <x:c r="F601" s="68" t="n">
        <x:v>47.8</x:v>
      </x:c>
      <x:c r="G601" s="69" t="n">
        <x:f>IF(COUNT(E601:F601)=2,E601*F601,"")</x:f>
        <x:v>2916899.4</x:v>
      </x:c>
    </x:row>
    <x:row r="602">
      <x:c r="A602" s="66" t="n">
        <x:v>7</x:v>
      </x:c>
      <x:c r="B602" s="44" t="str">
        <x:v>Canola/Rapeseed</x:v>
      </x:c>
      <x:c r="C602" s="44" t="str">
        <x:v>PV 661 LCM</x:v>
      </x:c>
      <x:c r="D602" s="66" t="n">
        <x:v>2021</x:v>
      </x:c>
      <x:c r="E602" s="67"/>
      <x:c r="F602" s="68"/>
      <x:c r="G602" s="69" t="str">
        <x:f>IF(COUNT(E602:F602)=2,E602*F602,"")</x:f>
      </x:c>
    </x:row>
    <x:row r="603">
      <x:c r="A603" s="66" t="n">
        <x:v>7</x:v>
      </x:c>
      <x:c r="B603" s="44" t="str">
        <x:v>Canola/Rapeseed</x:v>
      </x:c>
      <x:c r="C603" s="44" t="str">
        <x:v>PV 661 LCM</x:v>
      </x:c>
      <x:c r="D603" s="66" t="n">
        <x:v>2022</x:v>
      </x:c>
      <x:c r="E603" s="67"/>
      <x:c r="F603" s="68"/>
      <x:c r="G603" s="69" t="str">
        <x:f>IF(COUNT(E603:F603)=2,E603*F603,"")</x:f>
      </x:c>
    </x:row>
    <x:row r="604">
      <x:c r="A604" s="66" t="n">
        <x:v>7</x:v>
      </x:c>
      <x:c r="B604" s="44" t="str">
        <x:v>Canola/Rapeseed</x:v>
      </x:c>
      <x:c r="C604" s="44" t="str">
        <x:v>PV 661 LCM</x:v>
      </x:c>
      <x:c r="D604" s="66" t="n">
        <x:v>2023</x:v>
      </x:c>
      <x:c r="E604" s="67"/>
      <x:c r="F604" s="68"/>
      <x:c r="G604" s="69" t="str">
        <x:f>IF(COUNT(E604:F604)=2,E604*F604,"")</x:f>
      </x:c>
    </x:row>
    <x:row r="605">
      <x:c r="A605" s="66" t="n">
        <x:v>7</x:v>
      </x:c>
      <x:c r="B605" s="44" t="str">
        <x:v>Canola/Rapeseed</x:v>
      </x:c>
      <x:c r="C605" s="44" t="str">
        <x:v>PV 661 LCM</x:v>
      </x:c>
      <x:c r="D605" s="66" t="n">
        <x:v>2024</x:v>
      </x:c>
      <x:c r="E605" s="67" t="n">
        <x:v>2072</x:v>
      </x:c>
      <x:c r="F605" s="68" t="n">
        <x:v>31.6</x:v>
      </x:c>
      <x:c r="G605" s="69" t="n">
        <x:f>IF(COUNT(E605:F605)=2,E605*F605,"")</x:f>
        <x:v>65475.200000000004</x:v>
      </x:c>
    </x:row>
    <x:row r="606">
      <x:c r="A606" s="66" t="n">
        <x:v>7</x:v>
      </x:c>
      <x:c r="B606" s="44" t="str">
        <x:v>Canola/Rapeseed</x:v>
      </x:c>
      <x:c r="C606" s="44" t="str">
        <x:v>PV 661 LCM</x:v>
      </x:c>
      <x:c r="D606" s="66" t="n">
        <x:v>2025</x:v>
      </x:c>
      <x:c r="E606" s="67" t="n">
        <x:v>3668</x:v>
      </x:c>
      <x:c r="F606" s="68" t="n">
        <x:v>39.4</x:v>
      </x:c>
      <x:c r="G606" s="69" t="n">
        <x:f>IF(COUNT(E606:F606)=2,E606*F606,"")</x:f>
        <x:v>144519.19999999998</x:v>
      </x:c>
    </x:row>
    <x:row r="607">
      <x:c r="A607" s="66" t="n">
        <x:v>7</x:v>
      </x:c>
      <x:c r="B607" s="44" t="str">
        <x:v>Canola/Rapeseed</x:v>
      </x:c>
      <x:c r="C607" s="44" t="str">
        <x:v>PV 681 LC</x:v>
      </x:c>
      <x:c r="D607" s="66" t="n">
        <x:v>2021</x:v>
      </x:c>
      <x:c r="E607" s="67"/>
      <x:c r="F607" s="68"/>
      <x:c r="G607" s="69" t="str">
        <x:f>IF(COUNT(E607:F607)=2,E607*F607,"")</x:f>
      </x:c>
    </x:row>
    <x:row r="608">
      <x:c r="A608" s="66" t="n">
        <x:v>7</x:v>
      </x:c>
      <x:c r="B608" s="44" t="str">
        <x:v>Canola/Rapeseed</x:v>
      </x:c>
      <x:c r="C608" s="44" t="str">
        <x:v>PV 681 LC</x:v>
      </x:c>
      <x:c r="D608" s="66" t="n">
        <x:v>2022</x:v>
      </x:c>
      <x:c r="E608" s="67" t="n">
        <x:v>454</x:v>
      </x:c>
      <x:c r="F608" s="68" t="n">
        <x:v>34.4</x:v>
      </x:c>
      <x:c r="G608" s="69" t="n">
        <x:f>IF(COUNT(E608:F608)=2,E608*F608,"")</x:f>
        <x:v>15617.599999999999</x:v>
      </x:c>
    </x:row>
    <x:row r="609">
      <x:c r="A609" s="66" t="n">
        <x:v>7</x:v>
      </x:c>
      <x:c r="B609" s="44" t="str">
        <x:v>Canola/Rapeseed</x:v>
      </x:c>
      <x:c r="C609" s="44" t="str">
        <x:v>PV 681 LC</x:v>
      </x:c>
      <x:c r="D609" s="66" t="n">
        <x:v>2023</x:v>
      </x:c>
      <x:c r="E609" s="67" t="n">
        <x:v>2787</x:v>
      </x:c>
      <x:c r="F609" s="68" t="n">
        <x:v>37.8</x:v>
      </x:c>
      <x:c r="G609" s="69" t="n">
        <x:f>IF(COUNT(E609:F609)=2,E609*F609,"")</x:f>
        <x:v>105348.59999999999</x:v>
      </x:c>
    </x:row>
    <x:row r="610">
      <x:c r="A610" s="66" t="n">
        <x:v>7</x:v>
      </x:c>
      <x:c r="B610" s="44" t="str">
        <x:v>Canola/Rapeseed</x:v>
      </x:c>
      <x:c r="C610" s="44" t="str">
        <x:v>PV 681 LC</x:v>
      </x:c>
      <x:c r="D610" s="66" t="n">
        <x:v>2024</x:v>
      </x:c>
      <x:c r="E610" s="67" t="n">
        <x:v>4571</x:v>
      </x:c>
      <x:c r="F610" s="68" t="n">
        <x:v>29.7</x:v>
      </x:c>
      <x:c r="G610" s="69" t="n">
        <x:f>IF(COUNT(E610:F610)=2,E610*F610,"")</x:f>
        <x:v>135758.69999999998</x:v>
      </x:c>
    </x:row>
    <x:row r="611">
      <x:c r="A611" s="66" t="n">
        <x:v>7</x:v>
      </x:c>
      <x:c r="B611" s="44" t="str">
        <x:v>Canola/Rapeseed</x:v>
      </x:c>
      <x:c r="C611" s="44" t="str">
        <x:v>PV 681 LC</x:v>
      </x:c>
      <x:c r="D611" s="66" t="n">
        <x:v>2025</x:v>
      </x:c>
      <x:c r="E611" s="67" t="n">
        <x:v>5534</x:v>
      </x:c>
      <x:c r="F611" s="68" t="n">
        <x:v>39.3</x:v>
      </x:c>
      <x:c r="G611" s="69" t="n">
        <x:f>IF(COUNT(E611:F611)=2,E611*F611,"")</x:f>
        <x:v>217486.19999999998</x:v>
      </x:c>
    </x:row>
    <x:row r="612">
      <x:c r="A612" s="66" t="n">
        <x:v>7</x:v>
      </x:c>
      <x:c r="B612" s="44" t="str">
        <x:v>Canola/Rapeseed</x:v>
      </x:c>
      <x:c r="C612" s="44" t="str">
        <x:v>PV 781 TCM</x:v>
      </x:c>
      <x:c r="D612" s="66" t="n">
        <x:v>2021</x:v>
      </x:c>
      <x:c r="E612" s="67"/>
      <x:c r="F612" s="68"/>
      <x:c r="G612" s="69" t="str">
        <x:f>IF(COUNT(E612:F612)=2,E612*F612,"")</x:f>
      </x:c>
    </x:row>
    <x:row r="613">
      <x:c r="A613" s="66" t="n">
        <x:v>7</x:v>
      </x:c>
      <x:c r="B613" s="44" t="str">
        <x:v>Canola/Rapeseed</x:v>
      </x:c>
      <x:c r="C613" s="44" t="str">
        <x:v>PV 781 TCM</x:v>
      </x:c>
      <x:c r="D613" s="66" t="n">
        <x:v>2022</x:v>
      </x:c>
      <x:c r="E613" s="67"/>
      <x:c r="F613" s="68"/>
      <x:c r="G613" s="69" t="str">
        <x:f>IF(COUNT(E613:F613)=2,E613*F613,"")</x:f>
      </x:c>
    </x:row>
    <x:row r="614">
      <x:c r="A614" s="66" t="n">
        <x:v>7</x:v>
      </x:c>
      <x:c r="B614" s="44" t="str">
        <x:v>Canola/Rapeseed</x:v>
      </x:c>
      <x:c r="C614" s="44" t="str">
        <x:v>PV 781 TCM</x:v>
      </x:c>
      <x:c r="D614" s="66" t="n">
        <x:v>2023</x:v>
      </x:c>
      <x:c r="E614" s="67" t="n">
        <x:v>1347</x:v>
      </x:c>
      <x:c r="F614" s="68" t="n">
        <x:v>34.8</x:v>
      </x:c>
      <x:c r="G614" s="69" t="n">
        <x:f>IF(COUNT(E614:F614)=2,E614*F614,"")</x:f>
        <x:v>46875.6</x:v>
      </x:c>
    </x:row>
    <x:row r="615">
      <x:c r="A615" s="66" t="n">
        <x:v>7</x:v>
      </x:c>
      <x:c r="B615" s="44" t="str">
        <x:v>Canola/Rapeseed</x:v>
      </x:c>
      <x:c r="C615" s="44" t="str">
        <x:v>PV 781 TCM</x:v>
      </x:c>
      <x:c r="D615" s="66" t="n">
        <x:v>2024</x:v>
      </x:c>
      <x:c r="E615" s="67" t="n">
        <x:v>2338</x:v>
      </x:c>
      <x:c r="F615" s="68" t="n">
        <x:v>30.1</x:v>
      </x:c>
      <x:c r="G615" s="69" t="n">
        <x:f>IF(COUNT(E615:F615)=2,E615*F615,"")</x:f>
        <x:v>70373.8</x:v>
      </x:c>
    </x:row>
    <x:row r="616">
      <x:c r="A616" s="66" t="n">
        <x:v>7</x:v>
      </x:c>
      <x:c r="B616" s="44" t="str">
        <x:v>Canola/Rapeseed</x:v>
      </x:c>
      <x:c r="C616" s="44" t="str">
        <x:v>PV 781 TCM</x:v>
      </x:c>
      <x:c r="D616" s="66" t="n">
        <x:v>2025</x:v>
      </x:c>
      <x:c r="E616" s="67" t="n">
        <x:v>1465</x:v>
      </x:c>
      <x:c r="F616" s="68" t="n">
        <x:v>29.8</x:v>
      </x:c>
      <x:c r="G616" s="69" t="n">
        <x:f>IF(COUNT(E616:F616)=2,E616*F616,"")</x:f>
        <x:v>43657</x:v>
      </x:c>
    </x:row>
    <x:row r="617">
      <x:c r="A617" s="66" t="n">
        <x:v>7</x:v>
      </x:c>
      <x:c r="B617" s="44" t="str">
        <x:v>Canola/Rapeseed</x:v>
      </x:c>
      <x:c r="C617" s="44" t="str">
        <x:v>PV661 LCM</x:v>
      </x:c>
      <x:c r="D617" s="66" t="n">
        <x:v>2021</x:v>
      </x:c>
      <x:c r="E617" s="67"/>
      <x:c r="F617" s="68"/>
      <x:c r="G617" s="69" t="str">
        <x:f>IF(COUNT(E617:F617)=2,E617*F617,"")</x:f>
      </x:c>
    </x:row>
    <x:row r="618">
      <x:c r="A618" s="66" t="n">
        <x:v>7</x:v>
      </x:c>
      <x:c r="B618" s="44" t="str">
        <x:v>Canola/Rapeseed</x:v>
      </x:c>
      <x:c r="C618" s="44" t="str">
        <x:v>PV661 LCM</x:v>
      </x:c>
      <x:c r="D618" s="66" t="n">
        <x:v>2022</x:v>
      </x:c>
      <x:c r="E618" s="67"/>
      <x:c r="F618" s="68"/>
      <x:c r="G618" s="69" t="str">
        <x:f>IF(COUNT(E618:F618)=2,E618*F618,"")</x:f>
      </x:c>
    </x:row>
    <x:row r="619">
      <x:c r="A619" s="66" t="n">
        <x:v>7</x:v>
      </x:c>
      <x:c r="B619" s="44" t="str">
        <x:v>Canola/Rapeseed</x:v>
      </x:c>
      <x:c r="C619" s="44" t="str">
        <x:v>PV661 LCM</x:v>
      </x:c>
      <x:c r="D619" s="66" t="n">
        <x:v>2023</x:v>
      </x:c>
      <x:c r="E619" s="67"/>
      <x:c r="F619" s="68"/>
      <x:c r="G619" s="69" t="str">
        <x:f>IF(COUNT(E619:F619)=2,E619*F619,"")</x:f>
      </x:c>
    </x:row>
    <x:row r="620">
      <x:c r="A620" s="66" t="n">
        <x:v>7</x:v>
      </x:c>
      <x:c r="B620" s="44" t="str">
        <x:v>Canola/Rapeseed</x:v>
      </x:c>
      <x:c r="C620" s="44" t="str">
        <x:v>PV661 LCM</x:v>
      </x:c>
      <x:c r="D620" s="66" t="n">
        <x:v>2024</x:v>
      </x:c>
      <x:c r="E620" s="67" t="n">
        <x:v>1732</x:v>
      </x:c>
      <x:c r="F620" s="68" t="n">
        <x:v>27.6</x:v>
      </x:c>
      <x:c r="G620" s="69" t="n">
        <x:f>IF(COUNT(E620:F620)=2,E620*F620,"")</x:f>
        <x:v>47803.200000000004</x:v>
      </x:c>
    </x:row>
    <x:row r="621">
      <x:c r="A621" s="66" t="n">
        <x:v>7</x:v>
      </x:c>
      <x:c r="B621" s="44" t="str">
        <x:v>Canola/Rapeseed</x:v>
      </x:c>
      <x:c r="C621" s="44" t="str">
        <x:v>PV661 LCM</x:v>
      </x:c>
      <x:c r="D621" s="66" t="n">
        <x:v>2025</x:v>
      </x:c>
      <x:c r="E621" s="67" t="n">
        <x:v>959</x:v>
      </x:c>
      <x:c r="F621" s="68" t="n">
        <x:v>44</x:v>
      </x:c>
      <x:c r="G621" s="69" t="n">
        <x:f>IF(COUNT(E621:F621)=2,E621*F621,"")</x:f>
        <x:v>42196</x:v>
      </x:c>
    </x:row>
    <x:row r="622">
      <x:c r="A622" s="66" t="n">
        <x:v>7</x:v>
      </x:c>
      <x:c r="B622" s="44" t="str">
        <x:v>Canola/Rapeseed</x:v>
      </x:c>
      <x:c r="C622" s="44" t="str">
        <x:v>PV783</x:v>
      </x:c>
      <x:c r="D622" s="66" t="n">
        <x:v>2021</x:v>
      </x:c>
      <x:c r="E622" s="67"/>
      <x:c r="F622" s="68"/>
      <x:c r="G622" s="69" t="str">
        <x:f>IF(COUNT(E622:F622)=2,E622*F622,"")</x:f>
      </x:c>
    </x:row>
    <x:row r="623">
      <x:c r="A623" s="66" t="n">
        <x:v>7</x:v>
      </x:c>
      <x:c r="B623" s="44" t="str">
        <x:v>Canola/Rapeseed</x:v>
      </x:c>
      <x:c r="C623" s="44" t="str">
        <x:v>PV783</x:v>
      </x:c>
      <x:c r="D623" s="66" t="n">
        <x:v>2022</x:v>
      </x:c>
      <x:c r="E623" s="67"/>
      <x:c r="F623" s="68"/>
      <x:c r="G623" s="69" t="str">
        <x:f>IF(COUNT(E623:F623)=2,E623*F623,"")</x:f>
      </x:c>
    </x:row>
    <x:row r="624">
      <x:c r="A624" s="66" t="n">
        <x:v>7</x:v>
      </x:c>
      <x:c r="B624" s="44" t="str">
        <x:v>Canola/Rapeseed</x:v>
      </x:c>
      <x:c r="C624" s="44" t="str">
        <x:v>PV783</x:v>
      </x:c>
      <x:c r="D624" s="66" t="n">
        <x:v>2023</x:v>
      </x:c>
      <x:c r="E624" s="67"/>
      <x:c r="F624" s="68"/>
      <x:c r="G624" s="69" t="str">
        <x:f>IF(COUNT(E624:F624)=2,E624*F624,"")</x:f>
      </x:c>
    </x:row>
    <x:row r="625">
      <x:c r="A625" s="66" t="n">
        <x:v>7</x:v>
      </x:c>
      <x:c r="B625" s="44" t="str">
        <x:v>Canola/Rapeseed</x:v>
      </x:c>
      <x:c r="C625" s="44" t="str">
        <x:v>PV783</x:v>
      </x:c>
      <x:c r="D625" s="66" t="n">
        <x:v>2024</x:v>
      </x:c>
      <x:c r="E625" s="67"/>
      <x:c r="F625" s="68"/>
      <x:c r="G625" s="69" t="str">
        <x:f>IF(COUNT(E625:F625)=2,E625*F625,"")</x:f>
      </x:c>
    </x:row>
    <x:row r="626">
      <x:c r="A626" s="66" t="n">
        <x:v>7</x:v>
      </x:c>
      <x:c r="B626" s="44" t="str">
        <x:v>Canola/Rapeseed</x:v>
      </x:c>
      <x:c r="C626" s="44" t="str">
        <x:v>PV783</x:v>
      </x:c>
      <x:c r="D626" s="66" t="n">
        <x:v>2025</x:v>
      </x:c>
      <x:c r="E626" s="67" t="n">
        <x:v>646</x:v>
      </x:c>
      <x:c r="F626" s="68" t="n">
        <x:v>37.3</x:v>
      </x:c>
      <x:c r="G626" s="69" t="n">
        <x:f>IF(COUNT(E626:F626)=2,E626*F626,"")</x:f>
        <x:v>24095.8</x:v>
      </x:c>
    </x:row>
    <x:row r="627">
      <x:c r="A627" s="66" t="n">
        <x:v>7</x:v>
      </x:c>
      <x:c r="B627" s="44" t="str">
        <x:v>Canola/Rapeseed</x:v>
      </x:c>
      <x:c r="C627" s="44" t="str">
        <x:v>P1540L</x:v>
      </x:c>
      <x:c r="D627" s="66" t="n">
        <x:v>2021</x:v>
      </x:c>
      <x:c r="E627" s="67"/>
      <x:c r="F627" s="68"/>
      <x:c r="G627" s="69" t="str">
        <x:f>IF(COUNT(E627:F627)=2,E627*F627,"")</x:f>
      </x:c>
    </x:row>
    <x:row r="628">
      <x:c r="A628" s="66" t="n">
        <x:v>7</x:v>
      </x:c>
      <x:c r="B628" s="44" t="str">
        <x:v>Canola/Rapeseed</x:v>
      </x:c>
      <x:c r="C628" s="44" t="str">
        <x:v>P1540L</x:v>
      </x:c>
      <x:c r="D628" s="66" t="n">
        <x:v>2022</x:v>
      </x:c>
      <x:c r="E628" s="67"/>
      <x:c r="F628" s="68"/>
      <x:c r="G628" s="69" t="str">
        <x:f>IF(COUNT(E628:F628)=2,E628*F628,"")</x:f>
      </x:c>
    </x:row>
    <x:row r="629">
      <x:c r="A629" s="66" t="n">
        <x:v>7</x:v>
      </x:c>
      <x:c r="B629" s="44" t="str">
        <x:v>Canola/Rapeseed</x:v>
      </x:c>
      <x:c r="C629" s="44" t="str">
        <x:v>P1540L</x:v>
      </x:c>
      <x:c r="D629" s="66" t="n">
        <x:v>2023</x:v>
      </x:c>
      <x:c r="E629" s="67"/>
      <x:c r="F629" s="68"/>
      <x:c r="G629" s="69" t="str">
        <x:f>IF(COUNT(E629:F629)=2,E629*F629,"")</x:f>
      </x:c>
    </x:row>
    <x:row r="630">
      <x:c r="A630" s="66" t="n">
        <x:v>7</x:v>
      </x:c>
      <x:c r="B630" s="44" t="str">
        <x:v>Canola/Rapeseed</x:v>
      </x:c>
      <x:c r="C630" s="44" t="str">
        <x:v>P1540L</x:v>
      </x:c>
      <x:c r="D630" s="66" t="n">
        <x:v>2024</x:v>
      </x:c>
      <x:c r="E630" s="67"/>
      <x:c r="F630" s="68"/>
      <x:c r="G630" s="69" t="str">
        <x:f>IF(COUNT(E630:F630)=2,E630*F630,"")</x:f>
      </x:c>
    </x:row>
    <x:row r="631">
      <x:c r="A631" s="66" t="n">
        <x:v>7</x:v>
      </x:c>
      <x:c r="B631" s="44" t="str">
        <x:v>Canola/Rapeseed</x:v>
      </x:c>
      <x:c r="C631" s="44" t="str">
        <x:v>P1540L</x:v>
      </x:c>
      <x:c r="D631" s="66" t="n">
        <x:v>2025</x:v>
      </x:c>
      <x:c r="E631" s="67" t="n">
        <x:v>1995</x:v>
      </x:c>
      <x:c r="F631" s="68" t="n">
        <x:v>43</x:v>
      </x:c>
      <x:c r="G631" s="69" t="n">
        <x:f>IF(COUNT(E631:F631)=2,E631*F631,"")</x:f>
        <x:v>85785</x:v>
      </x:c>
    </x:row>
    <x:row r="632">
      <x:c r="A632" s="66" t="n">
        <x:v>7</x:v>
      </x:c>
      <x:c r="B632" s="44" t="str">
        <x:v>Canola/Rapeseed</x:v>
      </x:c>
      <x:c r="C632" s="44" t="str">
        <x:v>P508MCL</x:v>
      </x:c>
      <x:c r="D632" s="66" t="n">
        <x:v>2021</x:v>
      </x:c>
      <x:c r="E632" s="67" t="n">
        <x:v>5448</x:v>
      </x:c>
      <x:c r="F632" s="68" t="n">
        <x:v>30.5</x:v>
      </x:c>
      <x:c r="G632" s="69" t="n">
        <x:f>IF(COUNT(E632:F632)=2,E632*F632,"")</x:f>
        <x:v>166164</x:v>
      </x:c>
    </x:row>
    <x:row r="633">
      <x:c r="A633" s="66" t="n">
        <x:v>7</x:v>
      </x:c>
      <x:c r="B633" s="44" t="str">
        <x:v>Canola/Rapeseed</x:v>
      </x:c>
      <x:c r="C633" s="44" t="str">
        <x:v>P508MCL</x:v>
      </x:c>
      <x:c r="D633" s="66" t="n">
        <x:v>2022</x:v>
      </x:c>
      <x:c r="E633" s="67" t="n">
        <x:v>5591</x:v>
      </x:c>
      <x:c r="F633" s="68" t="n">
        <x:v>43.6</x:v>
      </x:c>
      <x:c r="G633" s="69" t="n">
        <x:f>IF(COUNT(E633:F633)=2,E633*F633,"")</x:f>
        <x:v>243767.6</x:v>
      </x:c>
    </x:row>
    <x:row r="634">
      <x:c r="A634" s="66" t="n">
        <x:v>7</x:v>
      </x:c>
      <x:c r="B634" s="44" t="str">
        <x:v>Canola/Rapeseed</x:v>
      </x:c>
      <x:c r="C634" s="44" t="str">
        <x:v>P508MCL</x:v>
      </x:c>
      <x:c r="D634" s="66" t="n">
        <x:v>2023</x:v>
      </x:c>
      <x:c r="E634" s="67" t="n">
        <x:v>4378</x:v>
      </x:c>
      <x:c r="F634" s="68" t="n">
        <x:v>37.1</x:v>
      </x:c>
      <x:c r="G634" s="69" t="n">
        <x:f>IF(COUNT(E634:F634)=2,E634*F634,"")</x:f>
        <x:v>162423.80000000002</x:v>
      </x:c>
    </x:row>
    <x:row r="635">
      <x:c r="A635" s="66" t="n">
        <x:v>7</x:v>
      </x:c>
      <x:c r="B635" s="44" t="str">
        <x:v>Canola/Rapeseed</x:v>
      </x:c>
      <x:c r="C635" s="44" t="str">
        <x:v>P508MCL</x:v>
      </x:c>
      <x:c r="D635" s="66" t="n">
        <x:v>2024</x:v>
      </x:c>
      <x:c r="E635" s="67" t="n">
        <x:v>2725</x:v>
      </x:c>
      <x:c r="F635" s="68" t="n">
        <x:v>37.4</x:v>
      </x:c>
      <x:c r="G635" s="69" t="n">
        <x:f>IF(COUNT(E635:F635)=2,E635*F635,"")</x:f>
        <x:v>101915</x:v>
      </x:c>
    </x:row>
    <x:row r="636">
      <x:c r="A636" s="66" t="n">
        <x:v>7</x:v>
      </x:c>
      <x:c r="B636" s="44" t="str">
        <x:v>Canola/Rapeseed</x:v>
      </x:c>
      <x:c r="C636" s="44" t="str">
        <x:v>P508MCL</x:v>
      </x:c>
      <x:c r="D636" s="66" t="n">
        <x:v>2025</x:v>
      </x:c>
      <x:c r="E636" s="67" t="n">
        <x:v>909</x:v>
      </x:c>
      <x:c r="F636" s="68" t="n">
        <x:v>37</x:v>
      </x:c>
      <x:c r="G636" s="69" t="n">
        <x:f>IF(COUNT(E636:F636)=2,E636*F636,"")</x:f>
        <x:v>33633</x:v>
      </x:c>
    </x:row>
    <x:row r="637">
      <x:c r="A637" s="66" t="n">
        <x:v>7</x:v>
      </x:c>
      <x:c r="B637" s="44" t="str">
        <x:v>Canola/Rapeseed</x:v>
      </x:c>
      <x:c r="C637" s="44" t="str">
        <x:v>P514CL</x:v>
      </x:c>
      <x:c r="D637" s="66" t="n">
        <x:v>2021</x:v>
      </x:c>
      <x:c r="E637" s="67"/>
      <x:c r="F637" s="68"/>
      <x:c r="G637" s="69" t="str">
        <x:f>IF(COUNT(E637:F637)=2,E637*F637,"")</x:f>
      </x:c>
    </x:row>
    <x:row r="638">
      <x:c r="A638" s="66" t="n">
        <x:v>7</x:v>
      </x:c>
      <x:c r="B638" s="44" t="str">
        <x:v>Canola/Rapeseed</x:v>
      </x:c>
      <x:c r="C638" s="44" t="str">
        <x:v>P514CL</x:v>
      </x:c>
      <x:c r="D638" s="66" t="n">
        <x:v>2022</x:v>
      </x:c>
      <x:c r="E638" s="67"/>
      <x:c r="F638" s="68"/>
      <x:c r="G638" s="69" t="str">
        <x:f>IF(COUNT(E638:F638)=2,E638*F638,"")</x:f>
      </x:c>
    </x:row>
    <x:row r="639">
      <x:c r="A639" s="66" t="n">
        <x:v>7</x:v>
      </x:c>
      <x:c r="B639" s="44" t="str">
        <x:v>Canola/Rapeseed</x:v>
      </x:c>
      <x:c r="C639" s="44" t="str">
        <x:v>P514CL</x:v>
      </x:c>
      <x:c r="D639" s="66" t="n">
        <x:v>2023</x:v>
      </x:c>
      <x:c r="E639" s="67" t="n">
        <x:v>1801</x:v>
      </x:c>
      <x:c r="F639" s="68" t="n">
        <x:v>39.5</x:v>
      </x:c>
      <x:c r="G639" s="69" t="n">
        <x:f>IF(COUNT(E639:F639)=2,E639*F639,"")</x:f>
        <x:v>71139.5</x:v>
      </x:c>
    </x:row>
    <x:row r="640">
      <x:c r="A640" s="66" t="n">
        <x:v>7</x:v>
      </x:c>
      <x:c r="B640" s="44" t="str">
        <x:v>Canola/Rapeseed</x:v>
      </x:c>
      <x:c r="C640" s="44" t="str">
        <x:v>P514CL</x:v>
      </x:c>
      <x:c r="D640" s="66" t="n">
        <x:v>2024</x:v>
      </x:c>
      <x:c r="E640" s="67"/>
      <x:c r="F640" s="68"/>
      <x:c r="G640" s="69" t="str">
        <x:f>IF(COUNT(E640:F640)=2,E640*F640,"")</x:f>
      </x:c>
    </x:row>
    <x:row r="641">
      <x:c r="A641" s="66" t="n">
        <x:v>7</x:v>
      </x:c>
      <x:c r="B641" s="44" t="str">
        <x:v>Canola/Rapeseed</x:v>
      </x:c>
      <x:c r="C641" s="44" t="str">
        <x:v>P514CL</x:v>
      </x:c>
      <x:c r="D641" s="66" t="n">
        <x:v>2025</x:v>
      </x:c>
      <x:c r="E641" s="67" t="n">
        <x:v>2287</x:v>
      </x:c>
      <x:c r="F641" s="68" t="n">
        <x:v>43</x:v>
      </x:c>
      <x:c r="G641" s="69" t="n">
        <x:f>IF(COUNT(E641:F641)=2,E641*F641,"")</x:f>
        <x:v>98341</x:v>
      </x:c>
    </x:row>
    <x:row r="642">
      <x:c r="A642" s="66" t="n">
        <x:v>7</x:v>
      </x:c>
      <x:c r="B642" s="44" t="str">
        <x:v>Canola/Rapeseed</x:v>
      </x:c>
      <x:c r="C642" s="44" t="str">
        <x:v>P515G</x:v>
      </x:c>
      <x:c r="D642" s="66" t="n">
        <x:v>2021</x:v>
      </x:c>
      <x:c r="E642" s="67"/>
      <x:c r="F642" s="68"/>
      <x:c r="G642" s="69" t="str">
        <x:f>IF(COUNT(E642:F642)=2,E642*F642,"")</x:f>
      </x:c>
    </x:row>
    <x:row r="643">
      <x:c r="A643" s="66" t="n">
        <x:v>7</x:v>
      </x:c>
      <x:c r="B643" s="44" t="str">
        <x:v>Canola/Rapeseed</x:v>
      </x:c>
      <x:c r="C643" s="44" t="str">
        <x:v>P515G</x:v>
      </x:c>
      <x:c r="D643" s="66" t="n">
        <x:v>2022</x:v>
      </x:c>
      <x:c r="E643" s="67"/>
      <x:c r="F643" s="68"/>
      <x:c r="G643" s="69" t="str">
        <x:f>IF(COUNT(E643:F643)=2,E643*F643,"")</x:f>
      </x:c>
    </x:row>
    <x:row r="644">
      <x:c r="A644" s="66" t="n">
        <x:v>7</x:v>
      </x:c>
      <x:c r="B644" s="44" t="str">
        <x:v>Canola/Rapeseed</x:v>
      </x:c>
      <x:c r="C644" s="44" t="str">
        <x:v>P515G</x:v>
      </x:c>
      <x:c r="D644" s="66" t="n">
        <x:v>2023</x:v>
      </x:c>
      <x:c r="E644" s="67" t="n">
        <x:v>2881</x:v>
      </x:c>
      <x:c r="F644" s="68" t="n">
        <x:v>40.1</x:v>
      </x:c>
      <x:c r="G644" s="69" t="n">
        <x:f>IF(COUNT(E644:F644)=2,E644*F644,"")</x:f>
        <x:v>115528.1</x:v>
      </x:c>
    </x:row>
    <x:row r="645">
      <x:c r="A645" s="66" t="n">
        <x:v>7</x:v>
      </x:c>
      <x:c r="B645" s="44" t="str">
        <x:v>Canola/Rapeseed</x:v>
      </x:c>
      <x:c r="C645" s="44" t="str">
        <x:v>P515G</x:v>
      </x:c>
      <x:c r="D645" s="66" t="n">
        <x:v>2024</x:v>
      </x:c>
      <x:c r="E645" s="67" t="n">
        <x:v>9647</x:v>
      </x:c>
      <x:c r="F645" s="68" t="n">
        <x:v>32.5</x:v>
      </x:c>
      <x:c r="G645" s="69" t="n">
        <x:f>IF(COUNT(E645:F645)=2,E645*F645,"")</x:f>
        <x:v>313527.5</x:v>
      </x:c>
    </x:row>
    <x:row r="646">
      <x:c r="A646" s="66" t="n">
        <x:v>7</x:v>
      </x:c>
      <x:c r="B646" s="44" t="str">
        <x:v>Canola/Rapeseed</x:v>
      </x:c>
      <x:c r="C646" s="44" t="str">
        <x:v>P515G</x:v>
      </x:c>
      <x:c r="D646" s="66" t="n">
        <x:v>2025</x:v>
      </x:c>
      <x:c r="E646" s="67" t="n">
        <x:v>1781</x:v>
      </x:c>
      <x:c r="F646" s="68" t="n">
        <x:v>41.4</x:v>
      </x:c>
      <x:c r="G646" s="69" t="n">
        <x:f>IF(COUNT(E646:F646)=2,E646*F646,"")</x:f>
        <x:v>73733.4</x:v>
      </x:c>
    </x:row>
    <x:row r="647">
      <x:c r="A647" s="66" t="n">
        <x:v>7</x:v>
      </x:c>
      <x:c r="B647" s="44" t="str">
        <x:v>Canola/Rapeseed</x:v>
      </x:c>
      <x:c r="C647" s="44" t="str">
        <x:v>P516L</x:v>
      </x:c>
      <x:c r="D647" s="66" t="n">
        <x:v>2021</x:v>
      </x:c>
      <x:c r="E647" s="67"/>
      <x:c r="F647" s="68"/>
      <x:c r="G647" s="69" t="str">
        <x:f>IF(COUNT(E647:F647)=2,E647*F647,"")</x:f>
      </x:c>
    </x:row>
    <x:row r="648">
      <x:c r="A648" s="66" t="n">
        <x:v>7</x:v>
      </x:c>
      <x:c r="B648" s="44" t="str">
        <x:v>Canola/Rapeseed</x:v>
      </x:c>
      <x:c r="C648" s="44" t="str">
        <x:v>P516L</x:v>
      </x:c>
      <x:c r="D648" s="66" t="n">
        <x:v>2022</x:v>
      </x:c>
      <x:c r="E648" s="67"/>
      <x:c r="F648" s="68"/>
      <x:c r="G648" s="69" t="str">
        <x:f>IF(COUNT(E648:F648)=2,E648*F648,"")</x:f>
      </x:c>
    </x:row>
    <x:row r="649">
      <x:c r="A649" s="66" t="n">
        <x:v>7</x:v>
      </x:c>
      <x:c r="B649" s="44" t="str">
        <x:v>Canola/Rapeseed</x:v>
      </x:c>
      <x:c r="C649" s="44" t="str">
        <x:v>P516L</x:v>
      </x:c>
      <x:c r="D649" s="66" t="n">
        <x:v>2023</x:v>
      </x:c>
      <x:c r="E649" s="67" t="n">
        <x:v>1179</x:v>
      </x:c>
      <x:c r="F649" s="68" t="n">
        <x:v>35.4</x:v>
      </x:c>
      <x:c r="G649" s="69" t="n">
        <x:f>IF(COUNT(E649:F649)=2,E649*F649,"")</x:f>
        <x:v>41736.6</x:v>
      </x:c>
    </x:row>
    <x:row r="650">
      <x:c r="A650" s="66" t="n">
        <x:v>7</x:v>
      </x:c>
      <x:c r="B650" s="44" t="str">
        <x:v>Canola/Rapeseed</x:v>
      </x:c>
      <x:c r="C650" s="44" t="str">
        <x:v>P516L</x:v>
      </x:c>
      <x:c r="D650" s="66" t="n">
        <x:v>2024</x:v>
      </x:c>
      <x:c r="E650" s="67" t="n">
        <x:v>7616</x:v>
      </x:c>
      <x:c r="F650" s="68" t="n">
        <x:v>40.4</x:v>
      </x:c>
      <x:c r="G650" s="69" t="n">
        <x:f>IF(COUNT(E650:F650)=2,E650*F650,"")</x:f>
        <x:v>307686.39999999997</x:v>
      </x:c>
    </x:row>
    <x:row r="651">
      <x:c r="A651" s="66" t="n">
        <x:v>7</x:v>
      </x:c>
      <x:c r="B651" s="44" t="str">
        <x:v>Canola/Rapeseed</x:v>
      </x:c>
      <x:c r="C651" s="44" t="str">
        <x:v>P516L</x:v>
      </x:c>
      <x:c r="D651" s="66" t="n">
        <x:v>2025</x:v>
      </x:c>
      <x:c r="E651" s="67" t="n">
        <x:v>2927</x:v>
      </x:c>
      <x:c r="F651" s="68" t="n">
        <x:v>45.6</x:v>
      </x:c>
      <x:c r="G651" s="69" t="n">
        <x:f>IF(COUNT(E651:F651)=2,E651*F651,"")</x:f>
        <x:v>133471.2</x:v>
      </x:c>
    </x:row>
    <x:row r="652">
      <x:c r="A652" s="66" t="n">
        <x:v>7</x:v>
      </x:c>
      <x:c r="B652" s="44" t="str">
        <x:v>Canola/Rapeseed</x:v>
      </x:c>
      <x:c r="C652" s="44" t="str">
        <x:v>P519L</x:v>
      </x:c>
      <x:c r="D652" s="66" t="n">
        <x:v>2021</x:v>
      </x:c>
      <x:c r="E652" s="67"/>
      <x:c r="F652" s="68"/>
      <x:c r="G652" s="69" t="str">
        <x:f>IF(COUNT(E652:F652)=2,E652*F652,"")</x:f>
      </x:c>
    </x:row>
    <x:row r="653">
      <x:c r="A653" s="66" t="n">
        <x:v>7</x:v>
      </x:c>
      <x:c r="B653" s="44" t="str">
        <x:v>Canola/Rapeseed</x:v>
      </x:c>
      <x:c r="C653" s="44" t="str">
        <x:v>P519L</x:v>
      </x:c>
      <x:c r="D653" s="66" t="n">
        <x:v>2022</x:v>
      </x:c>
      <x:c r="E653" s="67"/>
      <x:c r="F653" s="68"/>
      <x:c r="G653" s="69" t="str">
        <x:f>IF(COUNT(E653:F653)=2,E653*F653,"")</x:f>
      </x:c>
    </x:row>
    <x:row r="654">
      <x:c r="A654" s="66" t="n">
        <x:v>7</x:v>
      </x:c>
      <x:c r="B654" s="44" t="str">
        <x:v>Canola/Rapeseed</x:v>
      </x:c>
      <x:c r="C654" s="44" t="str">
        <x:v>P519L</x:v>
      </x:c>
      <x:c r="D654" s="66" t="n">
        <x:v>2023</x:v>
      </x:c>
      <x:c r="E654" s="67"/>
      <x:c r="F654" s="68"/>
      <x:c r="G654" s="69" t="str">
        <x:f>IF(COUNT(E654:F654)=2,E654*F654,"")</x:f>
      </x:c>
    </x:row>
    <x:row r="655">
      <x:c r="A655" s="66" t="n">
        <x:v>7</x:v>
      </x:c>
      <x:c r="B655" s="44" t="str">
        <x:v>Canola/Rapeseed</x:v>
      </x:c>
      <x:c r="C655" s="44" t="str">
        <x:v>P519L</x:v>
      </x:c>
      <x:c r="D655" s="66" t="n">
        <x:v>2024</x:v>
      </x:c>
      <x:c r="E655" s="67"/>
      <x:c r="F655" s="68"/>
      <x:c r="G655" s="69" t="str">
        <x:f>IF(COUNT(E655:F655)=2,E655*F655,"")</x:f>
      </x:c>
    </x:row>
    <x:row r="656">
      <x:c r="A656" s="66" t="n">
        <x:v>7</x:v>
      </x:c>
      <x:c r="B656" s="44" t="str">
        <x:v>Canola/Rapeseed</x:v>
      </x:c>
      <x:c r="C656" s="44" t="str">
        <x:v>P519L</x:v>
      </x:c>
      <x:c r="D656" s="66" t="n">
        <x:v>2025</x:v>
      </x:c>
      <x:c r="E656" s="67" t="n">
        <x:v>1466</x:v>
      </x:c>
      <x:c r="F656" s="68" t="n">
        <x:v>45.6</x:v>
      </x:c>
      <x:c r="G656" s="69" t="n">
        <x:f>IF(COUNT(E656:F656)=2,E656*F656,"")</x:f>
        <x:v>66849.6</x:v>
      </x:c>
    </x:row>
    <x:row r="657">
      <x:c r="A657" s="66" t="n">
        <x:v>7</x:v>
      </x:c>
      <x:c r="B657" s="44" t="str">
        <x:v>Canola/Rapeseed</x:v>
      </x:c>
      <x:c r="C657" s="44" t="str">
        <x:v>P520L</x:v>
      </x:c>
      <x:c r="D657" s="66" t="n">
        <x:v>2021</x:v>
      </x:c>
      <x:c r="E657" s="67"/>
      <x:c r="F657" s="68"/>
      <x:c r="G657" s="69" t="str">
        <x:f>IF(COUNT(E657:F657)=2,E657*F657,"")</x:f>
      </x:c>
    </x:row>
    <x:row r="658">
      <x:c r="A658" s="66" t="n">
        <x:v>7</x:v>
      </x:c>
      <x:c r="B658" s="44" t="str">
        <x:v>Canola/Rapeseed</x:v>
      </x:c>
      <x:c r="C658" s="44" t="str">
        <x:v>P520L</x:v>
      </x:c>
      <x:c r="D658" s="66" t="n">
        <x:v>2022</x:v>
      </x:c>
      <x:c r="E658" s="67"/>
      <x:c r="F658" s="68"/>
      <x:c r="G658" s="69" t="str">
        <x:f>IF(COUNT(E658:F658)=2,E658*F658,"")</x:f>
      </x:c>
    </x:row>
    <x:row r="659">
      <x:c r="A659" s="66" t="n">
        <x:v>7</x:v>
      </x:c>
      <x:c r="B659" s="44" t="str">
        <x:v>Canola/Rapeseed</x:v>
      </x:c>
      <x:c r="C659" s="44" t="str">
        <x:v>P520L</x:v>
      </x:c>
      <x:c r="D659" s="66" t="n">
        <x:v>2023</x:v>
      </x:c>
      <x:c r="E659" s="67"/>
      <x:c r="F659" s="68"/>
      <x:c r="G659" s="69" t="str">
        <x:f>IF(COUNT(E659:F659)=2,E659*F659,"")</x:f>
      </x:c>
    </x:row>
    <x:row r="660">
      <x:c r="A660" s="66" t="n">
        <x:v>7</x:v>
      </x:c>
      <x:c r="B660" s="44" t="str">
        <x:v>Canola/Rapeseed</x:v>
      </x:c>
      <x:c r="C660" s="44" t="str">
        <x:v>P520L</x:v>
      </x:c>
      <x:c r="D660" s="66" t="n">
        <x:v>2024</x:v>
      </x:c>
      <x:c r="E660" s="67" t="n">
        <x:v>1040</x:v>
      </x:c>
      <x:c r="F660" s="68" t="n">
        <x:v>40.2</x:v>
      </x:c>
      <x:c r="G660" s="69" t="n">
        <x:f>IF(COUNT(E660:F660)=2,E660*F660,"")</x:f>
        <x:v>41808</x:v>
      </x:c>
    </x:row>
    <x:row r="661">
      <x:c r="A661" s="66" t="n">
        <x:v>7</x:v>
      </x:c>
      <x:c r="B661" s="44" t="str">
        <x:v>Canola/Rapeseed</x:v>
      </x:c>
      <x:c r="C661" s="44" t="str">
        <x:v>P520L</x:v>
      </x:c>
      <x:c r="D661" s="66" t="n">
        <x:v>2025</x:v>
      </x:c>
      <x:c r="E661" s="67" t="n">
        <x:v>17545</x:v>
      </x:c>
      <x:c r="F661" s="68" t="n">
        <x:v>46.1</x:v>
      </x:c>
      <x:c r="G661" s="69" t="n">
        <x:f>IF(COUNT(E661:F661)=2,E661*F661,"")</x:f>
        <x:v>808824.5</x:v>
      </x:c>
    </x:row>
    <x:row r="662">
      <x:c r="A662" s="66" t="n">
        <x:v>7</x:v>
      </x:c>
      <x:c r="B662" s="44" t="str">
        <x:v>Canola/Rapeseed</x:v>
      </x:c>
      <x:c r="C662" s="44" t="str">
        <x:v>45H42</x:v>
      </x:c>
      <x:c r="D662" s="66" t="n">
        <x:v>2021</x:v>
      </x:c>
      <x:c r="E662" s="67" t="n">
        <x:v>1669</x:v>
      </x:c>
      <x:c r="F662" s="68" t="n">
        <x:v>25.8</x:v>
      </x:c>
      <x:c r="G662" s="69" t="n">
        <x:f>IF(COUNT(E662:F662)=2,E662*F662,"")</x:f>
        <x:v>43060.200000000004</x:v>
      </x:c>
    </x:row>
    <x:row r="663">
      <x:c r="A663" s="66" t="n">
        <x:v>7</x:v>
      </x:c>
      <x:c r="B663" s="44" t="str">
        <x:v>Canola/Rapeseed</x:v>
      </x:c>
      <x:c r="C663" s="44" t="str">
        <x:v>45H42</x:v>
      </x:c>
      <x:c r="D663" s="66" t="n">
        <x:v>2022</x:v>
      </x:c>
      <x:c r="E663" s="67"/>
      <x:c r="F663" s="68"/>
      <x:c r="G663" s="69" t="str">
        <x:f>IF(COUNT(E663:F663)=2,E663*F663,"")</x:f>
      </x:c>
    </x:row>
    <x:row r="664">
      <x:c r="A664" s="66" t="n">
        <x:v>7</x:v>
      </x:c>
      <x:c r="B664" s="44" t="str">
        <x:v>Canola/Rapeseed</x:v>
      </x:c>
      <x:c r="C664" s="44" t="str">
        <x:v>45H42</x:v>
      </x:c>
      <x:c r="D664" s="66" t="n">
        <x:v>2023</x:v>
      </x:c>
      <x:c r="E664" s="67" t="n">
        <x:v>1469</x:v>
      </x:c>
      <x:c r="F664" s="68" t="n">
        <x:v>25.8</x:v>
      </x:c>
      <x:c r="G664" s="69" t="n">
        <x:f>IF(COUNT(E664:F664)=2,E664*F664,"")</x:f>
        <x:v>37900.200000000004</x:v>
      </x:c>
    </x:row>
    <x:row r="665">
      <x:c r="A665" s="66" t="n">
        <x:v>7</x:v>
      </x:c>
      <x:c r="B665" s="44" t="str">
        <x:v>Canola/Rapeseed</x:v>
      </x:c>
      <x:c r="C665" s="44" t="str">
        <x:v>45H42</x:v>
      </x:c>
      <x:c r="D665" s="66" t="n">
        <x:v>2024</x:v>
      </x:c>
      <x:c r="E665" s="67" t="n">
        <x:v>1162</x:v>
      </x:c>
      <x:c r="F665" s="68" t="n">
        <x:v>29.2</x:v>
      </x:c>
      <x:c r="G665" s="69" t="n">
        <x:f>IF(COUNT(E665:F665)=2,E665*F665,"")</x:f>
        <x:v>33930.4</x:v>
      </x:c>
    </x:row>
    <x:row r="666">
      <x:c r="A666" s="66" t="n">
        <x:v>7</x:v>
      </x:c>
      <x:c r="B666" s="44" t="str">
        <x:v>Canola/Rapeseed</x:v>
      </x:c>
      <x:c r="C666" s="44" t="str">
        <x:v>45H42</x:v>
      </x:c>
      <x:c r="D666" s="66" t="n">
        <x:v>2025</x:v>
      </x:c>
      <x:c r="E666" s="67" t="n">
        <x:v>505</x:v>
      </x:c>
      <x:c r="F666" s="68" t="n">
        <x:v>38.2</x:v>
      </x:c>
      <x:c r="G666" s="69" t="n">
        <x:f>IF(COUNT(E666:F666)=2,E666*F666,"")</x:f>
        <x:v>19291</x:v>
      </x:c>
    </x:row>
    <x:row r="667">
      <x:c r="A667" s="66" t="n">
        <x:v>8</x:v>
      </x:c>
      <x:c r="B667" s="44" t="str">
        <x:v>Canola/Rapeseed</x:v>
      </x:c>
      <x:c r="C667" s="44" t="str">
        <x:v>BY 6211TF</x:v>
      </x:c>
      <x:c r="D667" s="66" t="n">
        <x:v>2021</x:v>
      </x:c>
      <x:c r="E667" s="67"/>
      <x:c r="F667" s="68"/>
      <x:c r="G667" s="69" t="str">
        <x:f>IF(COUNT(E667:F667)=2,E667*F667,"")</x:f>
      </x:c>
    </x:row>
    <x:row r="668">
      <x:c r="A668" s="66" t="n">
        <x:v>8</x:v>
      </x:c>
      <x:c r="B668" s="44" t="str">
        <x:v>Canola/Rapeseed</x:v>
      </x:c>
      <x:c r="C668" s="44" t="str">
        <x:v>BY 6211TF</x:v>
      </x:c>
      <x:c r="D668" s="66" t="n">
        <x:v>2022</x:v>
      </x:c>
      <x:c r="E668" s="67"/>
      <x:c r="F668" s="68"/>
      <x:c r="G668" s="69" t="str">
        <x:f>IF(COUNT(E668:F668)=2,E668*F668,"")</x:f>
      </x:c>
    </x:row>
    <x:row r="669">
      <x:c r="A669" s="66" t="n">
        <x:v>8</x:v>
      </x:c>
      <x:c r="B669" s="44" t="str">
        <x:v>Canola/Rapeseed</x:v>
      </x:c>
      <x:c r="C669" s="44" t="str">
        <x:v>BY 6211TF</x:v>
      </x:c>
      <x:c r="D669" s="66" t="n">
        <x:v>2023</x:v>
      </x:c>
      <x:c r="E669" s="67"/>
      <x:c r="F669" s="68"/>
      <x:c r="G669" s="69" t="str">
        <x:f>IF(COUNT(E669:F669)=2,E669*F669,"")</x:f>
      </x:c>
    </x:row>
    <x:row r="670">
      <x:c r="A670" s="66" t="n">
        <x:v>8</x:v>
      </x:c>
      <x:c r="B670" s="44" t="str">
        <x:v>Canola/Rapeseed</x:v>
      </x:c>
      <x:c r="C670" s="44" t="str">
        <x:v>BY 6211TF</x:v>
      </x:c>
      <x:c r="D670" s="66" t="n">
        <x:v>2024</x:v>
      </x:c>
      <x:c r="E670" s="67" t="n">
        <x:v>501</x:v>
      </x:c>
      <x:c r="F670" s="68" t="n">
        <x:v>31.6</x:v>
      </x:c>
      <x:c r="G670" s="69" t="n">
        <x:f>IF(COUNT(E670:F670)=2,E670*F670,"")</x:f>
        <x:v>15831.6</x:v>
      </x:c>
    </x:row>
    <x:row r="671">
      <x:c r="A671" s="66" t="n">
        <x:v>8</x:v>
      </x:c>
      <x:c r="B671" s="44" t="str">
        <x:v>Canola/Rapeseed</x:v>
      </x:c>
      <x:c r="C671" s="44" t="str">
        <x:v>BY 6211TF</x:v>
      </x:c>
      <x:c r="D671" s="66" t="n">
        <x:v>2025</x:v>
      </x:c>
      <x:c r="E671" s="67" t="n">
        <x:v>866</x:v>
      </x:c>
      <x:c r="F671" s="68" t="n">
        <x:v>36.2</x:v>
      </x:c>
      <x:c r="G671" s="69" t="n">
        <x:f>IF(COUNT(E671:F671)=2,E671*F671,"")</x:f>
        <x:v>31349.2</x:v>
      </x:c>
    </x:row>
    <x:row r="672">
      <x:c r="A672" s="66" t="n">
        <x:v>8</x:v>
      </x:c>
      <x:c r="B672" s="44" t="str">
        <x:v>Canola/Rapeseed</x:v>
      </x:c>
      <x:c r="C672" s="44" t="str">
        <x:v>BY 7204LL</x:v>
      </x:c>
      <x:c r="D672" s="66" t="n">
        <x:v>2021</x:v>
      </x:c>
      <x:c r="E672" s="67"/>
      <x:c r="F672" s="68"/>
      <x:c r="G672" s="69" t="str">
        <x:f>IF(COUNT(E672:F672)=2,E672*F672,"")</x:f>
      </x:c>
    </x:row>
    <x:row r="673">
      <x:c r="A673" s="66" t="n">
        <x:v>8</x:v>
      </x:c>
      <x:c r="B673" s="44" t="str">
        <x:v>Canola/Rapeseed</x:v>
      </x:c>
      <x:c r="C673" s="44" t="str">
        <x:v>BY 7204LL</x:v>
      </x:c>
      <x:c r="D673" s="66" t="n">
        <x:v>2022</x:v>
      </x:c>
      <x:c r="E673" s="67"/>
      <x:c r="F673" s="68"/>
      <x:c r="G673" s="69" t="str">
        <x:f>IF(COUNT(E673:F673)=2,E673*F673,"")</x:f>
      </x:c>
    </x:row>
    <x:row r="674">
      <x:c r="A674" s="66" t="n">
        <x:v>8</x:v>
      </x:c>
      <x:c r="B674" s="44" t="str">
        <x:v>Canola/Rapeseed</x:v>
      </x:c>
      <x:c r="C674" s="44" t="str">
        <x:v>BY 7204LL</x:v>
      </x:c>
      <x:c r="D674" s="66" t="n">
        <x:v>2023</x:v>
      </x:c>
      <x:c r="E674" s="67"/>
      <x:c r="F674" s="68"/>
      <x:c r="G674" s="69" t="str">
        <x:f>IF(COUNT(E674:F674)=2,E674*F674,"")</x:f>
      </x:c>
    </x:row>
    <x:row r="675">
      <x:c r="A675" s="66" t="n">
        <x:v>8</x:v>
      </x:c>
      <x:c r="B675" s="44" t="str">
        <x:v>Canola/Rapeseed</x:v>
      </x:c>
      <x:c r="C675" s="44" t="str">
        <x:v>BY 7204LL</x:v>
      </x:c>
      <x:c r="D675" s="66" t="n">
        <x:v>2024</x:v>
      </x:c>
      <x:c r="E675" s="67" t="n">
        <x:v>560</x:v>
      </x:c>
      <x:c r="F675" s="68" t="n">
        <x:v>28.6</x:v>
      </x:c>
      <x:c r="G675" s="69" t="n">
        <x:f>IF(COUNT(E675:F675)=2,E675*F675,"")</x:f>
        <x:v>16016</x:v>
      </x:c>
    </x:row>
    <x:row r="676">
      <x:c r="A676" s="66" t="n">
        <x:v>8</x:v>
      </x:c>
      <x:c r="B676" s="44" t="str">
        <x:v>Canola/Rapeseed</x:v>
      </x:c>
      <x:c r="C676" s="44" t="str">
        <x:v>BY 7204LL</x:v>
      </x:c>
      <x:c r="D676" s="66" t="n">
        <x:v>2025</x:v>
      </x:c>
      <x:c r="E676" s="67" t="n">
        <x:v>2711</x:v>
      </x:c>
      <x:c r="F676" s="68" t="n">
        <x:v>46.2</x:v>
      </x:c>
      <x:c r="G676" s="69" t="n">
        <x:f>IF(COUNT(E676:F676)=2,E676*F676,"")</x:f>
        <x:v>125248.20000000001</x:v>
      </x:c>
    </x:row>
    <x:row r="677">
      <x:c r="A677" s="66" t="n">
        <x:v>8</x:v>
      </x:c>
      <x:c r="B677" s="44" t="str">
        <x:v>Canola/Rapeseed</x:v>
      </x:c>
      <x:c r="C677" s="44" t="str">
        <x:v>B3020</x:v>
      </x:c>
      <x:c r="D677" s="66" t="n">
        <x:v>2021</x:v>
      </x:c>
      <x:c r="E677" s="67"/>
      <x:c r="F677" s="68"/>
      <x:c r="G677" s="69" t="str">
        <x:f>IF(COUNT(E677:F677)=2,E677*F677,"")</x:f>
      </x:c>
    </x:row>
    <x:row r="678">
      <x:c r="A678" s="66" t="n">
        <x:v>8</x:v>
      </x:c>
      <x:c r="B678" s="44" t="str">
        <x:v>Canola/Rapeseed</x:v>
      </x:c>
      <x:c r="C678" s="44" t="str">
        <x:v>B3020</x:v>
      </x:c>
      <x:c r="D678" s="66" t="n">
        <x:v>2022</x:v>
      </x:c>
      <x:c r="E678" s="67"/>
      <x:c r="F678" s="68"/>
      <x:c r="G678" s="69" t="str">
        <x:f>IF(COUNT(E678:F678)=2,E678*F678,"")</x:f>
      </x:c>
    </x:row>
    <x:row r="679">
      <x:c r="A679" s="66" t="n">
        <x:v>8</x:v>
      </x:c>
      <x:c r="B679" s="44" t="str">
        <x:v>Canola/Rapeseed</x:v>
      </x:c>
      <x:c r="C679" s="44" t="str">
        <x:v>B3020</x:v>
      </x:c>
      <x:c r="D679" s="66" t="n">
        <x:v>2023</x:v>
      </x:c>
      <x:c r="E679" s="67"/>
      <x:c r="F679" s="68"/>
      <x:c r="G679" s="69" t="str">
        <x:f>IF(COUNT(E679:F679)=2,E679*F679,"")</x:f>
      </x:c>
    </x:row>
    <x:row r="680">
      <x:c r="A680" s="66" t="n">
        <x:v>8</x:v>
      </x:c>
      <x:c r="B680" s="44" t="str">
        <x:v>Canola/Rapeseed</x:v>
      </x:c>
      <x:c r="C680" s="44" t="str">
        <x:v>B3020</x:v>
      </x:c>
      <x:c r="D680" s="66" t="n">
        <x:v>2024</x:v>
      </x:c>
      <x:c r="E680" s="67"/>
      <x:c r="F680" s="68"/>
      <x:c r="G680" s="69" t="str">
        <x:f>IF(COUNT(E680:F680)=2,E680*F680,"")</x:f>
      </x:c>
    </x:row>
    <x:row r="681">
      <x:c r="A681" s="66" t="n">
        <x:v>8</x:v>
      </x:c>
      <x:c r="B681" s="44" t="str">
        <x:v>Canola/Rapeseed</x:v>
      </x:c>
      <x:c r="C681" s="44" t="str">
        <x:v>B3020</x:v>
      </x:c>
      <x:c r="D681" s="66" t="n">
        <x:v>2025</x:v>
      </x:c>
      <x:c r="E681" s="67" t="n">
        <x:v>1583</x:v>
      </x:c>
      <x:c r="F681" s="68" t="n">
        <x:v>43.2</x:v>
      </x:c>
      <x:c r="G681" s="69" t="n">
        <x:f>IF(COUNT(E681:F681)=2,E681*F681,"")</x:f>
        <x:v>68385.6</x:v>
      </x:c>
    </x:row>
    <x:row r="682">
      <x:c r="A682" s="66" t="n">
        <x:v>8</x:v>
      </x:c>
      <x:c r="B682" s="44" t="str">
        <x:v>Canola/Rapeseed</x:v>
      </x:c>
      <x:c r="C682" s="44" t="str">
        <x:v>CS4000 LL</x:v>
      </x:c>
      <x:c r="D682" s="66" t="n">
        <x:v>2021</x:v>
      </x:c>
      <x:c r="E682" s="67"/>
      <x:c r="F682" s="68"/>
      <x:c r="G682" s="69" t="str">
        <x:f>IF(COUNT(E682:F682)=2,E682*F682,"")</x:f>
      </x:c>
    </x:row>
    <x:row r="683">
      <x:c r="A683" s="66" t="n">
        <x:v>8</x:v>
      </x:c>
      <x:c r="B683" s="44" t="str">
        <x:v>Canola/Rapeseed</x:v>
      </x:c>
      <x:c r="C683" s="44" t="str">
        <x:v>CS4000 LL</x:v>
      </x:c>
      <x:c r="D683" s="66" t="n">
        <x:v>2022</x:v>
      </x:c>
      <x:c r="E683" s="67" t="n">
        <x:v>2294</x:v>
      </x:c>
      <x:c r="F683" s="68" t="n">
        <x:v>37.7</x:v>
      </x:c>
      <x:c r="G683" s="69" t="n">
        <x:f>IF(COUNT(E683:F683)=2,E683*F683,"")</x:f>
        <x:v>86483.8</x:v>
      </x:c>
    </x:row>
    <x:row r="684">
      <x:c r="A684" s="66" t="n">
        <x:v>8</x:v>
      </x:c>
      <x:c r="B684" s="44" t="str">
        <x:v>Canola/Rapeseed</x:v>
      </x:c>
      <x:c r="C684" s="44" t="str">
        <x:v>CS4000 LL</x:v>
      </x:c>
      <x:c r="D684" s="66" t="n">
        <x:v>2023</x:v>
      </x:c>
      <x:c r="E684" s="67" t="n">
        <x:v>6490</x:v>
      </x:c>
      <x:c r="F684" s="68" t="n">
        <x:v>41</x:v>
      </x:c>
      <x:c r="G684" s="69" t="n">
        <x:f>IF(COUNT(E684:F684)=2,E684*F684,"")</x:f>
        <x:v>266090</x:v>
      </x:c>
    </x:row>
    <x:row r="685">
      <x:c r="A685" s="66" t="n">
        <x:v>8</x:v>
      </x:c>
      <x:c r="B685" s="44" t="str">
        <x:v>Canola/Rapeseed</x:v>
      </x:c>
      <x:c r="C685" s="44" t="str">
        <x:v>CS4000 LL</x:v>
      </x:c>
      <x:c r="D685" s="66" t="n">
        <x:v>2024</x:v>
      </x:c>
      <x:c r="E685" s="67" t="n">
        <x:v>3570</x:v>
      </x:c>
      <x:c r="F685" s="68" t="n">
        <x:v>23.2</x:v>
      </x:c>
      <x:c r="G685" s="69" t="n">
        <x:f>IF(COUNT(E685:F685)=2,E685*F685,"")</x:f>
        <x:v>82824</x:v>
      </x:c>
    </x:row>
    <x:row r="686">
      <x:c r="A686" s="66" t="n">
        <x:v>8</x:v>
      </x:c>
      <x:c r="B686" s="44" t="str">
        <x:v>Canola/Rapeseed</x:v>
      </x:c>
      <x:c r="C686" s="44" t="str">
        <x:v>CS4000 LL</x:v>
      </x:c>
      <x:c r="D686" s="66" t="n">
        <x:v>2025</x:v>
      </x:c>
      <x:c r="E686" s="67" t="n">
        <x:v>506</x:v>
      </x:c>
      <x:c r="F686" s="68" t="n">
        <x:v>39.2</x:v>
      </x:c>
      <x:c r="G686" s="69" t="n">
        <x:f>IF(COUNT(E686:F686)=2,E686*F686,"")</x:f>
        <x:v>19835.2</x:v>
      </x:c>
    </x:row>
    <x:row r="687">
      <x:c r="A687" s="66" t="n">
        <x:v>8</x:v>
      </x:c>
      <x:c r="B687" s="44" t="str">
        <x:v>Canola/Rapeseed</x:v>
      </x:c>
      <x:c r="C687" s="44" t="str">
        <x:v>CS4100 LL</x:v>
      </x:c>
      <x:c r="D687" s="66" t="n">
        <x:v>2021</x:v>
      </x:c>
      <x:c r="E687" s="67"/>
      <x:c r="F687" s="68"/>
      <x:c r="G687" s="69" t="str">
        <x:f>IF(COUNT(E687:F687)=2,E687*F687,"")</x:f>
      </x:c>
    </x:row>
    <x:row r="688">
      <x:c r="A688" s="66" t="n">
        <x:v>8</x:v>
      </x:c>
      <x:c r="B688" s="44" t="str">
        <x:v>Canola/Rapeseed</x:v>
      </x:c>
      <x:c r="C688" s="44" t="str">
        <x:v>CS4100 LL</x:v>
      </x:c>
      <x:c r="D688" s="66" t="n">
        <x:v>2022</x:v>
      </x:c>
      <x:c r="E688" s="67"/>
      <x:c r="F688" s="68"/>
      <x:c r="G688" s="69" t="str">
        <x:f>IF(COUNT(E688:F688)=2,E688*F688,"")</x:f>
      </x:c>
    </x:row>
    <x:row r="689">
      <x:c r="A689" s="66" t="n">
        <x:v>8</x:v>
      </x:c>
      <x:c r="B689" s="44" t="str">
        <x:v>Canola/Rapeseed</x:v>
      </x:c>
      <x:c r="C689" s="44" t="str">
        <x:v>CS4100 LL</x:v>
      </x:c>
      <x:c r="D689" s="66" t="n">
        <x:v>2023</x:v>
      </x:c>
      <x:c r="E689" s="67"/>
      <x:c r="F689" s="68"/>
      <x:c r="G689" s="69" t="str">
        <x:f>IF(COUNT(E689:F689)=2,E689*F689,"")</x:f>
      </x:c>
    </x:row>
    <x:row r="690">
      <x:c r="A690" s="66" t="n">
        <x:v>8</x:v>
      </x:c>
      <x:c r="B690" s="44" t="str">
        <x:v>Canola/Rapeseed</x:v>
      </x:c>
      <x:c r="C690" s="44" t="str">
        <x:v>CS4100 LL</x:v>
      </x:c>
      <x:c r="D690" s="66" t="n">
        <x:v>2024</x:v>
      </x:c>
      <x:c r="E690" s="67"/>
      <x:c r="F690" s="68"/>
      <x:c r="G690" s="69" t="str">
        <x:f>IF(COUNT(E690:F690)=2,E690*F690,"")</x:f>
      </x:c>
    </x:row>
    <x:row r="691">
      <x:c r="A691" s="66" t="n">
        <x:v>8</x:v>
      </x:c>
      <x:c r="B691" s="44" t="str">
        <x:v>Canola/Rapeseed</x:v>
      </x:c>
      <x:c r="C691" s="44" t="str">
        <x:v>CS4100 LL</x:v>
      </x:c>
      <x:c r="D691" s="66" t="n">
        <x:v>2025</x:v>
      </x:c>
      <x:c r="E691" s="67" t="n">
        <x:v>1050</x:v>
      </x:c>
      <x:c r="F691" s="68" t="n">
        <x:v>50.5</x:v>
      </x:c>
      <x:c r="G691" s="69" t="n">
        <x:f>IF(COUNT(E691:F691)=2,E691*F691,"")</x:f>
        <x:v>53025</x:v>
      </x:c>
    </x:row>
    <x:row r="692">
      <x:c r="A692" s="66" t="n">
        <x:v>8</x:v>
      </x:c>
      <x:c r="B692" s="44" t="str">
        <x:v>Canola/Rapeseed</x:v>
      </x:c>
      <x:c r="C692" s="44" t="str">
        <x:v>DK 801 LL</x:v>
      </x:c>
      <x:c r="D692" s="66" t="n">
        <x:v>2021</x:v>
      </x:c>
      <x:c r="E692" s="67"/>
      <x:c r="F692" s="68"/>
      <x:c r="G692" s="69" t="str">
        <x:f>IF(COUNT(E692:F692)=2,E692*F692,"")</x:f>
      </x:c>
    </x:row>
    <x:row r="693">
      <x:c r="A693" s="66" t="n">
        <x:v>8</x:v>
      </x:c>
      <x:c r="B693" s="44" t="str">
        <x:v>Canola/Rapeseed</x:v>
      </x:c>
      <x:c r="C693" s="44" t="str">
        <x:v>DK 801 LL</x:v>
      </x:c>
      <x:c r="D693" s="66" t="n">
        <x:v>2022</x:v>
      </x:c>
      <x:c r="E693" s="67"/>
      <x:c r="F693" s="68"/>
      <x:c r="G693" s="69" t="str">
        <x:f>IF(COUNT(E693:F693)=2,E693*F693,"")</x:f>
      </x:c>
    </x:row>
    <x:row r="694">
      <x:c r="A694" s="66" t="n">
        <x:v>8</x:v>
      </x:c>
      <x:c r="B694" s="44" t="str">
        <x:v>Canola/Rapeseed</x:v>
      </x:c>
      <x:c r="C694" s="44" t="str">
        <x:v>DK 801 LL</x:v>
      </x:c>
      <x:c r="D694" s="66" t="n">
        <x:v>2023</x:v>
      </x:c>
      <x:c r="E694" s="67"/>
      <x:c r="F694" s="68"/>
      <x:c r="G694" s="69" t="str">
        <x:f>IF(COUNT(E694:F694)=2,E694*F694,"")</x:f>
      </x:c>
    </x:row>
    <x:row r="695">
      <x:c r="A695" s="66" t="n">
        <x:v>8</x:v>
      </x:c>
      <x:c r="B695" s="44" t="str">
        <x:v>Canola/Rapeseed</x:v>
      </x:c>
      <x:c r="C695" s="44" t="str">
        <x:v>DK 801 LL</x:v>
      </x:c>
      <x:c r="D695" s="66" t="n">
        <x:v>2024</x:v>
      </x:c>
      <x:c r="E695" s="67" t="n">
        <x:v>650</x:v>
      </x:c>
      <x:c r="F695" s="68" t="n">
        <x:v>22.4</x:v>
      </x:c>
      <x:c r="G695" s="69" t="n">
        <x:f>IF(COUNT(E695:F695)=2,E695*F695,"")</x:f>
        <x:v>14559.999999999998</x:v>
      </x:c>
    </x:row>
    <x:row r="696">
      <x:c r="A696" s="66" t="n">
        <x:v>8</x:v>
      </x:c>
      <x:c r="B696" s="44" t="str">
        <x:v>Canola/Rapeseed</x:v>
      </x:c>
      <x:c r="C696" s="44" t="str">
        <x:v>DK 801 LL</x:v>
      </x:c>
      <x:c r="D696" s="66" t="n">
        <x:v>2025</x:v>
      </x:c>
      <x:c r="E696" s="67" t="n">
        <x:v>9691</x:v>
      </x:c>
      <x:c r="F696" s="68" t="n">
        <x:v>44.6</x:v>
      </x:c>
      <x:c r="G696" s="69" t="n">
        <x:f>IF(COUNT(E696:F696)=2,E696*F696,"")</x:f>
        <x:v>432218.60000000003</x:v>
      </x:c>
    </x:row>
    <x:row r="697">
      <x:c r="A697" s="66" t="n">
        <x:v>8</x:v>
      </x:c>
      <x:c r="B697" s="44" t="str">
        <x:v>Canola/Rapeseed</x:v>
      </x:c>
      <x:c r="C697" s="44" t="str">
        <x:v>DK400TL</x:v>
      </x:c>
      <x:c r="D697" s="66" t="n">
        <x:v>2021</x:v>
      </x:c>
      <x:c r="E697" s="67"/>
      <x:c r="F697" s="68"/>
      <x:c r="G697" s="69" t="str">
        <x:f>IF(COUNT(E697:F697)=2,E697*F697,"")</x:f>
      </x:c>
    </x:row>
    <x:row r="698">
      <x:c r="A698" s="66" t="n">
        <x:v>8</x:v>
      </x:c>
      <x:c r="B698" s="44" t="str">
        <x:v>Canola/Rapeseed</x:v>
      </x:c>
      <x:c r="C698" s="44" t="str">
        <x:v>DK400TL</x:v>
      </x:c>
      <x:c r="D698" s="66" t="n">
        <x:v>2022</x:v>
      </x:c>
      <x:c r="E698" s="67"/>
      <x:c r="F698" s="68"/>
      <x:c r="G698" s="69" t="str">
        <x:f>IF(COUNT(E698:F698)=2,E698*F698,"")</x:f>
      </x:c>
    </x:row>
    <x:row r="699">
      <x:c r="A699" s="66" t="n">
        <x:v>8</x:v>
      </x:c>
      <x:c r="B699" s="44" t="str">
        <x:v>Canola/Rapeseed</x:v>
      </x:c>
      <x:c r="C699" s="44" t="str">
        <x:v>DK400TL</x:v>
      </x:c>
      <x:c r="D699" s="66" t="n">
        <x:v>2023</x:v>
      </x:c>
      <x:c r="E699" s="67"/>
      <x:c r="F699" s="68"/>
      <x:c r="G699" s="69" t="str">
        <x:f>IF(COUNT(E699:F699)=2,E699*F699,"")</x:f>
      </x:c>
    </x:row>
    <x:row r="700">
      <x:c r="A700" s="66" t="n">
        <x:v>8</x:v>
      </x:c>
      <x:c r="B700" s="44" t="str">
        <x:v>Canola/Rapeseed</x:v>
      </x:c>
      <x:c r="C700" s="44" t="str">
        <x:v>DK400TL</x:v>
      </x:c>
      <x:c r="D700" s="66" t="n">
        <x:v>2024</x:v>
      </x:c>
      <x:c r="E700" s="67" t="n">
        <x:v>3699</x:v>
      </x:c>
      <x:c r="F700" s="68" t="n">
        <x:v>14.6</x:v>
      </x:c>
      <x:c r="G700" s="69" t="n">
        <x:f>IF(COUNT(E700:F700)=2,E700*F700,"")</x:f>
        <x:v>54005.4</x:v>
      </x:c>
    </x:row>
    <x:row r="701">
      <x:c r="A701" s="66" t="n">
        <x:v>8</x:v>
      </x:c>
      <x:c r="B701" s="44" t="str">
        <x:v>Canola/Rapeseed</x:v>
      </x:c>
      <x:c r="C701" s="44" t="str">
        <x:v>DK400TL</x:v>
      </x:c>
      <x:c r="D701" s="66" t="n">
        <x:v>2025</x:v>
      </x:c>
      <x:c r="E701" s="67" t="n">
        <x:v>3706</x:v>
      </x:c>
      <x:c r="F701" s="68" t="n">
        <x:v>39.2</x:v>
      </x:c>
      <x:c r="G701" s="69" t="n">
        <x:f>IF(COUNT(E701:F701)=2,E701*F701,"")</x:f>
        <x:v>145275.2</x:v>
      </x:c>
    </x:row>
    <x:row r="702">
      <x:c r="A702" s="66" t="n">
        <x:v>8</x:v>
      </x:c>
      <x:c r="B702" s="44" t="str">
        <x:v>Canola/Rapeseed</x:v>
      </x:c>
      <x:c r="C702" s="44" t="str">
        <x:v>DK401TK</x:v>
      </x:c>
      <x:c r="D702" s="66" t="n">
        <x:v>2021</x:v>
      </x:c>
      <x:c r="E702" s="67"/>
      <x:c r="F702" s="68"/>
      <x:c r="G702" s="69" t="str">
        <x:f>IF(COUNT(E702:F702)=2,E702*F702,"")</x:f>
      </x:c>
    </x:row>
    <x:row r="703">
      <x:c r="A703" s="66" t="n">
        <x:v>8</x:v>
      </x:c>
      <x:c r="B703" s="44" t="str">
        <x:v>Canola/Rapeseed</x:v>
      </x:c>
      <x:c r="C703" s="44" t="str">
        <x:v>DK401TK</x:v>
      </x:c>
      <x:c r="D703" s="66" t="n">
        <x:v>2022</x:v>
      </x:c>
      <x:c r="E703" s="67"/>
      <x:c r="F703" s="68"/>
      <x:c r="G703" s="69" t="str">
        <x:f>IF(COUNT(E703:F703)=2,E703*F703,"")</x:f>
      </x:c>
    </x:row>
    <x:row r="704">
      <x:c r="A704" s="66" t="n">
        <x:v>8</x:v>
      </x:c>
      <x:c r="B704" s="44" t="str">
        <x:v>Canola/Rapeseed</x:v>
      </x:c>
      <x:c r="C704" s="44" t="str">
        <x:v>DK401TK</x:v>
      </x:c>
      <x:c r="D704" s="66" t="n">
        <x:v>2023</x:v>
      </x:c>
      <x:c r="E704" s="67"/>
      <x:c r="F704" s="68"/>
      <x:c r="G704" s="69" t="str">
        <x:f>IF(COUNT(E704:F704)=2,E704*F704,"")</x:f>
      </x:c>
    </x:row>
    <x:row r="705">
      <x:c r="A705" s="66" t="n">
        <x:v>8</x:v>
      </x:c>
      <x:c r="B705" s="44" t="str">
        <x:v>Canola/Rapeseed</x:v>
      </x:c>
      <x:c r="C705" s="44" t="str">
        <x:v>DK401TK</x:v>
      </x:c>
      <x:c r="D705" s="66" t="n">
        <x:v>2024</x:v>
      </x:c>
      <x:c r="E705" s="67"/>
      <x:c r="F705" s="68"/>
      <x:c r="G705" s="69" t="str">
        <x:f>IF(COUNT(E705:F705)=2,E705*F705,"")</x:f>
      </x:c>
    </x:row>
    <x:row r="706">
      <x:c r="A706" s="66" t="n">
        <x:v>8</x:v>
      </x:c>
      <x:c r="B706" s="44" t="str">
        <x:v>Canola/Rapeseed</x:v>
      </x:c>
      <x:c r="C706" s="44" t="str">
        <x:v>DK401TK</x:v>
      </x:c>
      <x:c r="D706" s="66" t="n">
        <x:v>2025</x:v>
      </x:c>
      <x:c r="E706" s="67" t="n">
        <x:v>3842</x:v>
      </x:c>
      <x:c r="F706" s="68" t="n">
        <x:v>42.8</x:v>
      </x:c>
      <x:c r="G706" s="69" t="n">
        <x:f>IF(COUNT(E706:F706)=2,E706*F706,"")</x:f>
        <x:v>164437.59999999998</x:v>
      </x:c>
    </x:row>
    <x:row r="707">
      <x:c r="A707" s="66" t="n">
        <x:v>8</x:v>
      </x:c>
      <x:c r="B707" s="44" t="str">
        <x:v>Canola/Rapeseed</x:v>
      </x:c>
      <x:c r="C707" s="44" t="str">
        <x:v>DK800LL</x:v>
      </x:c>
      <x:c r="D707" s="66" t="n">
        <x:v>2021</x:v>
      </x:c>
      <x:c r="E707" s="67"/>
      <x:c r="F707" s="68"/>
      <x:c r="G707" s="69" t="str">
        <x:f>IF(COUNT(E707:F707)=2,E707*F707,"")</x:f>
      </x:c>
    </x:row>
    <x:row r="708">
      <x:c r="A708" s="66" t="n">
        <x:v>8</x:v>
      </x:c>
      <x:c r="B708" s="44" t="str">
        <x:v>Canola/Rapeseed</x:v>
      </x:c>
      <x:c r="C708" s="44" t="str">
        <x:v>DK800LL</x:v>
      </x:c>
      <x:c r="D708" s="66" t="n">
        <x:v>2022</x:v>
      </x:c>
      <x:c r="E708" s="67"/>
      <x:c r="F708" s="68"/>
      <x:c r="G708" s="69" t="str">
        <x:f>IF(COUNT(E708:F708)=2,E708*F708,"")</x:f>
      </x:c>
    </x:row>
    <x:row r="709">
      <x:c r="A709" s="66" t="n">
        <x:v>8</x:v>
      </x:c>
      <x:c r="B709" s="44" t="str">
        <x:v>Canola/Rapeseed</x:v>
      </x:c>
      <x:c r="C709" s="44" t="str">
        <x:v>DK800LL</x:v>
      </x:c>
      <x:c r="D709" s="66" t="n">
        <x:v>2023</x:v>
      </x:c>
      <x:c r="E709" s="67"/>
      <x:c r="F709" s="68"/>
      <x:c r="G709" s="69" t="str">
        <x:f>IF(COUNT(E709:F709)=2,E709*F709,"")</x:f>
      </x:c>
    </x:row>
    <x:row r="710">
      <x:c r="A710" s="66" t="n">
        <x:v>8</x:v>
      </x:c>
      <x:c r="B710" s="44" t="str">
        <x:v>Canola/Rapeseed</x:v>
      </x:c>
      <x:c r="C710" s="44" t="str">
        <x:v>DK800LL</x:v>
      </x:c>
      <x:c r="D710" s="66" t="n">
        <x:v>2024</x:v>
      </x:c>
      <x:c r="E710" s="67" t="n">
        <x:v>500</x:v>
      </x:c>
      <x:c r="F710" s="68" t="n">
        <x:v>36.8</x:v>
      </x:c>
      <x:c r="G710" s="69" t="n">
        <x:f>IF(COUNT(E710:F710)=2,E710*F710,"")</x:f>
        <x:v>18400</x:v>
      </x:c>
    </x:row>
    <x:row r="711">
      <x:c r="A711" s="66" t="n">
        <x:v>8</x:v>
      </x:c>
      <x:c r="B711" s="44" t="str">
        <x:v>Canola/Rapeseed</x:v>
      </x:c>
      <x:c r="C711" s="44" t="str">
        <x:v>DK800LL</x:v>
      </x:c>
      <x:c r="D711" s="66" t="n">
        <x:v>2025</x:v>
      </x:c>
      <x:c r="E711" s="67" t="n">
        <x:v>3204</x:v>
      </x:c>
      <x:c r="F711" s="68" t="n">
        <x:v>44.2</x:v>
      </x:c>
      <x:c r="G711" s="69" t="n">
        <x:f>IF(COUNT(E711:F711)=2,E711*F711,"")</x:f>
        <x:v>141616.80000000002</x:v>
      </x:c>
    </x:row>
    <x:row r="712">
      <x:c r="A712" s="66" t="n">
        <x:v>8</x:v>
      </x:c>
      <x:c r="B712" s="44" t="str">
        <x:v>Canola/Rapeseed</x:v>
      </x:c>
      <x:c r="C712" s="44" t="str">
        <x:v>DK801LL</x:v>
      </x:c>
      <x:c r="D712" s="66" t="n">
        <x:v>2021</x:v>
      </x:c>
      <x:c r="E712" s="67"/>
      <x:c r="F712" s="68"/>
      <x:c r="G712" s="69" t="str">
        <x:f>IF(COUNT(E712:F712)=2,E712*F712,"")</x:f>
      </x:c>
    </x:row>
    <x:row r="713">
      <x:c r="A713" s="66" t="n">
        <x:v>8</x:v>
      </x:c>
      <x:c r="B713" s="44" t="str">
        <x:v>Canola/Rapeseed</x:v>
      </x:c>
      <x:c r="C713" s="44" t="str">
        <x:v>DK801LL</x:v>
      </x:c>
      <x:c r="D713" s="66" t="n">
        <x:v>2022</x:v>
      </x:c>
      <x:c r="E713" s="67"/>
      <x:c r="F713" s="68"/>
      <x:c r="G713" s="69" t="str">
        <x:f>IF(COUNT(E713:F713)=2,E713*F713,"")</x:f>
      </x:c>
    </x:row>
    <x:row r="714">
      <x:c r="A714" s="66" t="n">
        <x:v>8</x:v>
      </x:c>
      <x:c r="B714" s="44" t="str">
        <x:v>Canola/Rapeseed</x:v>
      </x:c>
      <x:c r="C714" s="44" t="str">
        <x:v>DK801LL</x:v>
      </x:c>
      <x:c r="D714" s="66" t="n">
        <x:v>2023</x:v>
      </x:c>
      <x:c r="E714" s="67"/>
      <x:c r="F714" s="68"/>
      <x:c r="G714" s="69" t="str">
        <x:f>IF(COUNT(E714:F714)=2,E714*F714,"")</x:f>
      </x:c>
    </x:row>
    <x:row r="715">
      <x:c r="A715" s="66" t="n">
        <x:v>8</x:v>
      </x:c>
      <x:c r="B715" s="44" t="str">
        <x:v>Canola/Rapeseed</x:v>
      </x:c>
      <x:c r="C715" s="44" t="str">
        <x:v>DK801LL</x:v>
      </x:c>
      <x:c r="D715" s="66" t="n">
        <x:v>2024</x:v>
      </x:c>
      <x:c r="E715" s="67"/>
      <x:c r="F715" s="68"/>
      <x:c r="G715" s="69" t="str">
        <x:f>IF(COUNT(E715:F715)=2,E715*F715,"")</x:f>
      </x:c>
    </x:row>
    <x:row r="716">
      <x:c r="A716" s="66" t="n">
        <x:v>8</x:v>
      </x:c>
      <x:c r="B716" s="44" t="str">
        <x:v>Canola/Rapeseed</x:v>
      </x:c>
      <x:c r="C716" s="44" t="str">
        <x:v>DK801LL</x:v>
      </x:c>
      <x:c r="D716" s="66" t="n">
        <x:v>2025</x:v>
      </x:c>
      <x:c r="E716" s="67" t="n">
        <x:v>1043</x:v>
      </x:c>
      <x:c r="F716" s="68" t="n">
        <x:v>55.1</x:v>
      </x:c>
      <x:c r="G716" s="69" t="n">
        <x:f>IF(COUNT(E716:F716)=2,E716*F716,"")</x:f>
        <x:v>57469.3</x:v>
      </x:c>
    </x:row>
    <x:row r="717">
      <x:c r="A717" s="66" t="n">
        <x:v>8</x:v>
      </x:c>
      <x:c r="B717" s="44" t="str">
        <x:v>Canola/Rapeseed</x:v>
      </x:c>
      <x:c r="C717" s="44" t="str">
        <x:v>DK900TF</x:v>
      </x:c>
      <x:c r="D717" s="66" t="n">
        <x:v>2021</x:v>
      </x:c>
      <x:c r="E717" s="67"/>
      <x:c r="F717" s="68"/>
      <x:c r="G717" s="69" t="str">
        <x:f>IF(COUNT(E717:F717)=2,E717*F717,"")</x:f>
      </x:c>
    </x:row>
    <x:row r="718">
      <x:c r="A718" s="66" t="n">
        <x:v>8</x:v>
      </x:c>
      <x:c r="B718" s="44" t="str">
        <x:v>Canola/Rapeseed</x:v>
      </x:c>
      <x:c r="C718" s="44" t="str">
        <x:v>DK900TF</x:v>
      </x:c>
      <x:c r="D718" s="66" t="n">
        <x:v>2022</x:v>
      </x:c>
      <x:c r="E718" s="67"/>
      <x:c r="F718" s="68"/>
      <x:c r="G718" s="69" t="str">
        <x:f>IF(COUNT(E718:F718)=2,E718*F718,"")</x:f>
      </x:c>
    </x:row>
    <x:row r="719">
      <x:c r="A719" s="66" t="n">
        <x:v>8</x:v>
      </x:c>
      <x:c r="B719" s="44" t="str">
        <x:v>Canola/Rapeseed</x:v>
      </x:c>
      <x:c r="C719" s="44" t="str">
        <x:v>DK900TF</x:v>
      </x:c>
      <x:c r="D719" s="66" t="n">
        <x:v>2023</x:v>
      </x:c>
      <x:c r="E719" s="67" t="n">
        <x:v>4821</x:v>
      </x:c>
      <x:c r="F719" s="68" t="n">
        <x:v>39.7</x:v>
      </x:c>
      <x:c r="G719" s="69" t="n">
        <x:f>IF(COUNT(E719:F719)=2,E719*F719,"")</x:f>
        <x:v>191393.7</x:v>
      </x:c>
    </x:row>
    <x:row r="720">
      <x:c r="A720" s="66" t="n">
        <x:v>8</x:v>
      </x:c>
      <x:c r="B720" s="44" t="str">
        <x:v>Canola/Rapeseed</x:v>
      </x:c>
      <x:c r="C720" s="44" t="str">
        <x:v>DK900TF</x:v>
      </x:c>
      <x:c r="D720" s="66" t="n">
        <x:v>2024</x:v>
      </x:c>
      <x:c r="E720" s="67" t="n">
        <x:v>7662</x:v>
      </x:c>
      <x:c r="F720" s="68" t="n">
        <x:v>23.2</x:v>
      </x:c>
      <x:c r="G720" s="69" t="n">
        <x:f>IF(COUNT(E720:F720)=2,E720*F720,"")</x:f>
        <x:v>177758.4</x:v>
      </x:c>
    </x:row>
    <x:row r="721">
      <x:c r="A721" s="66" t="n">
        <x:v>8</x:v>
      </x:c>
      <x:c r="B721" s="44" t="str">
        <x:v>Canola/Rapeseed</x:v>
      </x:c>
      <x:c r="C721" s="44" t="str">
        <x:v>DK900TF</x:v>
      </x:c>
      <x:c r="D721" s="66" t="n">
        <x:v>2025</x:v>
      </x:c>
      <x:c r="E721" s="67" t="n">
        <x:v>3169</x:v>
      </x:c>
      <x:c r="F721" s="68" t="n">
        <x:v>38.4</x:v>
      </x:c>
      <x:c r="G721" s="69" t="n">
        <x:f>IF(COUNT(E721:F721)=2,E721*F721,"")</x:f>
        <x:v>121689.59999999999</x:v>
      </x:c>
    </x:row>
    <x:row r="722">
      <x:c r="A722" s="66" t="n">
        <x:v>8</x:v>
      </x:c>
      <x:c r="B722" s="44" t="str">
        <x:v>Canola/Rapeseed</x:v>
      </x:c>
      <x:c r="C722" s="44" t="str">
        <x:v>LR354PC</x:v>
      </x:c>
      <x:c r="D722" s="66" t="n">
        <x:v>2021</x:v>
      </x:c>
      <x:c r="E722" s="67"/>
      <x:c r="F722" s="68"/>
      <x:c r="G722" s="69" t="str">
        <x:f>IF(COUNT(E722:F722)=2,E722*F722,"")</x:f>
      </x:c>
    </x:row>
    <x:row r="723">
      <x:c r="A723" s="66" t="n">
        <x:v>8</x:v>
      </x:c>
      <x:c r="B723" s="44" t="str">
        <x:v>Canola/Rapeseed</x:v>
      </x:c>
      <x:c r="C723" s="44" t="str">
        <x:v>LR354PC</x:v>
      </x:c>
      <x:c r="D723" s="66" t="n">
        <x:v>2022</x:v>
      </x:c>
      <x:c r="E723" s="67"/>
      <x:c r="F723" s="68"/>
      <x:c r="G723" s="69" t="str">
        <x:f>IF(COUNT(E723:F723)=2,E723*F723,"")</x:f>
      </x:c>
    </x:row>
    <x:row r="724">
      <x:c r="A724" s="66" t="n">
        <x:v>8</x:v>
      </x:c>
      <x:c r="B724" s="44" t="str">
        <x:v>Canola/Rapeseed</x:v>
      </x:c>
      <x:c r="C724" s="44" t="str">
        <x:v>LR354PC</x:v>
      </x:c>
      <x:c r="D724" s="66" t="n">
        <x:v>2023</x:v>
      </x:c>
      <x:c r="E724" s="67" t="n">
        <x:v>5128</x:v>
      </x:c>
      <x:c r="F724" s="68" t="n">
        <x:v>38.2</x:v>
      </x:c>
      <x:c r="G724" s="69" t="n">
        <x:f>IF(COUNT(E724:F724)=2,E724*F724,"")</x:f>
        <x:v>195889.6</x:v>
      </x:c>
    </x:row>
    <x:row r="725">
      <x:c r="A725" s="66" t="n">
        <x:v>8</x:v>
      </x:c>
      <x:c r="B725" s="44" t="str">
        <x:v>Canola/Rapeseed</x:v>
      </x:c>
      <x:c r="C725" s="44" t="str">
        <x:v>LR354PC</x:v>
      </x:c>
      <x:c r="D725" s="66" t="n">
        <x:v>2024</x:v>
      </x:c>
      <x:c r="E725" s="67" t="n">
        <x:v>5195</x:v>
      </x:c>
      <x:c r="F725" s="68" t="n">
        <x:v>24.9</x:v>
      </x:c>
      <x:c r="G725" s="69" t="n">
        <x:f>IF(COUNT(E725:F725)=2,E725*F725,"")</x:f>
        <x:v>129355.49999999999</x:v>
      </x:c>
    </x:row>
    <x:row r="726">
      <x:c r="A726" s="66" t="n">
        <x:v>8</x:v>
      </x:c>
      <x:c r="B726" s="44" t="str">
        <x:v>Canola/Rapeseed</x:v>
      </x:c>
      <x:c r="C726" s="44" t="str">
        <x:v>LR354PC</x:v>
      </x:c>
      <x:c r="D726" s="66" t="n">
        <x:v>2025</x:v>
      </x:c>
      <x:c r="E726" s="67" t="n">
        <x:v>1003</x:v>
      </x:c>
      <x:c r="F726" s="68" t="n">
        <x:v>32</x:v>
      </x:c>
      <x:c r="G726" s="69" t="n">
        <x:f>IF(COUNT(E726:F726)=2,E726*F726,"")</x:f>
        <x:v>32096</x:v>
      </x:c>
    </x:row>
    <x:row r="727">
      <x:c r="A727" s="66" t="n">
        <x:v>8</x:v>
      </x:c>
      <x:c r="B727" s="44" t="str">
        <x:v>Canola/Rapeseed</x:v>
      </x:c>
      <x:c r="C727" s="44" t="str">
        <x:v>L230</x:v>
      </x:c>
      <x:c r="D727" s="66" t="n">
        <x:v>2021</x:v>
      </x:c>
      <x:c r="E727" s="67" t="n">
        <x:v>2020</x:v>
      </x:c>
      <x:c r="F727" s="68" t="n">
        <x:v>11.9</x:v>
      </x:c>
      <x:c r="G727" s="69" t="n">
        <x:f>IF(COUNT(E727:F727)=2,E727*F727,"")</x:f>
        <x:v>24038</x:v>
      </x:c>
    </x:row>
    <x:row r="728">
      <x:c r="A728" s="66" t="n">
        <x:v>8</x:v>
      </x:c>
      <x:c r="B728" s="44" t="str">
        <x:v>Canola/Rapeseed</x:v>
      </x:c>
      <x:c r="C728" s="44" t="str">
        <x:v>L230</x:v>
      </x:c>
      <x:c r="D728" s="66" t="n">
        <x:v>2022</x:v>
      </x:c>
      <x:c r="E728" s="67"/>
      <x:c r="F728" s="68"/>
      <x:c r="G728" s="69" t="str">
        <x:f>IF(COUNT(E728:F728)=2,E728*F728,"")</x:f>
      </x:c>
    </x:row>
    <x:row r="729">
      <x:c r="A729" s="66" t="n">
        <x:v>8</x:v>
      </x:c>
      <x:c r="B729" s="44" t="str">
        <x:v>Canola/Rapeseed</x:v>
      </x:c>
      <x:c r="C729" s="44" t="str">
        <x:v>L230</x:v>
      </x:c>
      <x:c r="D729" s="66" t="n">
        <x:v>2023</x:v>
      </x:c>
      <x:c r="E729" s="67"/>
      <x:c r="F729" s="68"/>
      <x:c r="G729" s="69" t="str">
        <x:f>IF(COUNT(E729:F729)=2,E729*F729,"")</x:f>
      </x:c>
    </x:row>
    <x:row r="730">
      <x:c r="A730" s="66" t="n">
        <x:v>8</x:v>
      </x:c>
      <x:c r="B730" s="44" t="str">
        <x:v>Canola/Rapeseed</x:v>
      </x:c>
      <x:c r="C730" s="44" t="str">
        <x:v>L230</x:v>
      </x:c>
      <x:c r="D730" s="66" t="n">
        <x:v>2024</x:v>
      </x:c>
      <x:c r="E730" s="67"/>
      <x:c r="F730" s="68"/>
      <x:c r="G730" s="69" t="str">
        <x:f>IF(COUNT(E730:F730)=2,E730*F730,"")</x:f>
      </x:c>
    </x:row>
    <x:row r="731">
      <x:c r="A731" s="66" t="n">
        <x:v>8</x:v>
      </x:c>
      <x:c r="B731" s="44" t="str">
        <x:v>Canola/Rapeseed</x:v>
      </x:c>
      <x:c r="C731" s="44" t="str">
        <x:v>L230</x:v>
      </x:c>
      <x:c r="D731" s="66" t="n">
        <x:v>2025</x:v>
      </x:c>
      <x:c r="E731" s="67" t="n">
        <x:v>6524</x:v>
      </x:c>
      <x:c r="F731" s="68" t="n">
        <x:v>54.1</x:v>
      </x:c>
      <x:c r="G731" s="69" t="n">
        <x:f>IF(COUNT(E731:F731)=2,E731*F731,"")</x:f>
        <x:v>352948.4</x:v>
      </x:c>
    </x:row>
    <x:row r="732">
      <x:c r="A732" s="66" t="n">
        <x:v>8</x:v>
      </x:c>
      <x:c r="B732" s="44" t="str">
        <x:v>Canola/Rapeseed</x:v>
      </x:c>
      <x:c r="C732" s="44" t="str">
        <x:v>L233P</x:v>
      </x:c>
      <x:c r="D732" s="66" t="n">
        <x:v>2021</x:v>
      </x:c>
      <x:c r="E732" s="67" t="n">
        <x:v>231407</x:v>
      </x:c>
      <x:c r="F732" s="68" t="n">
        <x:v>26.5</x:v>
      </x:c>
      <x:c r="G732" s="69" t="n">
        <x:f>IF(COUNT(E732:F732)=2,E732*F732,"")</x:f>
        <x:v>6132285.5</x:v>
      </x:c>
    </x:row>
    <x:row r="733">
      <x:c r="A733" s="66" t="n">
        <x:v>8</x:v>
      </x:c>
      <x:c r="B733" s="44" t="str">
        <x:v>Canola/Rapeseed</x:v>
      </x:c>
      <x:c r="C733" s="44" t="str">
        <x:v>L233P</x:v>
      </x:c>
      <x:c r="D733" s="66" t="n">
        <x:v>2022</x:v>
      </x:c>
      <x:c r="E733" s="67" t="n">
        <x:v>136027</x:v>
      </x:c>
      <x:c r="F733" s="68" t="n">
        <x:v>44.5</x:v>
      </x:c>
      <x:c r="G733" s="69" t="n">
        <x:f>IF(COUNT(E733:F733)=2,E733*F733,"")</x:f>
        <x:v>6053201.5</x:v>
      </x:c>
    </x:row>
    <x:row r="734">
      <x:c r="A734" s="66" t="n">
        <x:v>8</x:v>
      </x:c>
      <x:c r="B734" s="44" t="str">
        <x:v>Canola/Rapeseed</x:v>
      </x:c>
      <x:c r="C734" s="44" t="str">
        <x:v>L233P</x:v>
      </x:c>
      <x:c r="D734" s="66" t="n">
        <x:v>2023</x:v>
      </x:c>
      <x:c r="E734" s="67" t="n">
        <x:v>138819</x:v>
      </x:c>
      <x:c r="F734" s="68" t="n">
        <x:v>34.9</x:v>
      </x:c>
      <x:c r="G734" s="69" t="n">
        <x:f>IF(COUNT(E734:F734)=2,E734*F734,"")</x:f>
        <x:v>4844783.1</x:v>
      </x:c>
    </x:row>
    <x:row r="735">
      <x:c r="A735" s="66" t="n">
        <x:v>8</x:v>
      </x:c>
      <x:c r="B735" s="44" t="str">
        <x:v>Canola/Rapeseed</x:v>
      </x:c>
      <x:c r="C735" s="44" t="str">
        <x:v>L233P</x:v>
      </x:c>
      <x:c r="D735" s="66" t="n">
        <x:v>2024</x:v>
      </x:c>
      <x:c r="E735" s="67" t="n">
        <x:v>73913</x:v>
      </x:c>
      <x:c r="F735" s="68" t="n">
        <x:v>32.1</x:v>
      </x:c>
      <x:c r="G735" s="69" t="n">
        <x:f>IF(COUNT(E735:F735)=2,E735*F735,"")</x:f>
        <x:v>2372607.3000000003</x:v>
      </x:c>
    </x:row>
    <x:row r="736">
      <x:c r="A736" s="66" t="n">
        <x:v>8</x:v>
      </x:c>
      <x:c r="B736" s="44" t="str">
        <x:v>Canola/Rapeseed</x:v>
      </x:c>
      <x:c r="C736" s="44" t="str">
        <x:v>L233P</x:v>
      </x:c>
      <x:c r="D736" s="66" t="n">
        <x:v>2025</x:v>
      </x:c>
      <x:c r="E736" s="67" t="n">
        <x:v>34666</x:v>
      </x:c>
      <x:c r="F736" s="68" t="n">
        <x:v>45.5</x:v>
      </x:c>
      <x:c r="G736" s="69" t="n">
        <x:f>IF(COUNT(E736:F736)=2,E736*F736,"")</x:f>
        <x:v>1577303</x:v>
      </x:c>
    </x:row>
    <x:row r="737">
      <x:c r="A737" s="66" t="n">
        <x:v>8</x:v>
      </x:c>
      <x:c r="B737" s="44" t="str">
        <x:v>Canola/Rapeseed</x:v>
      </x:c>
      <x:c r="C737" s="44" t="str">
        <x:v>L330PC</x:v>
      </x:c>
      <x:c r="D737" s="66" t="n">
        <x:v>2021</x:v>
      </x:c>
      <x:c r="E737" s="67"/>
      <x:c r="F737" s="68"/>
      <x:c r="G737" s="69" t="str">
        <x:f>IF(COUNT(E737:F737)=2,E737*F737,"")</x:f>
      </x:c>
    </x:row>
    <x:row r="738">
      <x:c r="A738" s="66" t="n">
        <x:v>8</x:v>
      </x:c>
      <x:c r="B738" s="44" t="str">
        <x:v>Canola/Rapeseed</x:v>
      </x:c>
      <x:c r="C738" s="44" t="str">
        <x:v>L330PC</x:v>
      </x:c>
      <x:c r="D738" s="66" t="n">
        <x:v>2022</x:v>
      </x:c>
      <x:c r="E738" s="67"/>
      <x:c r="F738" s="68"/>
      <x:c r="G738" s="69" t="str">
        <x:f>IF(COUNT(E738:F738)=2,E738*F738,"")</x:f>
      </x:c>
    </x:row>
    <x:row r="739">
      <x:c r="A739" s="66" t="n">
        <x:v>8</x:v>
      </x:c>
      <x:c r="B739" s="44" t="str">
        <x:v>Canola/Rapeseed</x:v>
      </x:c>
      <x:c r="C739" s="44" t="str">
        <x:v>L330PC</x:v>
      </x:c>
      <x:c r="D739" s="66" t="n">
        <x:v>2023</x:v>
      </x:c>
      <x:c r="E739" s="67"/>
      <x:c r="F739" s="68"/>
      <x:c r="G739" s="69" t="str">
        <x:f>IF(COUNT(E739:F739)=2,E739*F739,"")</x:f>
      </x:c>
    </x:row>
    <x:row r="740">
      <x:c r="A740" s="66" t="n">
        <x:v>8</x:v>
      </x:c>
      <x:c r="B740" s="44" t="str">
        <x:v>Canola/Rapeseed</x:v>
      </x:c>
      <x:c r="C740" s="44" t="str">
        <x:v>L330PC</x:v>
      </x:c>
      <x:c r="D740" s="66" t="n">
        <x:v>2024</x:v>
      </x:c>
      <x:c r="E740" s="67"/>
      <x:c r="F740" s="68"/>
      <x:c r="G740" s="69" t="str">
        <x:f>IF(COUNT(E740:F740)=2,E740*F740,"")</x:f>
      </x:c>
    </x:row>
    <x:row r="741">
      <x:c r="A741" s="66" t="n">
        <x:v>8</x:v>
      </x:c>
      <x:c r="B741" s="44" t="str">
        <x:v>Canola/Rapeseed</x:v>
      </x:c>
      <x:c r="C741" s="44" t="str">
        <x:v>L330PC</x:v>
      </x:c>
      <x:c r="D741" s="66" t="n">
        <x:v>2025</x:v>
      </x:c>
      <x:c r="E741" s="67" t="n">
        <x:v>33636</x:v>
      </x:c>
      <x:c r="F741" s="68" t="n">
        <x:v>49.4</x:v>
      </x:c>
      <x:c r="G741" s="69" t="n">
        <x:f>IF(COUNT(E741:F741)=2,E741*F741,"")</x:f>
        <x:v>1661618.4</x:v>
      </x:c>
    </x:row>
    <x:row r="742">
      <x:c r="A742" s="66" t="n">
        <x:v>8</x:v>
      </x:c>
      <x:c r="B742" s="44" t="str">
        <x:v>Canola/Rapeseed</x:v>
      </x:c>
      <x:c r="C742" s="44" t="str">
        <x:v>L333PC</x:v>
      </x:c>
      <x:c r="D742" s="66" t="n">
        <x:v>2021</x:v>
      </x:c>
      <x:c r="E742" s="67"/>
      <x:c r="F742" s="68"/>
      <x:c r="G742" s="69" t="str">
        <x:f>IF(COUNT(E742:F742)=2,E742*F742,"")</x:f>
      </x:c>
    </x:row>
    <x:row r="743">
      <x:c r="A743" s="66" t="n">
        <x:v>8</x:v>
      </x:c>
      <x:c r="B743" s="44" t="str">
        <x:v>Canola/Rapeseed</x:v>
      </x:c>
      <x:c r="C743" s="44" t="str">
        <x:v>L333PC</x:v>
      </x:c>
      <x:c r="D743" s="66" t="n">
        <x:v>2022</x:v>
      </x:c>
      <x:c r="E743" s="67"/>
      <x:c r="F743" s="68"/>
      <x:c r="G743" s="69" t="str">
        <x:f>IF(COUNT(E743:F743)=2,E743*F743,"")</x:f>
      </x:c>
    </x:row>
    <x:row r="744">
      <x:c r="A744" s="66" t="n">
        <x:v>8</x:v>
      </x:c>
      <x:c r="B744" s="44" t="str">
        <x:v>Canola/Rapeseed</x:v>
      </x:c>
      <x:c r="C744" s="44" t="str">
        <x:v>L333PC</x:v>
      </x:c>
      <x:c r="D744" s="66" t="n">
        <x:v>2023</x:v>
      </x:c>
      <x:c r="E744" s="67"/>
      <x:c r="F744" s="68"/>
      <x:c r="G744" s="69" t="str">
        <x:f>IF(COUNT(E744:F744)=2,E744*F744,"")</x:f>
      </x:c>
    </x:row>
    <x:row r="745">
      <x:c r="A745" s="66" t="n">
        <x:v>8</x:v>
      </x:c>
      <x:c r="B745" s="44" t="str">
        <x:v>Canola/Rapeseed</x:v>
      </x:c>
      <x:c r="C745" s="44" t="str">
        <x:v>L333PC</x:v>
      </x:c>
      <x:c r="D745" s="66" t="n">
        <x:v>2024</x:v>
      </x:c>
      <x:c r="E745" s="67"/>
      <x:c r="F745" s="68"/>
      <x:c r="G745" s="69" t="str">
        <x:f>IF(COUNT(E745:F745)=2,E745*F745,"")</x:f>
      </x:c>
    </x:row>
    <x:row r="746">
      <x:c r="A746" s="66" t="n">
        <x:v>8</x:v>
      </x:c>
      <x:c r="B746" s="44" t="str">
        <x:v>Canola/Rapeseed</x:v>
      </x:c>
      <x:c r="C746" s="44" t="str">
        <x:v>L333PC</x:v>
      </x:c>
      <x:c r="D746" s="66" t="n">
        <x:v>2025</x:v>
      </x:c>
      <x:c r="E746" s="67" t="n">
        <x:v>10895</x:v>
      </x:c>
      <x:c r="F746" s="68" t="n">
        <x:v>50.4</x:v>
      </x:c>
      <x:c r="G746" s="69" t="n">
        <x:f>IF(COUNT(E746:F746)=2,E746*F746,"")</x:f>
        <x:v>549108</x:v>
      </x:c>
    </x:row>
    <x:row r="747">
      <x:c r="A747" s="66" t="n">
        <x:v>8</x:v>
      </x:c>
      <x:c r="B747" s="44" t="str">
        <x:v>Canola/Rapeseed</x:v>
      </x:c>
      <x:c r="C747" s="44" t="str">
        <x:v>L340PC</x:v>
      </x:c>
      <x:c r="D747" s="66" t="n">
        <x:v>2021</x:v>
      </x:c>
      <x:c r="E747" s="67" t="n">
        <x:v>19257</x:v>
      </x:c>
      <x:c r="F747" s="68" t="n">
        <x:v>28.3</x:v>
      </x:c>
      <x:c r="G747" s="69" t="n">
        <x:f>IF(COUNT(E747:F747)=2,E747*F747,"")</x:f>
        <x:v>544973.1</x:v>
      </x:c>
    </x:row>
    <x:row r="748">
      <x:c r="A748" s="66" t="n">
        <x:v>8</x:v>
      </x:c>
      <x:c r="B748" s="44" t="str">
        <x:v>Canola/Rapeseed</x:v>
      </x:c>
      <x:c r="C748" s="44" t="str">
        <x:v>L340PC</x:v>
      </x:c>
      <x:c r="D748" s="66" t="n">
        <x:v>2022</x:v>
      </x:c>
      <x:c r="E748" s="67" t="n">
        <x:v>105154</x:v>
      </x:c>
      <x:c r="F748" s="68" t="n">
        <x:v>48.2</x:v>
      </x:c>
      <x:c r="G748" s="69" t="n">
        <x:f>IF(COUNT(E748:F748)=2,E748*F748,"")</x:f>
        <x:v>5068422.800000001</x:v>
      </x:c>
    </x:row>
    <x:row r="749">
      <x:c r="A749" s="66" t="n">
        <x:v>8</x:v>
      </x:c>
      <x:c r="B749" s="44" t="str">
        <x:v>Canola/Rapeseed</x:v>
      </x:c>
      <x:c r="C749" s="44" t="str">
        <x:v>L340PC</x:v>
      </x:c>
      <x:c r="D749" s="66" t="n">
        <x:v>2023</x:v>
      </x:c>
      <x:c r="E749" s="67" t="n">
        <x:v>202554</x:v>
      </x:c>
      <x:c r="F749" s="68" t="n">
        <x:v>38.6</x:v>
      </x:c>
      <x:c r="G749" s="69" t="n">
        <x:f>IF(COUNT(E749:F749)=2,E749*F749,"")</x:f>
        <x:v>7818584.4</x:v>
      </x:c>
    </x:row>
    <x:row r="750">
      <x:c r="A750" s="66" t="n">
        <x:v>8</x:v>
      </x:c>
      <x:c r="B750" s="44" t="str">
        <x:v>Canola/Rapeseed</x:v>
      </x:c>
      <x:c r="C750" s="44" t="str">
        <x:v>L340PC</x:v>
      </x:c>
      <x:c r="D750" s="66" t="n">
        <x:v>2024</x:v>
      </x:c>
      <x:c r="E750" s="67" t="n">
        <x:v>229232</x:v>
      </x:c>
      <x:c r="F750" s="68" t="n">
        <x:v>36.4</x:v>
      </x:c>
      <x:c r="G750" s="69" t="n">
        <x:f>IF(COUNT(E750:F750)=2,E750*F750,"")</x:f>
        <x:v>8344044.8</x:v>
      </x:c>
    </x:row>
    <x:row r="751">
      <x:c r="A751" s="66" t="n">
        <x:v>8</x:v>
      </x:c>
      <x:c r="B751" s="44" t="str">
        <x:v>Canola/Rapeseed</x:v>
      </x:c>
      <x:c r="C751" s="44" t="str">
        <x:v>L340PC</x:v>
      </x:c>
      <x:c r="D751" s="66" t="n">
        <x:v>2025</x:v>
      </x:c>
      <x:c r="E751" s="67" t="n">
        <x:v>269801</x:v>
      </x:c>
      <x:c r="F751" s="68" t="n">
        <x:v>51.1</x:v>
      </x:c>
      <x:c r="G751" s="69" t="n">
        <x:f>IF(COUNT(E751:F751)=2,E751*F751,"")</x:f>
        <x:v>13786831.1</x:v>
      </x:c>
    </x:row>
    <x:row r="752">
      <x:c r="A752" s="66" t="n">
        <x:v>8</x:v>
      </x:c>
      <x:c r="B752" s="44" t="str">
        <x:v>Canola/Rapeseed</x:v>
      </x:c>
      <x:c r="C752" s="44" t="str">
        <x:v>L341PC</x:v>
      </x:c>
      <x:c r="D752" s="66" t="n">
        <x:v>2021</x:v>
      </x:c>
      <x:c r="E752" s="67"/>
      <x:c r="F752" s="68"/>
      <x:c r="G752" s="69" t="str">
        <x:f>IF(COUNT(E752:F752)=2,E752*F752,"")</x:f>
      </x:c>
    </x:row>
    <x:row r="753">
      <x:c r="A753" s="66" t="n">
        <x:v>8</x:v>
      </x:c>
      <x:c r="B753" s="44" t="str">
        <x:v>Canola/Rapeseed</x:v>
      </x:c>
      <x:c r="C753" s="44" t="str">
        <x:v>L341PC</x:v>
      </x:c>
      <x:c r="D753" s="66" t="n">
        <x:v>2022</x:v>
      </x:c>
      <x:c r="E753" s="67"/>
      <x:c r="F753" s="68"/>
      <x:c r="G753" s="69" t="str">
        <x:f>IF(COUNT(E753:F753)=2,E753*F753,"")</x:f>
      </x:c>
    </x:row>
    <x:row r="754">
      <x:c r="A754" s="66" t="n">
        <x:v>8</x:v>
      </x:c>
      <x:c r="B754" s="44" t="str">
        <x:v>Canola/Rapeseed</x:v>
      </x:c>
      <x:c r="C754" s="44" t="str">
        <x:v>L341PC</x:v>
      </x:c>
      <x:c r="D754" s="66" t="n">
        <x:v>2023</x:v>
      </x:c>
      <x:c r="E754" s="67"/>
      <x:c r="F754" s="68"/>
      <x:c r="G754" s="69" t="str">
        <x:f>IF(COUNT(E754:F754)=2,E754*F754,"")</x:f>
      </x:c>
    </x:row>
    <x:row r="755">
      <x:c r="A755" s="66" t="n">
        <x:v>8</x:v>
      </x:c>
      <x:c r="B755" s="44" t="str">
        <x:v>Canola/Rapeseed</x:v>
      </x:c>
      <x:c r="C755" s="44" t="str">
        <x:v>L341PC</x:v>
      </x:c>
      <x:c r="D755" s="66" t="n">
        <x:v>2024</x:v>
      </x:c>
      <x:c r="E755" s="67"/>
      <x:c r="F755" s="68"/>
      <x:c r="G755" s="69" t="str">
        <x:f>IF(COUNT(E755:F755)=2,E755*F755,"")</x:f>
      </x:c>
    </x:row>
    <x:row r="756">
      <x:c r="A756" s="66" t="n">
        <x:v>8</x:v>
      </x:c>
      <x:c r="B756" s="44" t="str">
        <x:v>Canola/Rapeseed</x:v>
      </x:c>
      <x:c r="C756" s="44" t="str">
        <x:v>L341PC</x:v>
      </x:c>
      <x:c r="D756" s="66" t="n">
        <x:v>2025</x:v>
      </x:c>
      <x:c r="E756" s="67" t="n">
        <x:v>1470</x:v>
      </x:c>
      <x:c r="F756" s="68" t="n">
        <x:v>44.5</x:v>
      </x:c>
      <x:c r="G756" s="69" t="n">
        <x:f>IF(COUNT(E756:F756)=2,E756*F756,"")</x:f>
        <x:v>65415</x:v>
      </x:c>
    </x:row>
    <x:row r="757">
      <x:c r="A757" s="66" t="n">
        <x:v>8</x:v>
      </x:c>
      <x:c r="B757" s="44" t="str">
        <x:v>Canola/Rapeseed</x:v>
      </x:c>
      <x:c r="C757" s="44" t="str">
        <x:v>L343PC</x:v>
      </x:c>
      <x:c r="D757" s="66" t="n">
        <x:v>2021</x:v>
      </x:c>
      <x:c r="E757" s="67"/>
      <x:c r="F757" s="68"/>
      <x:c r="G757" s="69" t="str">
        <x:f>IF(COUNT(E757:F757)=2,E757*F757,"")</x:f>
      </x:c>
    </x:row>
    <x:row r="758">
      <x:c r="A758" s="66" t="n">
        <x:v>8</x:v>
      </x:c>
      <x:c r="B758" s="44" t="str">
        <x:v>Canola/Rapeseed</x:v>
      </x:c>
      <x:c r="C758" s="44" t="str">
        <x:v>L343PC</x:v>
      </x:c>
      <x:c r="D758" s="66" t="n">
        <x:v>2022</x:v>
      </x:c>
      <x:c r="E758" s="67" t="n">
        <x:v>740</x:v>
      </x:c>
      <x:c r="F758" s="68" t="n">
        <x:v>41.1</x:v>
      </x:c>
      <x:c r="G758" s="69" t="n">
        <x:f>IF(COUNT(E758:F758)=2,E758*F758,"")</x:f>
        <x:v>30414</x:v>
      </x:c>
    </x:row>
    <x:row r="759">
      <x:c r="A759" s="66" t="n">
        <x:v>8</x:v>
      </x:c>
      <x:c r="B759" s="44" t="str">
        <x:v>Canola/Rapeseed</x:v>
      </x:c>
      <x:c r="C759" s="44" t="str">
        <x:v>L343PC</x:v>
      </x:c>
      <x:c r="D759" s="66" t="n">
        <x:v>2023</x:v>
      </x:c>
      <x:c r="E759" s="67" t="n">
        <x:v>3480</x:v>
      </x:c>
      <x:c r="F759" s="68" t="n">
        <x:v>33.7</x:v>
      </x:c>
      <x:c r="G759" s="69" t="n">
        <x:f>IF(COUNT(E759:F759)=2,E759*F759,"")</x:f>
        <x:v>117276.00000000001</x:v>
      </x:c>
    </x:row>
    <x:row r="760">
      <x:c r="A760" s="66" t="n">
        <x:v>8</x:v>
      </x:c>
      <x:c r="B760" s="44" t="str">
        <x:v>Canola/Rapeseed</x:v>
      </x:c>
      <x:c r="C760" s="44" t="str">
        <x:v>L343PC</x:v>
      </x:c>
      <x:c r="D760" s="66" t="n">
        <x:v>2024</x:v>
      </x:c>
      <x:c r="E760" s="67" t="n">
        <x:v>1016</x:v>
      </x:c>
      <x:c r="F760" s="68" t="n">
        <x:v>36.3</x:v>
      </x:c>
      <x:c r="G760" s="69" t="n">
        <x:f>IF(COUNT(E760:F760)=2,E760*F760,"")</x:f>
        <x:v>36880.799999999996</x:v>
      </x:c>
    </x:row>
    <x:row r="761">
      <x:c r="A761" s="66" t="n">
        <x:v>8</x:v>
      </x:c>
      <x:c r="B761" s="44" t="str">
        <x:v>Canola/Rapeseed</x:v>
      </x:c>
      <x:c r="C761" s="44" t="str">
        <x:v>L343PC</x:v>
      </x:c>
      <x:c r="D761" s="66" t="n">
        <x:v>2025</x:v>
      </x:c>
      <x:c r="E761" s="67" t="n">
        <x:v>2731</x:v>
      </x:c>
      <x:c r="F761" s="68" t="n">
        <x:v>47</x:v>
      </x:c>
      <x:c r="G761" s="69" t="n">
        <x:f>IF(COUNT(E761:F761)=2,E761*F761,"")</x:f>
        <x:v>128357</x:v>
      </x:c>
    </x:row>
    <x:row r="762">
      <x:c r="A762" s="66" t="n">
        <x:v>8</x:v>
      </x:c>
      <x:c r="B762" s="44" t="str">
        <x:v>Canola/Rapeseed</x:v>
      </x:c>
      <x:c r="C762" s="44" t="str">
        <x:v>L345PC</x:v>
      </x:c>
      <x:c r="D762" s="66" t="n">
        <x:v>2021</x:v>
      </x:c>
      <x:c r="E762" s="67" t="n">
        <x:v>92079</x:v>
      </x:c>
      <x:c r="F762" s="68" t="n">
        <x:v>27.8</x:v>
      </x:c>
      <x:c r="G762" s="69" t="n">
        <x:f>IF(COUNT(E762:F762)=2,E762*F762,"")</x:f>
        <x:v>2559796.2</x:v>
      </x:c>
    </x:row>
    <x:row r="763">
      <x:c r="A763" s="66" t="n">
        <x:v>8</x:v>
      </x:c>
      <x:c r="B763" s="44" t="str">
        <x:v>Canola/Rapeseed</x:v>
      </x:c>
      <x:c r="C763" s="44" t="str">
        <x:v>L345PC</x:v>
      </x:c>
      <x:c r="D763" s="66" t="n">
        <x:v>2022</x:v>
      </x:c>
      <x:c r="E763" s="67" t="n">
        <x:v>52480</x:v>
      </x:c>
      <x:c r="F763" s="68" t="n">
        <x:v>48.8</x:v>
      </x:c>
      <x:c r="G763" s="69" t="n">
        <x:f>IF(COUNT(E763:F763)=2,E763*F763,"")</x:f>
        <x:v>2561024</x:v>
      </x:c>
    </x:row>
    <x:row r="764">
      <x:c r="A764" s="66" t="n">
        <x:v>8</x:v>
      </x:c>
      <x:c r="B764" s="44" t="str">
        <x:v>Canola/Rapeseed</x:v>
      </x:c>
      <x:c r="C764" s="44" t="str">
        <x:v>L345PC</x:v>
      </x:c>
      <x:c r="D764" s="66" t="n">
        <x:v>2023</x:v>
      </x:c>
      <x:c r="E764" s="67" t="n">
        <x:v>58937</x:v>
      </x:c>
      <x:c r="F764" s="68" t="n">
        <x:v>36.2</x:v>
      </x:c>
      <x:c r="G764" s="69" t="n">
        <x:f>IF(COUNT(E764:F764)=2,E764*F764,"")</x:f>
        <x:v>2133519.4000000004</x:v>
      </x:c>
    </x:row>
    <x:row r="765">
      <x:c r="A765" s="66" t="n">
        <x:v>8</x:v>
      </x:c>
      <x:c r="B765" s="44" t="str">
        <x:v>Canola/Rapeseed</x:v>
      </x:c>
      <x:c r="C765" s="44" t="str">
        <x:v>L345PC</x:v>
      </x:c>
      <x:c r="D765" s="66" t="n">
        <x:v>2024</x:v>
      </x:c>
      <x:c r="E765" s="67" t="n">
        <x:v>63596</x:v>
      </x:c>
      <x:c r="F765" s="68" t="n">
        <x:v>34.8</x:v>
      </x:c>
      <x:c r="G765" s="69" t="n">
        <x:f>IF(COUNT(E765:F765)=2,E765*F765,"")</x:f>
        <x:v>2213140.8</x:v>
      </x:c>
    </x:row>
    <x:row r="766">
      <x:c r="A766" s="66" t="n">
        <x:v>8</x:v>
      </x:c>
      <x:c r="B766" s="44" t="str">
        <x:v>Canola/Rapeseed</x:v>
      </x:c>
      <x:c r="C766" s="44" t="str">
        <x:v>L345PC</x:v>
      </x:c>
      <x:c r="D766" s="66" t="n">
        <x:v>2025</x:v>
      </x:c>
      <x:c r="E766" s="67" t="n">
        <x:v>35780</x:v>
      </x:c>
      <x:c r="F766" s="68" t="n">
        <x:v>48.3</x:v>
      </x:c>
      <x:c r="G766" s="69" t="n">
        <x:f>IF(COUNT(E766:F766)=2,E766*F766,"")</x:f>
        <x:v>1728174</x:v>
      </x:c>
    </x:row>
    <x:row r="767">
      <x:c r="A767" s="66" t="n">
        <x:v>8</x:v>
      </x:c>
      <x:c r="B767" s="44" t="str">
        <x:v>Canola/Rapeseed</x:v>
      </x:c>
      <x:c r="C767" s="44" t="str">
        <x:v>L350PC</x:v>
      </x:c>
      <x:c r="D767" s="66" t="n">
        <x:v>2021</x:v>
      </x:c>
      <x:c r="E767" s="67"/>
      <x:c r="F767" s="68"/>
      <x:c r="G767" s="69" t="str">
        <x:f>IF(COUNT(E767:F767)=2,E767*F767,"")</x:f>
      </x:c>
    </x:row>
    <x:row r="768">
      <x:c r="A768" s="66" t="n">
        <x:v>8</x:v>
      </x:c>
      <x:c r="B768" s="44" t="str">
        <x:v>Canola/Rapeseed</x:v>
      </x:c>
      <x:c r="C768" s="44" t="str">
        <x:v>L350PC</x:v>
      </x:c>
      <x:c r="D768" s="66" t="n">
        <x:v>2022</x:v>
      </x:c>
      <x:c r="E768" s="67"/>
      <x:c r="F768" s="68"/>
      <x:c r="G768" s="69" t="str">
        <x:f>IF(COUNT(E768:F768)=2,E768*F768,"")</x:f>
      </x:c>
    </x:row>
    <x:row r="769">
      <x:c r="A769" s="66" t="n">
        <x:v>8</x:v>
      </x:c>
      <x:c r="B769" s="44" t="str">
        <x:v>Canola/Rapeseed</x:v>
      </x:c>
      <x:c r="C769" s="44" t="str">
        <x:v>L350PC</x:v>
      </x:c>
      <x:c r="D769" s="66" t="n">
        <x:v>2023</x:v>
      </x:c>
      <x:c r="E769" s="67" t="n">
        <x:v>27162</x:v>
      </x:c>
      <x:c r="F769" s="68" t="n">
        <x:v>44.5</x:v>
      </x:c>
      <x:c r="G769" s="69" t="n">
        <x:f>IF(COUNT(E769:F769)=2,E769*F769,"")</x:f>
        <x:v>1208709</x:v>
      </x:c>
    </x:row>
    <x:row r="770">
      <x:c r="A770" s="66" t="n">
        <x:v>8</x:v>
      </x:c>
      <x:c r="B770" s="44" t="str">
        <x:v>Canola/Rapeseed</x:v>
      </x:c>
      <x:c r="C770" s="44" t="str">
        <x:v>L350PC</x:v>
      </x:c>
      <x:c r="D770" s="66" t="n">
        <x:v>2024</x:v>
      </x:c>
      <x:c r="E770" s="67" t="n">
        <x:v>6206</x:v>
      </x:c>
      <x:c r="F770" s="68" t="n">
        <x:v>32.3</x:v>
      </x:c>
      <x:c r="G770" s="69" t="n">
        <x:f>IF(COUNT(E770:F770)=2,E770*F770,"")</x:f>
        <x:v>200453.8</x:v>
      </x:c>
    </x:row>
    <x:row r="771">
      <x:c r="A771" s="66" t="n">
        <x:v>8</x:v>
      </x:c>
      <x:c r="B771" s="44" t="str">
        <x:v>Canola/Rapeseed</x:v>
      </x:c>
      <x:c r="C771" s="44" t="str">
        <x:v>L350PC</x:v>
      </x:c>
      <x:c r="D771" s="66" t="n">
        <x:v>2025</x:v>
      </x:c>
      <x:c r="E771" s="67" t="n">
        <x:v>5219</x:v>
      </x:c>
      <x:c r="F771" s="68" t="n">
        <x:v>50</x:v>
      </x:c>
      <x:c r="G771" s="69" t="n">
        <x:f>IF(COUNT(E771:F771)=2,E771*F771,"")</x:f>
        <x:v>260950</x:v>
      </x:c>
    </x:row>
    <x:row r="772">
      <x:c r="A772" s="66" t="n">
        <x:v>8</x:v>
      </x:c>
      <x:c r="B772" s="44" t="str">
        <x:v>Canola/Rapeseed</x:v>
      </x:c>
      <x:c r="C772" s="44" t="str">
        <x:v>L352C</x:v>
      </x:c>
      <x:c r="D772" s="66" t="n">
        <x:v>2021</x:v>
      </x:c>
      <x:c r="E772" s="67" t="n">
        <x:v>1980</x:v>
      </x:c>
      <x:c r="F772" s="68" t="n">
        <x:v>28</x:v>
      </x:c>
      <x:c r="G772" s="69" t="n">
        <x:f>IF(COUNT(E772:F772)=2,E772*F772,"")</x:f>
        <x:v>55440</x:v>
      </x:c>
    </x:row>
    <x:row r="773">
      <x:c r="A773" s="66" t="n">
        <x:v>8</x:v>
      </x:c>
      <x:c r="B773" s="44" t="str">
        <x:v>Canola/Rapeseed</x:v>
      </x:c>
      <x:c r="C773" s="44" t="str">
        <x:v>L352C</x:v>
      </x:c>
      <x:c r="D773" s="66" t="n">
        <x:v>2022</x:v>
      </x:c>
      <x:c r="E773" s="67"/>
      <x:c r="F773" s="68"/>
      <x:c r="G773" s="69" t="str">
        <x:f>IF(COUNT(E773:F773)=2,E773*F773,"")</x:f>
      </x:c>
    </x:row>
    <x:row r="774">
      <x:c r="A774" s="66" t="n">
        <x:v>8</x:v>
      </x:c>
      <x:c r="B774" s="44" t="str">
        <x:v>Canola/Rapeseed</x:v>
      </x:c>
      <x:c r="C774" s="44" t="str">
        <x:v>L352C</x:v>
      </x:c>
      <x:c r="D774" s="66" t="n">
        <x:v>2023</x:v>
      </x:c>
      <x:c r="E774" s="67"/>
      <x:c r="F774" s="68"/>
      <x:c r="G774" s="69" t="str">
        <x:f>IF(COUNT(E774:F774)=2,E774*F774,"")</x:f>
      </x:c>
    </x:row>
    <x:row r="775">
      <x:c r="A775" s="66" t="n">
        <x:v>8</x:v>
      </x:c>
      <x:c r="B775" s="44" t="str">
        <x:v>Canola/Rapeseed</x:v>
      </x:c>
      <x:c r="C775" s="44" t="str">
        <x:v>L352C</x:v>
      </x:c>
      <x:c r="D775" s="66" t="n">
        <x:v>2024</x:v>
      </x:c>
      <x:c r="E775" s="67"/>
      <x:c r="F775" s="68"/>
      <x:c r="G775" s="69" t="str">
        <x:f>IF(COUNT(E775:F775)=2,E775*F775,"")</x:f>
      </x:c>
    </x:row>
    <x:row r="776">
      <x:c r="A776" s="66" t="n">
        <x:v>8</x:v>
      </x:c>
      <x:c r="B776" s="44" t="str">
        <x:v>Canola/Rapeseed</x:v>
      </x:c>
      <x:c r="C776" s="44" t="str">
        <x:v>L352C</x:v>
      </x:c>
      <x:c r="D776" s="66" t="n">
        <x:v>2025</x:v>
      </x:c>
      <x:c r="E776" s="67" t="n">
        <x:v>1082</x:v>
      </x:c>
      <x:c r="F776" s="68" t="n">
        <x:v>47.6</x:v>
      </x:c>
      <x:c r="G776" s="69" t="n">
        <x:f>IF(COUNT(E776:F776)=2,E776*F776,"")</x:f>
        <x:v>51503.200000000004</x:v>
      </x:c>
    </x:row>
    <x:row r="777">
      <x:c r="A777" s="66" t="n">
        <x:v>8</x:v>
      </x:c>
      <x:c r="B777" s="44" t="str">
        <x:v>Canola/Rapeseed</x:v>
      </x:c>
      <x:c r="C777" s="44" t="str">
        <x:v>L356PC</x:v>
      </x:c>
      <x:c r="D777" s="66" t="n">
        <x:v>2021</x:v>
      </x:c>
      <x:c r="E777" s="67"/>
      <x:c r="F777" s="68"/>
      <x:c r="G777" s="69" t="str">
        <x:f>IF(COUNT(E777:F777)=2,E777*F777,"")</x:f>
      </x:c>
    </x:row>
    <x:row r="778">
      <x:c r="A778" s="66" t="n">
        <x:v>8</x:v>
      </x:c>
      <x:c r="B778" s="44" t="str">
        <x:v>Canola/Rapeseed</x:v>
      </x:c>
      <x:c r="C778" s="44" t="str">
        <x:v>L356PC</x:v>
      </x:c>
      <x:c r="D778" s="66" t="n">
        <x:v>2022</x:v>
      </x:c>
      <x:c r="E778" s="67" t="n">
        <x:v>8642</x:v>
      </x:c>
      <x:c r="F778" s="68" t="n">
        <x:v>48.6</x:v>
      </x:c>
      <x:c r="G778" s="69" t="n">
        <x:f>IF(COUNT(E778:F778)=2,E778*F778,"")</x:f>
        <x:v>420001.2</x:v>
      </x:c>
    </x:row>
    <x:row r="779">
      <x:c r="A779" s="66" t="n">
        <x:v>8</x:v>
      </x:c>
      <x:c r="B779" s="44" t="str">
        <x:v>Canola/Rapeseed</x:v>
      </x:c>
      <x:c r="C779" s="44" t="str">
        <x:v>L356PC</x:v>
      </x:c>
      <x:c r="D779" s="66" t="n">
        <x:v>2023</x:v>
      </x:c>
      <x:c r="E779" s="67" t="n">
        <x:v>40098</x:v>
      </x:c>
      <x:c r="F779" s="68" t="n">
        <x:v>40.3</x:v>
      </x:c>
      <x:c r="G779" s="69" t="n">
        <x:f>IF(COUNT(E779:F779)=2,E779*F779,"")</x:f>
        <x:v>1615949.4</x:v>
      </x:c>
    </x:row>
    <x:row r="780">
      <x:c r="A780" s="66" t="n">
        <x:v>8</x:v>
      </x:c>
      <x:c r="B780" s="44" t="str">
        <x:v>Canola/Rapeseed</x:v>
      </x:c>
      <x:c r="C780" s="44" t="str">
        <x:v>L356PC</x:v>
      </x:c>
      <x:c r="D780" s="66" t="n">
        <x:v>2024</x:v>
      </x:c>
      <x:c r="E780" s="67" t="n">
        <x:v>62794</x:v>
      </x:c>
      <x:c r="F780" s="68" t="n">
        <x:v>31</x:v>
      </x:c>
      <x:c r="G780" s="69" t="n">
        <x:f>IF(COUNT(E780:F780)=2,E780*F780,"")</x:f>
        <x:v>1946614</x:v>
      </x:c>
    </x:row>
    <x:row r="781">
      <x:c r="A781" s="66" t="n">
        <x:v>8</x:v>
      </x:c>
      <x:c r="B781" s="44" t="str">
        <x:v>Canola/Rapeseed</x:v>
      </x:c>
      <x:c r="C781" s="44" t="str">
        <x:v>L356PC</x:v>
      </x:c>
      <x:c r="D781" s="66" t="n">
        <x:v>2025</x:v>
      </x:c>
      <x:c r="E781" s="67" t="n">
        <x:v>45566</x:v>
      </x:c>
      <x:c r="F781" s="68" t="n">
        <x:v>52.7</x:v>
      </x:c>
      <x:c r="G781" s="69" t="n">
        <x:f>IF(COUNT(E781:F781)=2,E781*F781,"")</x:f>
        <x:v>2401328.2</x:v>
      </x:c>
    </x:row>
    <x:row r="782">
      <x:c r="A782" s="66" t="n">
        <x:v>8</x:v>
      </x:c>
      <x:c r="B782" s="44" t="str">
        <x:v>Canola/Rapeseed</x:v>
      </x:c>
      <x:c r="C782" s="44" t="str">
        <x:v>PV 661 LCM</x:v>
      </x:c>
      <x:c r="D782" s="66" t="n">
        <x:v>2021</x:v>
      </x:c>
      <x:c r="E782" s="67"/>
      <x:c r="F782" s="68"/>
      <x:c r="G782" s="69" t="str">
        <x:f>IF(COUNT(E782:F782)=2,E782*F782,"")</x:f>
      </x:c>
    </x:row>
    <x:row r="783">
      <x:c r="A783" s="66" t="n">
        <x:v>8</x:v>
      </x:c>
      <x:c r="B783" s="44" t="str">
        <x:v>Canola/Rapeseed</x:v>
      </x:c>
      <x:c r="C783" s="44" t="str">
        <x:v>PV 661 LCM</x:v>
      </x:c>
      <x:c r="D783" s="66" t="n">
        <x:v>2022</x:v>
      </x:c>
      <x:c r="E783" s="67"/>
      <x:c r="F783" s="68"/>
      <x:c r="G783" s="69" t="str">
        <x:f>IF(COUNT(E783:F783)=2,E783*F783,"")</x:f>
      </x:c>
    </x:row>
    <x:row r="784">
      <x:c r="A784" s="66" t="n">
        <x:v>8</x:v>
      </x:c>
      <x:c r="B784" s="44" t="str">
        <x:v>Canola/Rapeseed</x:v>
      </x:c>
      <x:c r="C784" s="44" t="str">
        <x:v>PV 661 LCM</x:v>
      </x:c>
      <x:c r="D784" s="66" t="n">
        <x:v>2023</x:v>
      </x:c>
      <x:c r="E784" s="67"/>
      <x:c r="F784" s="68"/>
      <x:c r="G784" s="69" t="str">
        <x:f>IF(COUNT(E784:F784)=2,E784*F784,"")</x:f>
      </x:c>
    </x:row>
    <x:row r="785">
      <x:c r="A785" s="66" t="n">
        <x:v>8</x:v>
      </x:c>
      <x:c r="B785" s="44" t="str">
        <x:v>Canola/Rapeseed</x:v>
      </x:c>
      <x:c r="C785" s="44" t="str">
        <x:v>PV 661 LCM</x:v>
      </x:c>
      <x:c r="D785" s="66" t="n">
        <x:v>2024</x:v>
      </x:c>
      <x:c r="E785" s="67"/>
      <x:c r="F785" s="68"/>
      <x:c r="G785" s="69" t="str">
        <x:f>IF(COUNT(E785:F785)=2,E785*F785,"")</x:f>
      </x:c>
    </x:row>
    <x:row r="786">
      <x:c r="A786" s="66" t="n">
        <x:v>8</x:v>
      </x:c>
      <x:c r="B786" s="44" t="str">
        <x:v>Canola/Rapeseed</x:v>
      </x:c>
      <x:c r="C786" s="44" t="str">
        <x:v>PV 661 LCM</x:v>
      </x:c>
      <x:c r="D786" s="66" t="n">
        <x:v>2025</x:v>
      </x:c>
      <x:c r="E786" s="67" t="n">
        <x:v>2517</x:v>
      </x:c>
      <x:c r="F786" s="68" t="n">
        <x:v>40.3</x:v>
      </x:c>
      <x:c r="G786" s="69" t="n">
        <x:f>IF(COUNT(E786:F786)=2,E786*F786,"")</x:f>
        <x:v>101435.09999999999</x:v>
      </x:c>
    </x:row>
    <x:row r="787">
      <x:c r="A787" s="66" t="n">
        <x:v>8</x:v>
      </x:c>
      <x:c r="B787" s="44" t="str">
        <x:v>Canola/Rapeseed</x:v>
      </x:c>
      <x:c r="C787" s="44" t="str">
        <x:v>PV 761 TM</x:v>
      </x:c>
      <x:c r="D787" s="66" t="n">
        <x:v>2021</x:v>
      </x:c>
      <x:c r="E787" s="67" t="n">
        <x:v>1327</x:v>
      </x:c>
      <x:c r="F787" s="68" t="n">
        <x:v>26.1</x:v>
      </x:c>
      <x:c r="G787" s="69" t="n">
        <x:f>IF(COUNT(E787:F787)=2,E787*F787,"")</x:f>
        <x:v>34634.700000000004</x:v>
      </x:c>
    </x:row>
    <x:row r="788">
      <x:c r="A788" s="66" t="n">
        <x:v>8</x:v>
      </x:c>
      <x:c r="B788" s="44" t="str">
        <x:v>Canola/Rapeseed</x:v>
      </x:c>
      <x:c r="C788" s="44" t="str">
        <x:v>PV 761 TM</x:v>
      </x:c>
      <x:c r="D788" s="66" t="n">
        <x:v>2022</x:v>
      </x:c>
      <x:c r="E788" s="67" t="n">
        <x:v>1247</x:v>
      </x:c>
      <x:c r="F788" s="68" t="n">
        <x:v>35.1</x:v>
      </x:c>
      <x:c r="G788" s="69" t="n">
        <x:f>IF(COUNT(E788:F788)=2,E788*F788,"")</x:f>
        <x:v>43769.700000000004</x:v>
      </x:c>
    </x:row>
    <x:row r="789">
      <x:c r="A789" s="66" t="n">
        <x:v>8</x:v>
      </x:c>
      <x:c r="B789" s="44" t="str">
        <x:v>Canola/Rapeseed</x:v>
      </x:c>
      <x:c r="C789" s="44" t="str">
        <x:v>PV 761 TM</x:v>
      </x:c>
      <x:c r="D789" s="66" t="n">
        <x:v>2023</x:v>
      </x:c>
      <x:c r="E789" s="67" t="n">
        <x:v>1912</x:v>
      </x:c>
      <x:c r="F789" s="68" t="n">
        <x:v>28.4</x:v>
      </x:c>
      <x:c r="G789" s="69" t="n">
        <x:f>IF(COUNT(E789:F789)=2,E789*F789,"")</x:f>
        <x:v>54300.799999999996</x:v>
      </x:c>
    </x:row>
    <x:row r="790">
      <x:c r="A790" s="66" t="n">
        <x:v>8</x:v>
      </x:c>
      <x:c r="B790" s="44" t="str">
        <x:v>Canola/Rapeseed</x:v>
      </x:c>
      <x:c r="C790" s="44" t="str">
        <x:v>PV 761 TM</x:v>
      </x:c>
      <x:c r="D790" s="66" t="n">
        <x:v>2024</x:v>
      </x:c>
      <x:c r="E790" s="67"/>
      <x:c r="F790" s="68"/>
      <x:c r="G790" s="69" t="str">
        <x:f>IF(COUNT(E790:F790)=2,E790*F790,"")</x:f>
      </x:c>
    </x:row>
    <x:row r="791">
      <x:c r="A791" s="66" t="n">
        <x:v>8</x:v>
      </x:c>
      <x:c r="B791" s="44" t="str">
        <x:v>Canola/Rapeseed</x:v>
      </x:c>
      <x:c r="C791" s="44" t="str">
        <x:v>PV 761 TM</x:v>
      </x:c>
      <x:c r="D791" s="66" t="n">
        <x:v>2025</x:v>
      </x:c>
      <x:c r="E791" s="67" t="n">
        <x:v>542</x:v>
      </x:c>
      <x:c r="F791" s="68" t="n">
        <x:v>26.7</x:v>
      </x:c>
      <x:c r="G791" s="69" t="n">
        <x:f>IF(COUNT(E791:F791)=2,E791*F791,"")</x:f>
        <x:v>14471.4</x:v>
      </x:c>
    </x:row>
    <x:row r="792">
      <x:c r="A792" s="66" t="n">
        <x:v>8</x:v>
      </x:c>
      <x:c r="B792" s="44" t="str">
        <x:v>Canola/Rapeseed</x:v>
      </x:c>
      <x:c r="C792" s="44" t="str">
        <x:v>P502CL</x:v>
      </x:c>
      <x:c r="D792" s="66" t="n">
        <x:v>2021</x:v>
      </x:c>
      <x:c r="E792" s="67"/>
      <x:c r="F792" s="68"/>
      <x:c r="G792" s="69" t="str">
        <x:f>IF(COUNT(E792:F792)=2,E792*F792,"")</x:f>
      </x:c>
    </x:row>
    <x:row r="793">
      <x:c r="A793" s="66" t="n">
        <x:v>8</x:v>
      </x:c>
      <x:c r="B793" s="44" t="str">
        <x:v>Canola/Rapeseed</x:v>
      </x:c>
      <x:c r="C793" s="44" t="str">
        <x:v>P502CL</x:v>
      </x:c>
      <x:c r="D793" s="66" t="n">
        <x:v>2022</x:v>
      </x:c>
      <x:c r="E793" s="67"/>
      <x:c r="F793" s="68"/>
      <x:c r="G793" s="69" t="str">
        <x:f>IF(COUNT(E793:F793)=2,E793*F793,"")</x:f>
      </x:c>
    </x:row>
    <x:row r="794">
      <x:c r="A794" s="66" t="n">
        <x:v>8</x:v>
      </x:c>
      <x:c r="B794" s="44" t="str">
        <x:v>Canola/Rapeseed</x:v>
      </x:c>
      <x:c r="C794" s="44" t="str">
        <x:v>P502CL</x:v>
      </x:c>
      <x:c r="D794" s="66" t="n">
        <x:v>2023</x:v>
      </x:c>
      <x:c r="E794" s="67"/>
      <x:c r="F794" s="68"/>
      <x:c r="G794" s="69" t="str">
        <x:f>IF(COUNT(E794:F794)=2,E794*F794,"")</x:f>
      </x:c>
    </x:row>
    <x:row r="795">
      <x:c r="A795" s="66" t="n">
        <x:v>8</x:v>
      </x:c>
      <x:c r="B795" s="44" t="str">
        <x:v>Canola/Rapeseed</x:v>
      </x:c>
      <x:c r="C795" s="44" t="str">
        <x:v>P502CL</x:v>
      </x:c>
      <x:c r="D795" s="66" t="n">
        <x:v>2024</x:v>
      </x:c>
      <x:c r="E795" s="67"/>
      <x:c r="F795" s="68"/>
      <x:c r="G795" s="69" t="str">
        <x:f>IF(COUNT(E795:F795)=2,E795*F795,"")</x:f>
      </x:c>
    </x:row>
    <x:row r="796">
      <x:c r="A796" s="66" t="n">
        <x:v>8</x:v>
      </x:c>
      <x:c r="B796" s="44" t="str">
        <x:v>Canola/Rapeseed</x:v>
      </x:c>
      <x:c r="C796" s="44" t="str">
        <x:v>P502CL</x:v>
      </x:c>
      <x:c r="D796" s="66" t="n">
        <x:v>2025</x:v>
      </x:c>
      <x:c r="E796" s="67" t="n">
        <x:v>595</x:v>
      </x:c>
      <x:c r="F796" s="68" t="n">
        <x:v>46.5</x:v>
      </x:c>
      <x:c r="G796" s="69" t="n">
        <x:f>IF(COUNT(E796:F796)=2,E796*F796,"")</x:f>
        <x:v>27667.5</x:v>
      </x:c>
    </x:row>
    <x:row r="797">
      <x:c r="A797" s="66" t="n">
        <x:v>8</x:v>
      </x:c>
      <x:c r="B797" s="44" t="str">
        <x:v>Canola/Rapeseed</x:v>
      </x:c>
      <x:c r="C797" s="44" t="str">
        <x:v>P505MSL</x:v>
      </x:c>
      <x:c r="D797" s="66" t="n">
        <x:v>2021</x:v>
      </x:c>
      <x:c r="E797" s="67" t="n">
        <x:v>2239</x:v>
      </x:c>
      <x:c r="F797" s="68" t="n">
        <x:v>19.9</x:v>
      </x:c>
      <x:c r="G797" s="69" t="n">
        <x:f>IF(COUNT(E797:F797)=2,E797*F797,"")</x:f>
        <x:v>44556.1</x:v>
      </x:c>
    </x:row>
    <x:row r="798">
      <x:c r="A798" s="66" t="n">
        <x:v>8</x:v>
      </x:c>
      <x:c r="B798" s="44" t="str">
        <x:v>Canola/Rapeseed</x:v>
      </x:c>
      <x:c r="C798" s="44" t="str">
        <x:v>P505MSL</x:v>
      </x:c>
      <x:c r="D798" s="66" t="n">
        <x:v>2022</x:v>
      </x:c>
      <x:c r="E798" s="67" t="n">
        <x:v>3207</x:v>
      </x:c>
      <x:c r="F798" s="68" t="n">
        <x:v>47.3</x:v>
      </x:c>
      <x:c r="G798" s="69" t="n">
        <x:f>IF(COUNT(E798:F798)=2,E798*F798,"")</x:f>
        <x:v>151691.09999999998</x:v>
      </x:c>
    </x:row>
    <x:row r="799">
      <x:c r="A799" s="66" t="n">
        <x:v>8</x:v>
      </x:c>
      <x:c r="B799" s="44" t="str">
        <x:v>Canola/Rapeseed</x:v>
      </x:c>
      <x:c r="C799" s="44" t="str">
        <x:v>P505MSL</x:v>
      </x:c>
      <x:c r="D799" s="66" t="n">
        <x:v>2023</x:v>
      </x:c>
      <x:c r="E799" s="67" t="n">
        <x:v>2703</x:v>
      </x:c>
      <x:c r="F799" s="68" t="n">
        <x:v>31.9</x:v>
      </x:c>
      <x:c r="G799" s="69" t="n">
        <x:f>IF(COUNT(E799:F799)=2,E799*F799,"")</x:f>
        <x:v>86225.7</x:v>
      </x:c>
    </x:row>
    <x:row r="800">
      <x:c r="A800" s="66" t="n">
        <x:v>8</x:v>
      </x:c>
      <x:c r="B800" s="44" t="str">
        <x:v>Canola/Rapeseed</x:v>
      </x:c>
      <x:c r="C800" s="44" t="str">
        <x:v>P505MSL</x:v>
      </x:c>
      <x:c r="D800" s="66" t="n">
        <x:v>2024</x:v>
      </x:c>
      <x:c r="E800" s="67" t="n">
        <x:v>3060</x:v>
      </x:c>
      <x:c r="F800" s="68" t="n">
        <x:v>31.2</x:v>
      </x:c>
      <x:c r="G800" s="69" t="n">
        <x:f>IF(COUNT(E800:F800)=2,E800*F800,"")</x:f>
        <x:v>95472</x:v>
      </x:c>
    </x:row>
    <x:row r="801">
      <x:c r="A801" s="66" t="n">
        <x:v>8</x:v>
      </x:c>
      <x:c r="B801" s="44" t="str">
        <x:v>Canola/Rapeseed</x:v>
      </x:c>
      <x:c r="C801" s="44" t="str">
        <x:v>P505MSL</x:v>
      </x:c>
      <x:c r="D801" s="66" t="n">
        <x:v>2025</x:v>
      </x:c>
      <x:c r="E801" s="67" t="n">
        <x:v>1685</x:v>
      </x:c>
      <x:c r="F801" s="68" t="n">
        <x:v>39.7</x:v>
      </x:c>
      <x:c r="G801" s="69" t="n">
        <x:f>IF(COUNT(E801:F801)=2,E801*F801,"")</x:f>
        <x:v>66894.5</x:v>
      </x:c>
    </x:row>
    <x:row r="802">
      <x:c r="A802" s="66" t="n">
        <x:v>8</x:v>
      </x:c>
      <x:c r="B802" s="44" t="str">
        <x:v>Canola/Rapeseed</x:v>
      </x:c>
      <x:c r="C802" s="44" t="str">
        <x:v>P515G</x:v>
      </x:c>
      <x:c r="D802" s="66" t="n">
        <x:v>2021</x:v>
      </x:c>
      <x:c r="E802" s="67"/>
      <x:c r="F802" s="68"/>
      <x:c r="G802" s="69" t="str">
        <x:f>IF(COUNT(E802:F802)=2,E802*F802,"")</x:f>
      </x:c>
    </x:row>
    <x:row r="803">
      <x:c r="A803" s="66" t="n">
        <x:v>8</x:v>
      </x:c>
      <x:c r="B803" s="44" t="str">
        <x:v>Canola/Rapeseed</x:v>
      </x:c>
      <x:c r="C803" s="44" t="str">
        <x:v>P515G</x:v>
      </x:c>
      <x:c r="D803" s="66" t="n">
        <x:v>2022</x:v>
      </x:c>
      <x:c r="E803" s="67"/>
      <x:c r="F803" s="68"/>
      <x:c r="G803" s="69" t="str">
        <x:f>IF(COUNT(E803:F803)=2,E803*F803,"")</x:f>
      </x:c>
    </x:row>
    <x:row r="804">
      <x:c r="A804" s="66" t="n">
        <x:v>8</x:v>
      </x:c>
      <x:c r="B804" s="44" t="str">
        <x:v>Canola/Rapeseed</x:v>
      </x:c>
      <x:c r="C804" s="44" t="str">
        <x:v>P515G</x:v>
      </x:c>
      <x:c r="D804" s="66" t="n">
        <x:v>2023</x:v>
      </x:c>
      <x:c r="E804" s="67"/>
      <x:c r="F804" s="68"/>
      <x:c r="G804" s="69" t="str">
        <x:f>IF(COUNT(E804:F804)=2,E804*F804,"")</x:f>
      </x:c>
    </x:row>
    <x:row r="805">
      <x:c r="A805" s="66" t="n">
        <x:v>8</x:v>
      </x:c>
      <x:c r="B805" s="44" t="str">
        <x:v>Canola/Rapeseed</x:v>
      </x:c>
      <x:c r="C805" s="44" t="str">
        <x:v>P515G</x:v>
      </x:c>
      <x:c r="D805" s="66" t="n">
        <x:v>2024</x:v>
      </x:c>
      <x:c r="E805" s="67" t="n">
        <x:v>4473</x:v>
      </x:c>
      <x:c r="F805" s="68" t="n">
        <x:v>29.9</x:v>
      </x:c>
      <x:c r="G805" s="69" t="n">
        <x:f>IF(COUNT(E805:F805)=2,E805*F805,"")</x:f>
        <x:v>133742.69999999998</x:v>
      </x:c>
    </x:row>
    <x:row r="806">
      <x:c r="A806" s="66" t="n">
        <x:v>8</x:v>
      </x:c>
      <x:c r="B806" s="44" t="str">
        <x:v>Canola/Rapeseed</x:v>
      </x:c>
      <x:c r="C806" s="44" t="str">
        <x:v>P515G</x:v>
      </x:c>
      <x:c r="D806" s="66" t="n">
        <x:v>2025</x:v>
      </x:c>
      <x:c r="E806" s="67" t="n">
        <x:v>2249</x:v>
      </x:c>
      <x:c r="F806" s="68" t="n">
        <x:v>46.5</x:v>
      </x:c>
      <x:c r="G806" s="69" t="n">
        <x:f>IF(COUNT(E806:F806)=2,E806*F806,"")</x:f>
        <x:v>104578.5</x:v>
      </x:c>
    </x:row>
    <x:row r="807">
      <x:c r="A807" s="66" t="n">
        <x:v>8</x:v>
      </x:c>
      <x:c r="B807" s="44" t="str">
        <x:v>Canola/Rapeseed</x:v>
      </x:c>
      <x:c r="C807" s="44" t="str">
        <x:v>P520L</x:v>
      </x:c>
      <x:c r="D807" s="66" t="n">
        <x:v>2021</x:v>
      </x:c>
      <x:c r="E807" s="67"/>
      <x:c r="F807" s="68"/>
      <x:c r="G807" s="69" t="str">
        <x:f>IF(COUNT(E807:F807)=2,E807*F807,"")</x:f>
      </x:c>
    </x:row>
    <x:row r="808">
      <x:c r="A808" s="66" t="n">
        <x:v>8</x:v>
      </x:c>
      <x:c r="B808" s="44" t="str">
        <x:v>Canola/Rapeseed</x:v>
      </x:c>
      <x:c r="C808" s="44" t="str">
        <x:v>P520L</x:v>
      </x:c>
      <x:c r="D808" s="66" t="n">
        <x:v>2022</x:v>
      </x:c>
      <x:c r="E808" s="67"/>
      <x:c r="F808" s="68"/>
      <x:c r="G808" s="69" t="str">
        <x:f>IF(COUNT(E808:F808)=2,E808*F808,"")</x:f>
      </x:c>
    </x:row>
    <x:row r="809">
      <x:c r="A809" s="66" t="n">
        <x:v>8</x:v>
      </x:c>
      <x:c r="B809" s="44" t="str">
        <x:v>Canola/Rapeseed</x:v>
      </x:c>
      <x:c r="C809" s="44" t="str">
        <x:v>P520L</x:v>
      </x:c>
      <x:c r="D809" s="66" t="n">
        <x:v>2023</x:v>
      </x:c>
      <x:c r="E809" s="67"/>
      <x:c r="F809" s="68"/>
      <x:c r="G809" s="69" t="str">
        <x:f>IF(COUNT(E809:F809)=2,E809*F809,"")</x:f>
      </x:c>
    </x:row>
    <x:row r="810">
      <x:c r="A810" s="66" t="n">
        <x:v>8</x:v>
      </x:c>
      <x:c r="B810" s="44" t="str">
        <x:v>Canola/Rapeseed</x:v>
      </x:c>
      <x:c r="C810" s="44" t="str">
        <x:v>P520L</x:v>
      </x:c>
      <x:c r="D810" s="66" t="n">
        <x:v>2024</x:v>
      </x:c>
      <x:c r="E810" s="67"/>
      <x:c r="F810" s="68"/>
      <x:c r="G810" s="69" t="str">
        <x:f>IF(COUNT(E810:F810)=2,E810*F810,"")</x:f>
      </x:c>
    </x:row>
    <x:row r="811">
      <x:c r="A811" s="66" t="n">
        <x:v>8</x:v>
      </x:c>
      <x:c r="B811" s="44" t="str">
        <x:v>Canola/Rapeseed</x:v>
      </x:c>
      <x:c r="C811" s="44" t="str">
        <x:v>P520L</x:v>
      </x:c>
      <x:c r="D811" s="66" t="n">
        <x:v>2025</x:v>
      </x:c>
      <x:c r="E811" s="67" t="n">
        <x:v>5776</x:v>
      </x:c>
      <x:c r="F811" s="68" t="n">
        <x:v>42.9</x:v>
      </x:c>
      <x:c r="G811" s="69" t="n">
        <x:f>IF(COUNT(E811:F811)=2,E811*F811,"")</x:f>
        <x:v>247790.4</x:v>
      </x:c>
    </x:row>
    <x:row r="812">
      <x:c r="A812" s="66" t="n">
        <x:v>8</x:v>
      </x:c>
      <x:c r="B812" s="44" t="str">
        <x:v>Canola/Rapeseed</x:v>
      </x:c>
      <x:c r="C812" s="44" t="str">
        <x:v>P617SL</x:v>
      </x:c>
      <x:c r="D812" s="66" t="n">
        <x:v>2021</x:v>
      </x:c>
      <x:c r="E812" s="67"/>
      <x:c r="F812" s="68"/>
      <x:c r="G812" s="69" t="str">
        <x:f>IF(COUNT(E812:F812)=2,E812*F812,"")</x:f>
      </x:c>
    </x:row>
    <x:row r="813">
      <x:c r="A813" s="66" t="n">
        <x:v>8</x:v>
      </x:c>
      <x:c r="B813" s="44" t="str">
        <x:v>Canola/Rapeseed</x:v>
      </x:c>
      <x:c r="C813" s="44" t="str">
        <x:v>P617SL</x:v>
      </x:c>
      <x:c r="D813" s="66" t="n">
        <x:v>2022</x:v>
      </x:c>
      <x:c r="E813" s="67"/>
      <x:c r="F813" s="68"/>
      <x:c r="G813" s="69" t="str">
        <x:f>IF(COUNT(E813:F813)=2,E813*F813,"")</x:f>
      </x:c>
    </x:row>
    <x:row r="814">
      <x:c r="A814" s="66" t="n">
        <x:v>8</x:v>
      </x:c>
      <x:c r="B814" s="44" t="str">
        <x:v>Canola/Rapeseed</x:v>
      </x:c>
      <x:c r="C814" s="44" t="str">
        <x:v>P617SL</x:v>
      </x:c>
      <x:c r="D814" s="66" t="n">
        <x:v>2023</x:v>
      </x:c>
      <x:c r="E814" s="67"/>
      <x:c r="F814" s="68"/>
      <x:c r="G814" s="69" t="str">
        <x:f>IF(COUNT(E814:F814)=2,E814*F814,"")</x:f>
      </x:c>
    </x:row>
    <x:row r="815">
      <x:c r="A815" s="66" t="n">
        <x:v>8</x:v>
      </x:c>
      <x:c r="B815" s="44" t="str">
        <x:v>Canola/Rapeseed</x:v>
      </x:c>
      <x:c r="C815" s="44" t="str">
        <x:v>P617SL</x:v>
      </x:c>
      <x:c r="D815" s="66" t="n">
        <x:v>2024</x:v>
      </x:c>
      <x:c r="E815" s="67"/>
      <x:c r="F815" s="68"/>
      <x:c r="G815" s="69" t="str">
        <x:f>IF(COUNT(E815:F815)=2,E815*F815,"")</x:f>
      </x:c>
    </x:row>
    <x:row r="816">
      <x:c r="A816" s="66" t="n">
        <x:v>8</x:v>
      </x:c>
      <x:c r="B816" s="44" t="str">
        <x:v>Canola/Rapeseed</x:v>
      </x:c>
      <x:c r="C816" s="44" t="str">
        <x:v>P617SL</x:v>
      </x:c>
      <x:c r="D816" s="66" t="n">
        <x:v>2025</x:v>
      </x:c>
      <x:c r="E816" s="67" t="n">
        <x:v>602</x:v>
      </x:c>
      <x:c r="F816" s="68" t="n">
        <x:v>39.6</x:v>
      </x:c>
      <x:c r="G816" s="69" t="n">
        <x:f>IF(COUNT(E816:F816)=2,E816*F816,"")</x:f>
        <x:v>23839.2</x:v>
      </x:c>
    </x:row>
    <x:row r="817">
      <x:c r="A817" s="66" t="n">
        <x:v>9</x:v>
      </x:c>
      <x:c r="B817" s="44" t="str">
        <x:v>Canola/Rapeseed</x:v>
      </x:c>
      <x:c r="C817" s="44" t="str">
        <x:v>BY 7204LL</x:v>
      </x:c>
      <x:c r="D817" s="66" t="n">
        <x:v>2021</x:v>
      </x:c>
      <x:c r="E817" s="67"/>
      <x:c r="F817" s="68"/>
      <x:c r="G817" s="69" t="str">
        <x:f>IF(COUNT(E817:F817)=2,E817*F817,"")</x:f>
      </x:c>
    </x:row>
    <x:row r="818">
      <x:c r="A818" s="66" t="n">
        <x:v>9</x:v>
      </x:c>
      <x:c r="B818" s="44" t="str">
        <x:v>Canola/Rapeseed</x:v>
      </x:c>
      <x:c r="C818" s="44" t="str">
        <x:v>BY 7204LL</x:v>
      </x:c>
      <x:c r="D818" s="66" t="n">
        <x:v>2022</x:v>
      </x:c>
      <x:c r="E818" s="67"/>
      <x:c r="F818" s="68"/>
      <x:c r="G818" s="69" t="str">
        <x:f>IF(COUNT(E818:F818)=2,E818*F818,"")</x:f>
      </x:c>
    </x:row>
    <x:row r="819">
      <x:c r="A819" s="66" t="n">
        <x:v>9</x:v>
      </x:c>
      <x:c r="B819" s="44" t="str">
        <x:v>Canola/Rapeseed</x:v>
      </x:c>
      <x:c r="C819" s="44" t="str">
        <x:v>BY 7204LL</x:v>
      </x:c>
      <x:c r="D819" s="66" t="n">
        <x:v>2023</x:v>
      </x:c>
      <x:c r="E819" s="67"/>
      <x:c r="F819" s="68"/>
      <x:c r="G819" s="69" t="str">
        <x:f>IF(COUNT(E819:F819)=2,E819*F819,"")</x:f>
      </x:c>
    </x:row>
    <x:row r="820">
      <x:c r="A820" s="66" t="n">
        <x:v>9</x:v>
      </x:c>
      <x:c r="B820" s="44" t="str">
        <x:v>Canola/Rapeseed</x:v>
      </x:c>
      <x:c r="C820" s="44" t="str">
        <x:v>BY 7204LL</x:v>
      </x:c>
      <x:c r="D820" s="66" t="n">
        <x:v>2024</x:v>
      </x:c>
      <x:c r="E820" s="67" t="n">
        <x:v>2889</x:v>
      </x:c>
      <x:c r="F820" s="68" t="n">
        <x:v>29.7</x:v>
      </x:c>
      <x:c r="G820" s="69" t="n">
        <x:f>IF(COUNT(E820:F820)=2,E820*F820,"")</x:f>
        <x:v>85803.3</x:v>
      </x:c>
    </x:row>
    <x:row r="821">
      <x:c r="A821" s="66" t="n">
        <x:v>9</x:v>
      </x:c>
      <x:c r="B821" s="44" t="str">
        <x:v>Canola/Rapeseed</x:v>
      </x:c>
      <x:c r="C821" s="44" t="str">
        <x:v>BY 7204LL</x:v>
      </x:c>
      <x:c r="D821" s="66" t="n">
        <x:v>2025</x:v>
      </x:c>
      <x:c r="E821" s="67" t="n">
        <x:v>434</x:v>
      </x:c>
      <x:c r="F821" s="68" t="n">
        <x:v>41.5</x:v>
      </x:c>
      <x:c r="G821" s="69" t="n">
        <x:f>IF(COUNT(E821:F821)=2,E821*F821,"")</x:f>
        <x:v>18011</x:v>
      </x:c>
    </x:row>
    <x:row r="822">
      <x:c r="A822" s="66" t="n">
        <x:v>9</x:v>
      </x:c>
      <x:c r="B822" s="44" t="str">
        <x:v>Canola/Rapeseed</x:v>
      </x:c>
      <x:c r="C822" s="44" t="str">
        <x:v>B3020</x:v>
      </x:c>
      <x:c r="D822" s="66" t="n">
        <x:v>2021</x:v>
      </x:c>
      <x:c r="E822" s="67"/>
      <x:c r="F822" s="68"/>
      <x:c r="G822" s="69" t="str">
        <x:f>IF(COUNT(E822:F822)=2,E822*F822,"")</x:f>
      </x:c>
    </x:row>
    <x:row r="823">
      <x:c r="A823" s="66" t="n">
        <x:v>9</x:v>
      </x:c>
      <x:c r="B823" s="44" t="str">
        <x:v>Canola/Rapeseed</x:v>
      </x:c>
      <x:c r="C823" s="44" t="str">
        <x:v>B3020</x:v>
      </x:c>
      <x:c r="D823" s="66" t="n">
        <x:v>2022</x:v>
      </x:c>
      <x:c r="E823" s="67"/>
      <x:c r="F823" s="68"/>
      <x:c r="G823" s="69" t="str">
        <x:f>IF(COUNT(E823:F823)=2,E823*F823,"")</x:f>
      </x:c>
    </x:row>
    <x:row r="824">
      <x:c r="A824" s="66" t="n">
        <x:v>9</x:v>
      </x:c>
      <x:c r="B824" s="44" t="str">
        <x:v>Canola/Rapeseed</x:v>
      </x:c>
      <x:c r="C824" s="44" t="str">
        <x:v>B3020</x:v>
      </x:c>
      <x:c r="D824" s="66" t="n">
        <x:v>2023</x:v>
      </x:c>
      <x:c r="E824" s="67"/>
      <x:c r="F824" s="68"/>
      <x:c r="G824" s="69" t="str">
        <x:f>IF(COUNT(E824:F824)=2,E824*F824,"")</x:f>
      </x:c>
    </x:row>
    <x:row r="825">
      <x:c r="A825" s="66" t="n">
        <x:v>9</x:v>
      </x:c>
      <x:c r="B825" s="44" t="str">
        <x:v>Canola/Rapeseed</x:v>
      </x:c>
      <x:c r="C825" s="44" t="str">
        <x:v>B3020</x:v>
      </x:c>
      <x:c r="D825" s="66" t="n">
        <x:v>2024</x:v>
      </x:c>
      <x:c r="E825" s="67"/>
      <x:c r="F825" s="68"/>
      <x:c r="G825" s="69" t="str">
        <x:f>IF(COUNT(E825:F825)=2,E825*F825,"")</x:f>
      </x:c>
    </x:row>
    <x:row r="826">
      <x:c r="A826" s="66" t="n">
        <x:v>9</x:v>
      </x:c>
      <x:c r="B826" s="44" t="str">
        <x:v>Canola/Rapeseed</x:v>
      </x:c>
      <x:c r="C826" s="44" t="str">
        <x:v>B3020</x:v>
      </x:c>
      <x:c r="D826" s="66" t="n">
        <x:v>2025</x:v>
      </x:c>
      <x:c r="E826" s="67" t="n">
        <x:v>1603</x:v>
      </x:c>
      <x:c r="F826" s="68" t="n">
        <x:v>37</x:v>
      </x:c>
      <x:c r="G826" s="69" t="n">
        <x:f>IF(COUNT(E826:F826)=2,E826*F826,"")</x:f>
        <x:v>59311</x:v>
      </x:c>
    </x:row>
    <x:row r="827">
      <x:c r="A827" s="66" t="n">
        <x:v>9</x:v>
      </x:c>
      <x:c r="B827" s="44" t="str">
        <x:v>Canola/Rapeseed</x:v>
      </x:c>
      <x:c r="C827" s="44" t="str">
        <x:v>DK 801 LL</x:v>
      </x:c>
      <x:c r="D827" s="66" t="n">
        <x:v>2021</x:v>
      </x:c>
      <x:c r="E827" s="67"/>
      <x:c r="F827" s="68"/>
      <x:c r="G827" s="69" t="str">
        <x:f>IF(COUNT(E827:F827)=2,E827*F827,"")</x:f>
      </x:c>
    </x:row>
    <x:row r="828">
      <x:c r="A828" s="66" t="n">
        <x:v>9</x:v>
      </x:c>
      <x:c r="B828" s="44" t="str">
        <x:v>Canola/Rapeseed</x:v>
      </x:c>
      <x:c r="C828" s="44" t="str">
        <x:v>DK 801 LL</x:v>
      </x:c>
      <x:c r="D828" s="66" t="n">
        <x:v>2022</x:v>
      </x:c>
      <x:c r="E828" s="67"/>
      <x:c r="F828" s="68"/>
      <x:c r="G828" s="69" t="str">
        <x:f>IF(COUNT(E828:F828)=2,E828*F828,"")</x:f>
      </x:c>
    </x:row>
    <x:row r="829">
      <x:c r="A829" s="66" t="n">
        <x:v>9</x:v>
      </x:c>
      <x:c r="B829" s="44" t="str">
        <x:v>Canola/Rapeseed</x:v>
      </x:c>
      <x:c r="C829" s="44" t="str">
        <x:v>DK 801 LL</x:v>
      </x:c>
      <x:c r="D829" s="66" t="n">
        <x:v>2023</x:v>
      </x:c>
      <x:c r="E829" s="67"/>
      <x:c r="F829" s="68"/>
      <x:c r="G829" s="69" t="str">
        <x:f>IF(COUNT(E829:F829)=2,E829*F829,"")</x:f>
      </x:c>
    </x:row>
    <x:row r="830">
      <x:c r="A830" s="66" t="n">
        <x:v>9</x:v>
      </x:c>
      <x:c r="B830" s="44" t="str">
        <x:v>Canola/Rapeseed</x:v>
      </x:c>
      <x:c r="C830" s="44" t="str">
        <x:v>DK 801 LL</x:v>
      </x:c>
      <x:c r="D830" s="66" t="n">
        <x:v>2024</x:v>
      </x:c>
      <x:c r="E830" s="67" t="n">
        <x:v>885</x:v>
      </x:c>
      <x:c r="F830" s="68" t="n">
        <x:v>7.1</x:v>
      </x:c>
      <x:c r="G830" s="69" t="n">
        <x:f>IF(COUNT(E830:F830)=2,E830*F830,"")</x:f>
        <x:v>6283.5</x:v>
      </x:c>
    </x:row>
    <x:row r="831">
      <x:c r="A831" s="66" t="n">
        <x:v>9</x:v>
      </x:c>
      <x:c r="B831" s="44" t="str">
        <x:v>Canola/Rapeseed</x:v>
      </x:c>
      <x:c r="C831" s="44" t="str">
        <x:v>DK 801 LL</x:v>
      </x:c>
      <x:c r="D831" s="66" t="n">
        <x:v>2025</x:v>
      </x:c>
      <x:c r="E831" s="67" t="n">
        <x:v>15712</x:v>
      </x:c>
      <x:c r="F831" s="68" t="n">
        <x:v>26.9</x:v>
      </x:c>
      <x:c r="G831" s="69" t="n">
        <x:f>IF(COUNT(E831:F831)=2,E831*F831,"")</x:f>
        <x:v>422652.8</x:v>
      </x:c>
    </x:row>
    <x:row r="832">
      <x:c r="A832" s="66" t="n">
        <x:v>9</x:v>
      </x:c>
      <x:c r="B832" s="44" t="str">
        <x:v>Canola/Rapeseed</x:v>
      </x:c>
      <x:c r="C832" s="44" t="str">
        <x:v>DKTFLL 21 SC</x:v>
      </x:c>
      <x:c r="D832" s="66" t="n">
        <x:v>2021</x:v>
      </x:c>
      <x:c r="E832" s="67" t="n">
        <x:v>956</x:v>
      </x:c>
      <x:c r="F832" s="68" t="n">
        <x:v>12.5</x:v>
      </x:c>
      <x:c r="G832" s="69" t="n">
        <x:f>IF(COUNT(E832:F832)=2,E832*F832,"")</x:f>
        <x:v>11950</x:v>
      </x:c>
    </x:row>
    <x:row r="833">
      <x:c r="A833" s="66" t="n">
        <x:v>9</x:v>
      </x:c>
      <x:c r="B833" s="44" t="str">
        <x:v>Canola/Rapeseed</x:v>
      </x:c>
      <x:c r="C833" s="44" t="str">
        <x:v>DKTFLL 21 SC</x:v>
      </x:c>
      <x:c r="D833" s="66" t="n">
        <x:v>2022</x:v>
      </x:c>
      <x:c r="E833" s="67" t="n">
        <x:v>1064</x:v>
      </x:c>
      <x:c r="F833" s="68" t="n">
        <x:v>32.2</x:v>
      </x:c>
      <x:c r="G833" s="69" t="n">
        <x:f>IF(COUNT(E833:F833)=2,E833*F833,"")</x:f>
        <x:v>34260.8</x:v>
      </x:c>
    </x:row>
    <x:row r="834">
      <x:c r="A834" s="66" t="n">
        <x:v>9</x:v>
      </x:c>
      <x:c r="B834" s="44" t="str">
        <x:v>Canola/Rapeseed</x:v>
      </x:c>
      <x:c r="C834" s="44" t="str">
        <x:v>DKTFLL 21 SC</x:v>
      </x:c>
      <x:c r="D834" s="66" t="n">
        <x:v>2023</x:v>
      </x:c>
      <x:c r="E834" s="67" t="n">
        <x:v>870</x:v>
      </x:c>
      <x:c r="F834" s="68" t="n">
        <x:v>24.2</x:v>
      </x:c>
      <x:c r="G834" s="69" t="n">
        <x:f>IF(COUNT(E834:F834)=2,E834*F834,"")</x:f>
        <x:v>21054</x:v>
      </x:c>
    </x:row>
    <x:row r="835">
      <x:c r="A835" s="66" t="n">
        <x:v>9</x:v>
      </x:c>
      <x:c r="B835" s="44" t="str">
        <x:v>Canola/Rapeseed</x:v>
      </x:c>
      <x:c r="C835" s="44" t="str">
        <x:v>DKTFLL 21 SC</x:v>
      </x:c>
      <x:c r="D835" s="66" t="n">
        <x:v>2024</x:v>
      </x:c>
      <x:c r="E835" s="67" t="n">
        <x:v>2471</x:v>
      </x:c>
      <x:c r="F835" s="68" t="n">
        <x:v>19.8</x:v>
      </x:c>
      <x:c r="G835" s="69" t="n">
        <x:f>IF(COUNT(E835:F835)=2,E835*F835,"")</x:f>
        <x:v>48925.8</x:v>
      </x:c>
    </x:row>
    <x:row r="836">
      <x:c r="A836" s="66" t="n">
        <x:v>9</x:v>
      </x:c>
      <x:c r="B836" s="44" t="str">
        <x:v>Canola/Rapeseed</x:v>
      </x:c>
      <x:c r="C836" s="44" t="str">
        <x:v>DKTFLL 21 SC</x:v>
      </x:c>
      <x:c r="D836" s="66" t="n">
        <x:v>2025</x:v>
      </x:c>
      <x:c r="E836" s="67" t="n">
        <x:v>938</x:v>
      </x:c>
      <x:c r="F836" s="68" t="n">
        <x:v>45.8</x:v>
      </x:c>
      <x:c r="G836" s="69" t="n">
        <x:f>IF(COUNT(E836:F836)=2,E836*F836,"")</x:f>
        <x:v>42960.399999999994</x:v>
      </x:c>
    </x:row>
    <x:row r="837">
      <x:c r="A837" s="66" t="n">
        <x:v>9</x:v>
      </x:c>
      <x:c r="B837" s="44" t="str">
        <x:v>Canola/Rapeseed</x:v>
      </x:c>
      <x:c r="C837" s="44" t="str">
        <x:v>DK400TL</x:v>
      </x:c>
      <x:c r="D837" s="66" t="n">
        <x:v>2021</x:v>
      </x:c>
      <x:c r="E837" s="67"/>
      <x:c r="F837" s="68"/>
      <x:c r="G837" s="69" t="str">
        <x:f>IF(COUNT(E837:F837)=2,E837*F837,"")</x:f>
      </x:c>
    </x:row>
    <x:row r="838">
      <x:c r="A838" s="66" t="n">
        <x:v>9</x:v>
      </x:c>
      <x:c r="B838" s="44" t="str">
        <x:v>Canola/Rapeseed</x:v>
      </x:c>
      <x:c r="C838" s="44" t="str">
        <x:v>DK400TL</x:v>
      </x:c>
      <x:c r="D838" s="66" t="n">
        <x:v>2022</x:v>
      </x:c>
      <x:c r="E838" s="67"/>
      <x:c r="F838" s="68"/>
      <x:c r="G838" s="69" t="str">
        <x:f>IF(COUNT(E838:F838)=2,E838*F838,"")</x:f>
      </x:c>
    </x:row>
    <x:row r="839">
      <x:c r="A839" s="66" t="n">
        <x:v>9</x:v>
      </x:c>
      <x:c r="B839" s="44" t="str">
        <x:v>Canola/Rapeseed</x:v>
      </x:c>
      <x:c r="C839" s="44" t="str">
        <x:v>DK400TL</x:v>
      </x:c>
      <x:c r="D839" s="66" t="n">
        <x:v>2023</x:v>
      </x:c>
      <x:c r="E839" s="67"/>
      <x:c r="F839" s="68"/>
      <x:c r="G839" s="69" t="str">
        <x:f>IF(COUNT(E839:F839)=2,E839*F839,"")</x:f>
      </x:c>
    </x:row>
    <x:row r="840">
      <x:c r="A840" s="66" t="n">
        <x:v>9</x:v>
      </x:c>
      <x:c r="B840" s="44" t="str">
        <x:v>Canola/Rapeseed</x:v>
      </x:c>
      <x:c r="C840" s="44" t="str">
        <x:v>DK400TL</x:v>
      </x:c>
      <x:c r="D840" s="66" t="n">
        <x:v>2024</x:v>
      </x:c>
      <x:c r="E840" s="67" t="n">
        <x:v>4107</x:v>
      </x:c>
      <x:c r="F840" s="68" t="n">
        <x:v>24.8</x:v>
      </x:c>
      <x:c r="G840" s="69" t="n">
        <x:f>IF(COUNT(E840:F840)=2,E840*F840,"")</x:f>
        <x:v>101853.6</x:v>
      </x:c>
    </x:row>
    <x:row r="841">
      <x:c r="A841" s="66" t="n">
        <x:v>9</x:v>
      </x:c>
      <x:c r="B841" s="44" t="str">
        <x:v>Canola/Rapeseed</x:v>
      </x:c>
      <x:c r="C841" s="44" t="str">
        <x:v>DK400TL</x:v>
      </x:c>
      <x:c r="D841" s="66" t="n">
        <x:v>2025</x:v>
      </x:c>
      <x:c r="E841" s="67" t="n">
        <x:v>428</x:v>
      </x:c>
      <x:c r="F841" s="68" t="n">
        <x:v>39</x:v>
      </x:c>
      <x:c r="G841" s="69" t="n">
        <x:f>IF(COUNT(E841:F841)=2,E841*F841,"")</x:f>
        <x:v>16692</x:v>
      </x:c>
    </x:row>
    <x:row r="842">
      <x:c r="A842" s="66" t="n">
        <x:v>9</x:v>
      </x:c>
      <x:c r="B842" s="44" t="str">
        <x:v>Canola/Rapeseed</x:v>
      </x:c>
      <x:c r="C842" s="44" t="str">
        <x:v>DK800LL</x:v>
      </x:c>
      <x:c r="D842" s="66" t="n">
        <x:v>2021</x:v>
      </x:c>
      <x:c r="E842" s="67"/>
      <x:c r="F842" s="68"/>
      <x:c r="G842" s="69" t="str">
        <x:f>IF(COUNT(E842:F842)=2,E842*F842,"")</x:f>
      </x:c>
    </x:row>
    <x:row r="843">
      <x:c r="A843" s="66" t="n">
        <x:v>9</x:v>
      </x:c>
      <x:c r="B843" s="44" t="str">
        <x:v>Canola/Rapeseed</x:v>
      </x:c>
      <x:c r="C843" s="44" t="str">
        <x:v>DK800LL</x:v>
      </x:c>
      <x:c r="D843" s="66" t="n">
        <x:v>2022</x:v>
      </x:c>
      <x:c r="E843" s="67"/>
      <x:c r="F843" s="68"/>
      <x:c r="G843" s="69" t="str">
        <x:f>IF(COUNT(E843:F843)=2,E843*F843,"")</x:f>
      </x:c>
    </x:row>
    <x:row r="844">
      <x:c r="A844" s="66" t="n">
        <x:v>9</x:v>
      </x:c>
      <x:c r="B844" s="44" t="str">
        <x:v>Canola/Rapeseed</x:v>
      </x:c>
      <x:c r="C844" s="44" t="str">
        <x:v>DK800LL</x:v>
      </x:c>
      <x:c r="D844" s="66" t="n">
        <x:v>2023</x:v>
      </x:c>
      <x:c r="E844" s="67"/>
      <x:c r="F844" s="68"/>
      <x:c r="G844" s="69" t="str">
        <x:f>IF(COUNT(E844:F844)=2,E844*F844,"")</x:f>
      </x:c>
    </x:row>
    <x:row r="845">
      <x:c r="A845" s="66" t="n">
        <x:v>9</x:v>
      </x:c>
      <x:c r="B845" s="44" t="str">
        <x:v>Canola/Rapeseed</x:v>
      </x:c>
      <x:c r="C845" s="44" t="str">
        <x:v>DK800LL</x:v>
      </x:c>
      <x:c r="D845" s="66" t="n">
        <x:v>2024</x:v>
      </x:c>
      <x:c r="E845" s="67" t="n">
        <x:v>1921</x:v>
      </x:c>
      <x:c r="F845" s="68" t="n">
        <x:v>25.9</x:v>
      </x:c>
      <x:c r="G845" s="69" t="n">
        <x:f>IF(COUNT(E845:F845)=2,E845*F845,"")</x:f>
        <x:v>49753.899999999994</x:v>
      </x:c>
    </x:row>
    <x:row r="846">
      <x:c r="A846" s="66" t="n">
        <x:v>9</x:v>
      </x:c>
      <x:c r="B846" s="44" t="str">
        <x:v>Canola/Rapeseed</x:v>
      </x:c>
      <x:c r="C846" s="44" t="str">
        <x:v>DK800LL</x:v>
      </x:c>
      <x:c r="D846" s="66" t="n">
        <x:v>2025</x:v>
      </x:c>
      <x:c r="E846" s="67" t="n">
        <x:v>936</x:v>
      </x:c>
      <x:c r="F846" s="68" t="n">
        <x:v>33.6</x:v>
      </x:c>
      <x:c r="G846" s="69" t="n">
        <x:f>IF(COUNT(E846:F846)=2,E846*F846,"")</x:f>
        <x:v>31449.600000000002</x:v>
      </x:c>
    </x:row>
    <x:row r="847">
      <x:c r="A847" s="66" t="n">
        <x:v>9</x:v>
      </x:c>
      <x:c r="B847" s="44" t="str">
        <x:v>Canola/Rapeseed</x:v>
      </x:c>
      <x:c r="C847" s="44" t="str">
        <x:v>L233P</x:v>
      </x:c>
      <x:c r="D847" s="66" t="n">
        <x:v>2021</x:v>
      </x:c>
      <x:c r="E847" s="67" t="n">
        <x:v>87321</x:v>
      </x:c>
      <x:c r="F847" s="68" t="n">
        <x:v>14.5</x:v>
      </x:c>
      <x:c r="G847" s="69" t="n">
        <x:f>IF(COUNT(E847:F847)=2,E847*F847,"")</x:f>
        <x:v>1266154.5</x:v>
      </x:c>
    </x:row>
    <x:row r="848">
      <x:c r="A848" s="66" t="n">
        <x:v>9</x:v>
      </x:c>
      <x:c r="B848" s="44" t="str">
        <x:v>Canola/Rapeseed</x:v>
      </x:c>
      <x:c r="C848" s="44" t="str">
        <x:v>L233P</x:v>
      </x:c>
      <x:c r="D848" s="66" t="n">
        <x:v>2022</x:v>
      </x:c>
      <x:c r="E848" s="67" t="n">
        <x:v>62767</x:v>
      </x:c>
      <x:c r="F848" s="68" t="n">
        <x:v>25.8</x:v>
      </x:c>
      <x:c r="G848" s="69" t="n">
        <x:f>IF(COUNT(E848:F848)=2,E848*F848,"")</x:f>
        <x:v>1619388.6</x:v>
      </x:c>
    </x:row>
    <x:row r="849">
      <x:c r="A849" s="66" t="n">
        <x:v>9</x:v>
      </x:c>
      <x:c r="B849" s="44" t="str">
        <x:v>Canola/Rapeseed</x:v>
      </x:c>
      <x:c r="C849" s="44" t="str">
        <x:v>L233P</x:v>
      </x:c>
      <x:c r="D849" s="66" t="n">
        <x:v>2023</x:v>
      </x:c>
      <x:c r="E849" s="67" t="n">
        <x:v>60433</x:v>
      </x:c>
      <x:c r="F849" s="68" t="n">
        <x:v>21.3</x:v>
      </x:c>
      <x:c r="G849" s="69" t="n">
        <x:f>IF(COUNT(E849:F849)=2,E849*F849,"")</x:f>
        <x:v>1287222.9000000001</x:v>
      </x:c>
    </x:row>
    <x:row r="850">
      <x:c r="A850" s="66" t="n">
        <x:v>9</x:v>
      </x:c>
      <x:c r="B850" s="44" t="str">
        <x:v>Canola/Rapeseed</x:v>
      </x:c>
      <x:c r="C850" s="44" t="str">
        <x:v>L233P</x:v>
      </x:c>
      <x:c r="D850" s="66" t="n">
        <x:v>2024</x:v>
      </x:c>
      <x:c r="E850" s="67" t="n">
        <x:v>33176</x:v>
      </x:c>
      <x:c r="F850" s="68" t="n">
        <x:v>25.5</x:v>
      </x:c>
      <x:c r="G850" s="69" t="n">
        <x:f>IF(COUNT(E850:F850)=2,E850*F850,"")</x:f>
        <x:v>845988</x:v>
      </x:c>
    </x:row>
    <x:row r="851">
      <x:c r="A851" s="66" t="n">
        <x:v>9</x:v>
      </x:c>
      <x:c r="B851" s="44" t="str">
        <x:v>Canola/Rapeseed</x:v>
      </x:c>
      <x:c r="C851" s="44" t="str">
        <x:v>L233P</x:v>
      </x:c>
      <x:c r="D851" s="66" t="n">
        <x:v>2025</x:v>
      </x:c>
      <x:c r="E851" s="67" t="n">
        <x:v>15357</x:v>
      </x:c>
      <x:c r="F851" s="68" t="n">
        <x:v>40</x:v>
      </x:c>
      <x:c r="G851" s="69" t="n">
        <x:f>IF(COUNT(E851:F851)=2,E851*F851,"")</x:f>
        <x:v>614280</x:v>
      </x:c>
    </x:row>
    <x:row r="852">
      <x:c r="A852" s="66" t="n">
        <x:v>9</x:v>
      </x:c>
      <x:c r="B852" s="44" t="str">
        <x:v>Canola/Rapeseed</x:v>
      </x:c>
      <x:c r="C852" s="44" t="str">
        <x:v>L330PC</x:v>
      </x:c>
      <x:c r="D852" s="66" t="n">
        <x:v>2021</x:v>
      </x:c>
      <x:c r="E852" s="67"/>
      <x:c r="F852" s="68"/>
      <x:c r="G852" s="69" t="str">
        <x:f>IF(COUNT(E852:F852)=2,E852*F852,"")</x:f>
      </x:c>
    </x:row>
    <x:row r="853">
      <x:c r="A853" s="66" t="n">
        <x:v>9</x:v>
      </x:c>
      <x:c r="B853" s="44" t="str">
        <x:v>Canola/Rapeseed</x:v>
      </x:c>
      <x:c r="C853" s="44" t="str">
        <x:v>L330PC</x:v>
      </x:c>
      <x:c r="D853" s="66" t="n">
        <x:v>2022</x:v>
      </x:c>
      <x:c r="E853" s="67"/>
      <x:c r="F853" s="68"/>
      <x:c r="G853" s="69" t="str">
        <x:f>IF(COUNT(E853:F853)=2,E853*F853,"")</x:f>
      </x:c>
    </x:row>
    <x:row r="854">
      <x:c r="A854" s="66" t="n">
        <x:v>9</x:v>
      </x:c>
      <x:c r="B854" s="44" t="str">
        <x:v>Canola/Rapeseed</x:v>
      </x:c>
      <x:c r="C854" s="44" t="str">
        <x:v>L330PC</x:v>
      </x:c>
      <x:c r="D854" s="66" t="n">
        <x:v>2023</x:v>
      </x:c>
      <x:c r="E854" s="67"/>
      <x:c r="F854" s="68"/>
      <x:c r="G854" s="69" t="str">
        <x:f>IF(COUNT(E854:F854)=2,E854*F854,"")</x:f>
      </x:c>
    </x:row>
    <x:row r="855">
      <x:c r="A855" s="66" t="n">
        <x:v>9</x:v>
      </x:c>
      <x:c r="B855" s="44" t="str">
        <x:v>Canola/Rapeseed</x:v>
      </x:c>
      <x:c r="C855" s="44" t="str">
        <x:v>L330PC</x:v>
      </x:c>
      <x:c r="D855" s="66" t="n">
        <x:v>2024</x:v>
      </x:c>
      <x:c r="E855" s="67"/>
      <x:c r="F855" s="68"/>
      <x:c r="G855" s="69" t="str">
        <x:f>IF(COUNT(E855:F855)=2,E855*F855,"")</x:f>
      </x:c>
    </x:row>
    <x:row r="856">
      <x:c r="A856" s="66" t="n">
        <x:v>9</x:v>
      </x:c>
      <x:c r="B856" s="44" t="str">
        <x:v>Canola/Rapeseed</x:v>
      </x:c>
      <x:c r="C856" s="44" t="str">
        <x:v>L330PC</x:v>
      </x:c>
      <x:c r="D856" s="66" t="n">
        <x:v>2025</x:v>
      </x:c>
      <x:c r="E856" s="67" t="n">
        <x:v>7348</x:v>
      </x:c>
      <x:c r="F856" s="68" t="n">
        <x:v>40.5</x:v>
      </x:c>
      <x:c r="G856" s="69" t="n">
        <x:f>IF(COUNT(E856:F856)=2,E856*F856,"")</x:f>
        <x:v>297594</x:v>
      </x:c>
    </x:row>
    <x:row r="857">
      <x:c r="A857" s="66" t="n">
        <x:v>9</x:v>
      </x:c>
      <x:c r="B857" s="44" t="str">
        <x:v>Canola/Rapeseed</x:v>
      </x:c>
      <x:c r="C857" s="44" t="str">
        <x:v>L333PC</x:v>
      </x:c>
      <x:c r="D857" s="66" t="n">
        <x:v>2021</x:v>
      </x:c>
      <x:c r="E857" s="67"/>
      <x:c r="F857" s="68"/>
      <x:c r="G857" s="69" t="str">
        <x:f>IF(COUNT(E857:F857)=2,E857*F857,"")</x:f>
      </x:c>
    </x:row>
    <x:row r="858">
      <x:c r="A858" s="66" t="n">
        <x:v>9</x:v>
      </x:c>
      <x:c r="B858" s="44" t="str">
        <x:v>Canola/Rapeseed</x:v>
      </x:c>
      <x:c r="C858" s="44" t="str">
        <x:v>L333PC</x:v>
      </x:c>
      <x:c r="D858" s="66" t="n">
        <x:v>2022</x:v>
      </x:c>
      <x:c r="E858" s="67"/>
      <x:c r="F858" s="68"/>
      <x:c r="G858" s="69" t="str">
        <x:f>IF(COUNT(E858:F858)=2,E858*F858,"")</x:f>
      </x:c>
    </x:row>
    <x:row r="859">
      <x:c r="A859" s="66" t="n">
        <x:v>9</x:v>
      </x:c>
      <x:c r="B859" s="44" t="str">
        <x:v>Canola/Rapeseed</x:v>
      </x:c>
      <x:c r="C859" s="44" t="str">
        <x:v>L333PC</x:v>
      </x:c>
      <x:c r="D859" s="66" t="n">
        <x:v>2023</x:v>
      </x:c>
      <x:c r="E859" s="67"/>
      <x:c r="F859" s="68"/>
      <x:c r="G859" s="69" t="str">
        <x:f>IF(COUNT(E859:F859)=2,E859*F859,"")</x:f>
      </x:c>
    </x:row>
    <x:row r="860">
      <x:c r="A860" s="66" t="n">
        <x:v>9</x:v>
      </x:c>
      <x:c r="B860" s="44" t="str">
        <x:v>Canola/Rapeseed</x:v>
      </x:c>
      <x:c r="C860" s="44" t="str">
        <x:v>L333PC</x:v>
      </x:c>
      <x:c r="D860" s="66" t="n">
        <x:v>2024</x:v>
      </x:c>
      <x:c r="E860" s="67"/>
      <x:c r="F860" s="68"/>
      <x:c r="G860" s="69" t="str">
        <x:f>IF(COUNT(E860:F860)=2,E860*F860,"")</x:f>
      </x:c>
    </x:row>
    <x:row r="861">
      <x:c r="A861" s="66" t="n">
        <x:v>9</x:v>
      </x:c>
      <x:c r="B861" s="44" t="str">
        <x:v>Canola/Rapeseed</x:v>
      </x:c>
      <x:c r="C861" s="44" t="str">
        <x:v>L333PC</x:v>
      </x:c>
      <x:c r="D861" s="66" t="n">
        <x:v>2025</x:v>
      </x:c>
      <x:c r="E861" s="67" t="n">
        <x:v>2981</x:v>
      </x:c>
      <x:c r="F861" s="68" t="n">
        <x:v>34.6</x:v>
      </x:c>
      <x:c r="G861" s="69" t="n">
        <x:f>IF(COUNT(E861:F861)=2,E861*F861,"")</x:f>
        <x:v>103142.6</x:v>
      </x:c>
    </x:row>
    <x:row r="862">
      <x:c r="A862" s="66" t="n">
        <x:v>9</x:v>
      </x:c>
      <x:c r="B862" s="44" t="str">
        <x:v>Canola/Rapeseed</x:v>
      </x:c>
      <x:c r="C862" s="44" t="str">
        <x:v>L340PC</x:v>
      </x:c>
      <x:c r="D862" s="66" t="n">
        <x:v>2021</x:v>
      </x:c>
      <x:c r="E862" s="67" t="n">
        <x:v>5305</x:v>
      </x:c>
      <x:c r="F862" s="68" t="n">
        <x:v>12.7</x:v>
      </x:c>
      <x:c r="G862" s="69" t="n">
        <x:f>IF(COUNT(E862:F862)=2,E862*F862,"")</x:f>
        <x:v>67373.5</x:v>
      </x:c>
    </x:row>
    <x:row r="863">
      <x:c r="A863" s="66" t="n">
        <x:v>9</x:v>
      </x:c>
      <x:c r="B863" s="44" t="str">
        <x:v>Canola/Rapeseed</x:v>
      </x:c>
      <x:c r="C863" s="44" t="str">
        <x:v>L340PC</x:v>
      </x:c>
      <x:c r="D863" s="66" t="n">
        <x:v>2022</x:v>
      </x:c>
      <x:c r="E863" s="67" t="n">
        <x:v>36635</x:v>
      </x:c>
      <x:c r="F863" s="68" t="n">
        <x:v>27.7</x:v>
      </x:c>
      <x:c r="G863" s="69" t="n">
        <x:f>IF(COUNT(E863:F863)=2,E863*F863,"")</x:f>
        <x:v>1014789.5</x:v>
      </x:c>
    </x:row>
    <x:row r="864">
      <x:c r="A864" s="66" t="n">
        <x:v>9</x:v>
      </x:c>
      <x:c r="B864" s="44" t="str">
        <x:v>Canola/Rapeseed</x:v>
      </x:c>
      <x:c r="C864" s="44" t="str">
        <x:v>L340PC</x:v>
      </x:c>
      <x:c r="D864" s="66" t="n">
        <x:v>2023</x:v>
      </x:c>
      <x:c r="E864" s="67" t="n">
        <x:v>78373</x:v>
      </x:c>
      <x:c r="F864" s="68" t="n">
        <x:v>24.4</x:v>
      </x:c>
      <x:c r="G864" s="69" t="n">
        <x:f>IF(COUNT(E864:F864)=2,E864*F864,"")</x:f>
        <x:v>1912301.2</x:v>
      </x:c>
    </x:row>
    <x:row r="865">
      <x:c r="A865" s="66" t="n">
        <x:v>9</x:v>
      </x:c>
      <x:c r="B865" s="44" t="str">
        <x:v>Canola/Rapeseed</x:v>
      </x:c>
      <x:c r="C865" s="44" t="str">
        <x:v>L340PC</x:v>
      </x:c>
      <x:c r="D865" s="66" t="n">
        <x:v>2024</x:v>
      </x:c>
      <x:c r="E865" s="67" t="n">
        <x:v>62458</x:v>
      </x:c>
      <x:c r="F865" s="68" t="n">
        <x:v>25.7</x:v>
      </x:c>
      <x:c r="G865" s="69" t="n">
        <x:f>IF(COUNT(E865:F865)=2,E865*F865,"")</x:f>
        <x:v>1605170.5999999999</x:v>
      </x:c>
    </x:row>
    <x:row r="866">
      <x:c r="A866" s="66" t="n">
        <x:v>9</x:v>
      </x:c>
      <x:c r="B866" s="44" t="str">
        <x:v>Canola/Rapeseed</x:v>
      </x:c>
      <x:c r="C866" s="44" t="str">
        <x:v>L340PC</x:v>
      </x:c>
      <x:c r="D866" s="66" t="n">
        <x:v>2025</x:v>
      </x:c>
      <x:c r="E866" s="67" t="n">
        <x:v>59995</x:v>
      </x:c>
      <x:c r="F866" s="68" t="n">
        <x:v>41</x:v>
      </x:c>
      <x:c r="G866" s="69" t="n">
        <x:f>IF(COUNT(E866:F866)=2,E866*F866,"")</x:f>
        <x:v>2459795</x:v>
      </x:c>
    </x:row>
    <x:row r="867">
      <x:c r="A867" s="66" t="n">
        <x:v>9</x:v>
      </x:c>
      <x:c r="B867" s="44" t="str">
        <x:v>Canola/Rapeseed</x:v>
      </x:c>
      <x:c r="C867" s="44" t="str">
        <x:v>L343PC</x:v>
      </x:c>
      <x:c r="D867" s="66" t="n">
        <x:v>2021</x:v>
      </x:c>
      <x:c r="E867" s="67"/>
      <x:c r="F867" s="68"/>
      <x:c r="G867" s="69" t="str">
        <x:f>IF(COUNT(E867:F867)=2,E867*F867,"")</x:f>
      </x:c>
    </x:row>
    <x:row r="868">
      <x:c r="A868" s="66" t="n">
        <x:v>9</x:v>
      </x:c>
      <x:c r="B868" s="44" t="str">
        <x:v>Canola/Rapeseed</x:v>
      </x:c>
      <x:c r="C868" s="44" t="str">
        <x:v>L343PC</x:v>
      </x:c>
      <x:c r="D868" s="66" t="n">
        <x:v>2022</x:v>
      </x:c>
      <x:c r="E868" s="67" t="n">
        <x:v>643</x:v>
      </x:c>
      <x:c r="F868" s="68" t="n">
        <x:v>25.4</x:v>
      </x:c>
      <x:c r="G868" s="69" t="n">
        <x:f>IF(COUNT(E868:F868)=2,E868*F868,"")</x:f>
        <x:v>16332.199999999999</x:v>
      </x:c>
    </x:row>
    <x:row r="869">
      <x:c r="A869" s="66" t="n">
        <x:v>9</x:v>
      </x:c>
      <x:c r="B869" s="44" t="str">
        <x:v>Canola/Rapeseed</x:v>
      </x:c>
      <x:c r="C869" s="44" t="str">
        <x:v>L343PC</x:v>
      </x:c>
      <x:c r="D869" s="66" t="n">
        <x:v>2023</x:v>
      </x:c>
      <x:c r="E869" s="67" t="n">
        <x:v>2987</x:v>
      </x:c>
      <x:c r="F869" s="68" t="n">
        <x:v>12.2</x:v>
      </x:c>
      <x:c r="G869" s="69" t="n">
        <x:f>IF(COUNT(E869:F869)=2,E869*F869,"")</x:f>
        <x:v>36441.4</x:v>
      </x:c>
    </x:row>
    <x:row r="870">
      <x:c r="A870" s="66" t="n">
        <x:v>9</x:v>
      </x:c>
      <x:c r="B870" s="44" t="str">
        <x:v>Canola/Rapeseed</x:v>
      </x:c>
      <x:c r="C870" s="44" t="str">
        <x:v>L343PC</x:v>
      </x:c>
      <x:c r="D870" s="66" t="n">
        <x:v>2024</x:v>
      </x:c>
      <x:c r="E870" s="67" t="n">
        <x:v>2578</x:v>
      </x:c>
      <x:c r="F870" s="68" t="n">
        <x:v>18.4</x:v>
      </x:c>
      <x:c r="G870" s="69" t="n">
        <x:f>IF(COUNT(E870:F870)=2,E870*F870,"")</x:f>
        <x:v>47435.2</x:v>
      </x:c>
    </x:row>
    <x:row r="871">
      <x:c r="A871" s="66" t="n">
        <x:v>9</x:v>
      </x:c>
      <x:c r="B871" s="44" t="str">
        <x:v>Canola/Rapeseed</x:v>
      </x:c>
      <x:c r="C871" s="44" t="str">
        <x:v>L343PC</x:v>
      </x:c>
      <x:c r="D871" s="66" t="n">
        <x:v>2025</x:v>
      </x:c>
      <x:c r="E871" s="67" t="n">
        <x:v>1622</x:v>
      </x:c>
      <x:c r="F871" s="68" t="n">
        <x:v>34.6</x:v>
      </x:c>
      <x:c r="G871" s="69" t="n">
        <x:f>IF(COUNT(E871:F871)=2,E871*F871,"")</x:f>
        <x:v>56121.200000000004</x:v>
      </x:c>
    </x:row>
    <x:row r="872">
      <x:c r="A872" s="66" t="n">
        <x:v>9</x:v>
      </x:c>
      <x:c r="B872" s="44" t="str">
        <x:v>Canola/Rapeseed</x:v>
      </x:c>
      <x:c r="C872" s="44" t="str">
        <x:v>L345PC</x:v>
      </x:c>
      <x:c r="D872" s="66" t="n">
        <x:v>2021</x:v>
      </x:c>
      <x:c r="E872" s="67" t="n">
        <x:v>28189</x:v>
      </x:c>
      <x:c r="F872" s="68" t="n">
        <x:v>14.7</x:v>
      </x:c>
      <x:c r="G872" s="69" t="n">
        <x:f>IF(COUNT(E872:F872)=2,E872*F872,"")</x:f>
        <x:v>414378.3</x:v>
      </x:c>
    </x:row>
    <x:row r="873">
      <x:c r="A873" s="66" t="n">
        <x:v>9</x:v>
      </x:c>
      <x:c r="B873" s="44" t="str">
        <x:v>Canola/Rapeseed</x:v>
      </x:c>
      <x:c r="C873" s="44" t="str">
        <x:v>L345PC</x:v>
      </x:c>
      <x:c r="D873" s="66" t="n">
        <x:v>2022</x:v>
      </x:c>
      <x:c r="E873" s="67" t="n">
        <x:v>26396</x:v>
      </x:c>
      <x:c r="F873" s="68" t="n">
        <x:v>23.9</x:v>
      </x:c>
      <x:c r="G873" s="69" t="n">
        <x:f>IF(COUNT(E873:F873)=2,E873*F873,"")</x:f>
        <x:v>630864.3999999999</x:v>
      </x:c>
    </x:row>
    <x:row r="874">
      <x:c r="A874" s="66" t="n">
        <x:v>9</x:v>
      </x:c>
      <x:c r="B874" s="44" t="str">
        <x:v>Canola/Rapeseed</x:v>
      </x:c>
      <x:c r="C874" s="44" t="str">
        <x:v>L345PC</x:v>
      </x:c>
      <x:c r="D874" s="66" t="n">
        <x:v>2023</x:v>
      </x:c>
      <x:c r="E874" s="67" t="n">
        <x:v>21621</x:v>
      </x:c>
      <x:c r="F874" s="68" t="n">
        <x:v>21.9</x:v>
      </x:c>
      <x:c r="G874" s="69" t="n">
        <x:f>IF(COUNT(E874:F874)=2,E874*F874,"")</x:f>
        <x:v>473499.89999999997</x:v>
      </x:c>
    </x:row>
    <x:row r="875">
      <x:c r="A875" s="66" t="n">
        <x:v>9</x:v>
      </x:c>
      <x:c r="B875" s="44" t="str">
        <x:v>Canola/Rapeseed</x:v>
      </x:c>
      <x:c r="C875" s="44" t="str">
        <x:v>L345PC</x:v>
      </x:c>
      <x:c r="D875" s="66" t="n">
        <x:v>2024</x:v>
      </x:c>
      <x:c r="E875" s="67" t="n">
        <x:v>39424</x:v>
      </x:c>
      <x:c r="F875" s="68" t="n">
        <x:v>27.7</x:v>
      </x:c>
      <x:c r="G875" s="69" t="n">
        <x:f>IF(COUNT(E875:F875)=2,E875*F875,"")</x:f>
        <x:v>1092044.8</x:v>
      </x:c>
    </x:row>
    <x:row r="876">
      <x:c r="A876" s="66" t="n">
        <x:v>9</x:v>
      </x:c>
      <x:c r="B876" s="44" t="str">
        <x:v>Canola/Rapeseed</x:v>
      </x:c>
      <x:c r="C876" s="44" t="str">
        <x:v>L345PC</x:v>
      </x:c>
      <x:c r="D876" s="66" t="n">
        <x:v>2025</x:v>
      </x:c>
      <x:c r="E876" s="67" t="n">
        <x:v>23250</x:v>
      </x:c>
      <x:c r="F876" s="68" t="n">
        <x:v>37.6</x:v>
      </x:c>
      <x:c r="G876" s="69" t="n">
        <x:f>IF(COUNT(E876:F876)=2,E876*F876,"")</x:f>
        <x:v>874200</x:v>
      </x:c>
    </x:row>
    <x:row r="877">
      <x:c r="A877" s="66" t="n">
        <x:v>9</x:v>
      </x:c>
      <x:c r="B877" s="44" t="str">
        <x:v>Canola/Rapeseed</x:v>
      </x:c>
      <x:c r="C877" s="44" t="str">
        <x:v>L356PC</x:v>
      </x:c>
      <x:c r="D877" s="66" t="n">
        <x:v>2021</x:v>
      </x:c>
      <x:c r="E877" s="67"/>
      <x:c r="F877" s="68"/>
      <x:c r="G877" s="69" t="str">
        <x:f>IF(COUNT(E877:F877)=2,E877*F877,"")</x:f>
      </x:c>
    </x:row>
    <x:row r="878">
      <x:c r="A878" s="66" t="n">
        <x:v>9</x:v>
      </x:c>
      <x:c r="B878" s="44" t="str">
        <x:v>Canola/Rapeseed</x:v>
      </x:c>
      <x:c r="C878" s="44" t="str">
        <x:v>L356PC</x:v>
      </x:c>
      <x:c r="D878" s="66" t="n">
        <x:v>2022</x:v>
      </x:c>
      <x:c r="E878" s="67"/>
      <x:c r="F878" s="68"/>
      <x:c r="G878" s="69" t="str">
        <x:f>IF(COUNT(E878:F878)=2,E878*F878,"")</x:f>
      </x:c>
    </x:row>
    <x:row r="879">
      <x:c r="A879" s="66" t="n">
        <x:v>9</x:v>
      </x:c>
      <x:c r="B879" s="44" t="str">
        <x:v>Canola/Rapeseed</x:v>
      </x:c>
      <x:c r="C879" s="44" t="str">
        <x:v>L356PC</x:v>
      </x:c>
      <x:c r="D879" s="66" t="n">
        <x:v>2023</x:v>
      </x:c>
      <x:c r="E879" s="67" t="n">
        <x:v>1253</x:v>
      </x:c>
      <x:c r="F879" s="68" t="n">
        <x:v>18.7</x:v>
      </x:c>
      <x:c r="G879" s="69" t="n">
        <x:f>IF(COUNT(E879:F879)=2,E879*F879,"")</x:f>
        <x:v>23431.1</x:v>
      </x:c>
    </x:row>
    <x:row r="880">
      <x:c r="A880" s="66" t="n">
        <x:v>9</x:v>
      </x:c>
      <x:c r="B880" s="44" t="str">
        <x:v>Canola/Rapeseed</x:v>
      </x:c>
      <x:c r="C880" s="44" t="str">
        <x:v>L356PC</x:v>
      </x:c>
      <x:c r="D880" s="66" t="n">
        <x:v>2024</x:v>
      </x:c>
      <x:c r="E880" s="67" t="n">
        <x:v>8202</x:v>
      </x:c>
      <x:c r="F880" s="68" t="n">
        <x:v>27.6</x:v>
      </x:c>
      <x:c r="G880" s="69" t="n">
        <x:f>IF(COUNT(E880:F880)=2,E880*F880,"")</x:f>
        <x:v>226375.2</x:v>
      </x:c>
    </x:row>
    <x:row r="881">
      <x:c r="A881" s="66" t="n">
        <x:v>9</x:v>
      </x:c>
      <x:c r="B881" s="44" t="str">
        <x:v>Canola/Rapeseed</x:v>
      </x:c>
      <x:c r="C881" s="44" t="str">
        <x:v>L356PC</x:v>
      </x:c>
      <x:c r="D881" s="66" t="n">
        <x:v>2025</x:v>
      </x:c>
      <x:c r="E881" s="67" t="n">
        <x:v>3452</x:v>
      </x:c>
      <x:c r="F881" s="68" t="n">
        <x:v>46.8</x:v>
      </x:c>
      <x:c r="G881" s="69" t="n">
        <x:f>IF(COUNT(E881:F881)=2,E881*F881,"")</x:f>
        <x:v>161553.59999999998</x:v>
      </x:c>
    </x:row>
    <x:row r="882">
      <x:c r="A882" s="66" t="n">
        <x:v>9</x:v>
      </x:c>
      <x:c r="B882" s="44" t="str">
        <x:v>Canola/Rapeseed</x:v>
      </x:c>
      <x:c r="C882" s="44" t="str">
        <x:v>P520L</x:v>
      </x:c>
      <x:c r="D882" s="66" t="n">
        <x:v>2021</x:v>
      </x:c>
      <x:c r="E882" s="67"/>
      <x:c r="F882" s="68"/>
      <x:c r="G882" s="69" t="str">
        <x:f>IF(COUNT(E882:F882)=2,E882*F882,"")</x:f>
      </x:c>
    </x:row>
    <x:row r="883">
      <x:c r="A883" s="66" t="n">
        <x:v>9</x:v>
      </x:c>
      <x:c r="B883" s="44" t="str">
        <x:v>Canola/Rapeseed</x:v>
      </x:c>
      <x:c r="C883" s="44" t="str">
        <x:v>P520L</x:v>
      </x:c>
      <x:c r="D883" s="66" t="n">
        <x:v>2022</x:v>
      </x:c>
      <x:c r="E883" s="67"/>
      <x:c r="F883" s="68"/>
      <x:c r="G883" s="69" t="str">
        <x:f>IF(COUNT(E883:F883)=2,E883*F883,"")</x:f>
      </x:c>
    </x:row>
    <x:row r="884">
      <x:c r="A884" s="66" t="n">
        <x:v>9</x:v>
      </x:c>
      <x:c r="B884" s="44" t="str">
        <x:v>Canola/Rapeseed</x:v>
      </x:c>
      <x:c r="C884" s="44" t="str">
        <x:v>P520L</x:v>
      </x:c>
      <x:c r="D884" s="66" t="n">
        <x:v>2023</x:v>
      </x:c>
      <x:c r="E884" s="67"/>
      <x:c r="F884" s="68"/>
      <x:c r="G884" s="69" t="str">
        <x:f>IF(COUNT(E884:F884)=2,E884*F884,"")</x:f>
      </x:c>
    </x:row>
    <x:row r="885">
      <x:c r="A885" s="66" t="n">
        <x:v>9</x:v>
      </x:c>
      <x:c r="B885" s="44" t="str">
        <x:v>Canola/Rapeseed</x:v>
      </x:c>
      <x:c r="C885" s="44" t="str">
        <x:v>P520L</x:v>
      </x:c>
      <x:c r="D885" s="66" t="n">
        <x:v>2024</x:v>
      </x:c>
      <x:c r="E885" s="67"/>
      <x:c r="F885" s="68"/>
      <x:c r="G885" s="69" t="str">
        <x:f>IF(COUNT(E885:F885)=2,E885*F885,"")</x:f>
      </x:c>
    </x:row>
    <x:row r="886">
      <x:c r="A886" s="66" t="n">
        <x:v>9</x:v>
      </x:c>
      <x:c r="B886" s="44" t="str">
        <x:v>Canola/Rapeseed</x:v>
      </x:c>
      <x:c r="C886" s="44" t="str">
        <x:v>P520L</x:v>
      </x:c>
      <x:c r="D886" s="66" t="n">
        <x:v>2025</x:v>
      </x:c>
      <x:c r="E886" s="67" t="n">
        <x:v>2341</x:v>
      </x:c>
      <x:c r="F886" s="68" t="n">
        <x:v>36</x:v>
      </x:c>
      <x:c r="G886" s="69" t="n">
        <x:f>IF(COUNT(E886:F886)=2,E886*F886,"")</x:f>
        <x:v>84276</x:v>
      </x:c>
    </x:row>
    <x:row r="887">
      <x:c r="A887" s="66" t="n">
        <x:v>10</x:v>
      </x:c>
      <x:c r="B887" s="44" t="str">
        <x:v>Canola/Rapeseed</x:v>
      </x:c>
      <x:c r="C887" s="44" t="str">
        <x:v>BY 7204LL</x:v>
      </x:c>
      <x:c r="D887" s="66" t="n">
        <x:v>2021</x:v>
      </x:c>
      <x:c r="E887" s="67"/>
      <x:c r="F887" s="68"/>
      <x:c r="G887" s="69" t="str">
        <x:f>IF(COUNT(E887:F887)=2,E887*F887,"")</x:f>
      </x:c>
    </x:row>
    <x:row r="888">
      <x:c r="A888" s="66" t="n">
        <x:v>10</x:v>
      </x:c>
      <x:c r="B888" s="44" t="str">
        <x:v>Canola/Rapeseed</x:v>
      </x:c>
      <x:c r="C888" s="44" t="str">
        <x:v>BY 7204LL</x:v>
      </x:c>
      <x:c r="D888" s="66" t="n">
        <x:v>2022</x:v>
      </x:c>
      <x:c r="E888" s="67"/>
      <x:c r="F888" s="68"/>
      <x:c r="G888" s="69" t="str">
        <x:f>IF(COUNT(E888:F888)=2,E888*F888,"")</x:f>
      </x:c>
    </x:row>
    <x:row r="889">
      <x:c r="A889" s="66" t="n">
        <x:v>10</x:v>
      </x:c>
      <x:c r="B889" s="44" t="str">
        <x:v>Canola/Rapeseed</x:v>
      </x:c>
      <x:c r="C889" s="44" t="str">
        <x:v>BY 7204LL</x:v>
      </x:c>
      <x:c r="D889" s="66" t="n">
        <x:v>2023</x:v>
      </x:c>
      <x:c r="E889" s="67"/>
      <x:c r="F889" s="68"/>
      <x:c r="G889" s="69" t="str">
        <x:f>IF(COUNT(E889:F889)=2,E889*F889,"")</x:f>
      </x:c>
    </x:row>
    <x:row r="890">
      <x:c r="A890" s="66" t="n">
        <x:v>10</x:v>
      </x:c>
      <x:c r="B890" s="44" t="str">
        <x:v>Canola/Rapeseed</x:v>
      </x:c>
      <x:c r="C890" s="44" t="str">
        <x:v>BY 7204LL</x:v>
      </x:c>
      <x:c r="D890" s="66" t="n">
        <x:v>2024</x:v>
      </x:c>
      <x:c r="E890" s="67" t="n">
        <x:v>1053</x:v>
      </x:c>
      <x:c r="F890" s="68" t="n">
        <x:v>27.4</x:v>
      </x:c>
      <x:c r="G890" s="69" t="n">
        <x:f>IF(COUNT(E890:F890)=2,E890*F890,"")</x:f>
        <x:v>28852.199999999997</x:v>
      </x:c>
    </x:row>
    <x:row r="891">
      <x:c r="A891" s="66" t="n">
        <x:v>10</x:v>
      </x:c>
      <x:c r="B891" s="44" t="str">
        <x:v>Canola/Rapeseed</x:v>
      </x:c>
      <x:c r="C891" s="44" t="str">
        <x:v>BY 7204LL</x:v>
      </x:c>
      <x:c r="D891" s="66" t="n">
        <x:v>2025</x:v>
      </x:c>
      <x:c r="E891" s="67" t="n">
        <x:v>1793</x:v>
      </x:c>
      <x:c r="F891" s="68" t="n">
        <x:v>42.2</x:v>
      </x:c>
      <x:c r="G891" s="69" t="n">
        <x:f>IF(COUNT(E891:F891)=2,E891*F891,"")</x:f>
        <x:v>75664.6</x:v>
      </x:c>
    </x:row>
    <x:row r="892">
      <x:c r="A892" s="66" t="n">
        <x:v>10</x:v>
      </x:c>
      <x:c r="B892" s="44" t="str">
        <x:v>Canola/Rapeseed</x:v>
      </x:c>
      <x:c r="C892" s="44" t="str">
        <x:v>CS4000 LL</x:v>
      </x:c>
      <x:c r="D892" s="66" t="n">
        <x:v>2021</x:v>
      </x:c>
      <x:c r="E892" s="67" t="n">
        <x:v>731</x:v>
      </x:c>
      <x:c r="F892" s="68" t="n">
        <x:v>8.7</x:v>
      </x:c>
      <x:c r="G892" s="69" t="n">
        <x:f>IF(COUNT(E892:F892)=2,E892*F892,"")</x:f>
        <x:v>6359.7</x:v>
      </x:c>
    </x:row>
    <x:row r="893">
      <x:c r="A893" s="66" t="n">
        <x:v>10</x:v>
      </x:c>
      <x:c r="B893" s="44" t="str">
        <x:v>Canola/Rapeseed</x:v>
      </x:c>
      <x:c r="C893" s="44" t="str">
        <x:v>CS4000 LL</x:v>
      </x:c>
      <x:c r="D893" s="66" t="n">
        <x:v>2022</x:v>
      </x:c>
      <x:c r="E893" s="67"/>
      <x:c r="F893" s="68"/>
      <x:c r="G893" s="69" t="str">
        <x:f>IF(COUNT(E893:F893)=2,E893*F893,"")</x:f>
      </x:c>
    </x:row>
    <x:row r="894">
      <x:c r="A894" s="66" t="n">
        <x:v>10</x:v>
      </x:c>
      <x:c r="B894" s="44" t="str">
        <x:v>Canola/Rapeseed</x:v>
      </x:c>
      <x:c r="C894" s="44" t="str">
        <x:v>CS4000 LL</x:v>
      </x:c>
      <x:c r="D894" s="66" t="n">
        <x:v>2023</x:v>
      </x:c>
      <x:c r="E894" s="67" t="n">
        <x:v>7977</x:v>
      </x:c>
      <x:c r="F894" s="68" t="n">
        <x:v>11.7</x:v>
      </x:c>
      <x:c r="G894" s="69" t="n">
        <x:f>IF(COUNT(E894:F894)=2,E894*F894,"")</x:f>
        <x:v>93330.9</x:v>
      </x:c>
    </x:row>
    <x:row r="895">
      <x:c r="A895" s="66" t="n">
        <x:v>10</x:v>
      </x:c>
      <x:c r="B895" s="44" t="str">
        <x:v>Canola/Rapeseed</x:v>
      </x:c>
      <x:c r="C895" s="44" t="str">
        <x:v>CS4000 LL</x:v>
      </x:c>
      <x:c r="D895" s="66" t="n">
        <x:v>2024</x:v>
      </x:c>
      <x:c r="E895" s="67" t="n">
        <x:v>2951</x:v>
      </x:c>
      <x:c r="F895" s="68" t="n">
        <x:v>17.8</x:v>
      </x:c>
      <x:c r="G895" s="69" t="n">
        <x:f>IF(COUNT(E895:F895)=2,E895*F895,"")</x:f>
        <x:v>52527.8</x:v>
      </x:c>
    </x:row>
    <x:row r="896">
      <x:c r="A896" s="66" t="n">
        <x:v>10</x:v>
      </x:c>
      <x:c r="B896" s="44" t="str">
        <x:v>Canola/Rapeseed</x:v>
      </x:c>
      <x:c r="C896" s="44" t="str">
        <x:v>CS4000 LL</x:v>
      </x:c>
      <x:c r="D896" s="66" t="n">
        <x:v>2025</x:v>
      </x:c>
      <x:c r="E896" s="67" t="n">
        <x:v>1517</x:v>
      </x:c>
      <x:c r="F896" s="68" t="n">
        <x:v>22.6</x:v>
      </x:c>
      <x:c r="G896" s="69" t="n">
        <x:f>IF(COUNT(E896:F896)=2,E896*F896,"")</x:f>
        <x:v>34284.200000000004</x:v>
      </x:c>
    </x:row>
    <x:row r="897">
      <x:c r="A897" s="66" t="n">
        <x:v>10</x:v>
      </x:c>
      <x:c r="B897" s="44" t="str">
        <x:v>Canola/Rapeseed</x:v>
      </x:c>
      <x:c r="C897" s="44" t="str">
        <x:v>CS4100 LL</x:v>
      </x:c>
      <x:c r="D897" s="66" t="n">
        <x:v>2021</x:v>
      </x:c>
      <x:c r="E897" s="67"/>
      <x:c r="F897" s="68"/>
      <x:c r="G897" s="69" t="str">
        <x:f>IF(COUNT(E897:F897)=2,E897*F897,"")</x:f>
      </x:c>
    </x:row>
    <x:row r="898">
      <x:c r="A898" s="66" t="n">
        <x:v>10</x:v>
      </x:c>
      <x:c r="B898" s="44" t="str">
        <x:v>Canola/Rapeseed</x:v>
      </x:c>
      <x:c r="C898" s="44" t="str">
        <x:v>CS4100 LL</x:v>
      </x:c>
      <x:c r="D898" s="66" t="n">
        <x:v>2022</x:v>
      </x:c>
      <x:c r="E898" s="67"/>
      <x:c r="F898" s="68"/>
      <x:c r="G898" s="69" t="str">
        <x:f>IF(COUNT(E898:F898)=2,E898*F898,"")</x:f>
      </x:c>
    </x:row>
    <x:row r="899">
      <x:c r="A899" s="66" t="n">
        <x:v>10</x:v>
      </x:c>
      <x:c r="B899" s="44" t="str">
        <x:v>Canola/Rapeseed</x:v>
      </x:c>
      <x:c r="C899" s="44" t="str">
        <x:v>CS4100 LL</x:v>
      </x:c>
      <x:c r="D899" s="66" t="n">
        <x:v>2023</x:v>
      </x:c>
      <x:c r="E899" s="67"/>
      <x:c r="F899" s="68"/>
      <x:c r="G899" s="69" t="str">
        <x:f>IF(COUNT(E899:F899)=2,E899*F899,"")</x:f>
      </x:c>
    </x:row>
    <x:row r="900">
      <x:c r="A900" s="66" t="n">
        <x:v>10</x:v>
      </x:c>
      <x:c r="B900" s="44" t="str">
        <x:v>Canola/Rapeseed</x:v>
      </x:c>
      <x:c r="C900" s="44" t="str">
        <x:v>CS4100 LL</x:v>
      </x:c>
      <x:c r="D900" s="66" t="n">
        <x:v>2024</x:v>
      </x:c>
      <x:c r="E900" s="67"/>
      <x:c r="F900" s="68"/>
      <x:c r="G900" s="69" t="str">
        <x:f>IF(COUNT(E900:F900)=2,E900*F900,"")</x:f>
      </x:c>
    </x:row>
    <x:row r="901">
      <x:c r="A901" s="66" t="n">
        <x:v>10</x:v>
      </x:c>
      <x:c r="B901" s="44" t="str">
        <x:v>Canola/Rapeseed</x:v>
      </x:c>
      <x:c r="C901" s="44" t="str">
        <x:v>CS4100 LL</x:v>
      </x:c>
      <x:c r="D901" s="66" t="n">
        <x:v>2025</x:v>
      </x:c>
      <x:c r="E901" s="67" t="n">
        <x:v>1522</x:v>
      </x:c>
      <x:c r="F901" s="68" t="n">
        <x:v>38.4</x:v>
      </x:c>
      <x:c r="G901" s="69" t="n">
        <x:f>IF(COUNT(E901:F901)=2,E901*F901,"")</x:f>
        <x:v>58444.799999999996</x:v>
      </x:c>
    </x:row>
    <x:row r="902">
      <x:c r="A902" s="66" t="n">
        <x:v>10</x:v>
      </x:c>
      <x:c r="B902" s="44" t="str">
        <x:v>Canola/Rapeseed</x:v>
      </x:c>
      <x:c r="C902" s="44" t="str">
        <x:v>DK 801 LL</x:v>
      </x:c>
      <x:c r="D902" s="66" t="n">
        <x:v>2021</x:v>
      </x:c>
      <x:c r="E902" s="67"/>
      <x:c r="F902" s="68"/>
      <x:c r="G902" s="69" t="str">
        <x:f>IF(COUNT(E902:F902)=2,E902*F902,"")</x:f>
      </x:c>
    </x:row>
    <x:row r="903">
      <x:c r="A903" s="66" t="n">
        <x:v>10</x:v>
      </x:c>
      <x:c r="B903" s="44" t="str">
        <x:v>Canola/Rapeseed</x:v>
      </x:c>
      <x:c r="C903" s="44" t="str">
        <x:v>DK 801 LL</x:v>
      </x:c>
      <x:c r="D903" s="66" t="n">
        <x:v>2022</x:v>
      </x:c>
      <x:c r="E903" s="67"/>
      <x:c r="F903" s="68"/>
      <x:c r="G903" s="69" t="str">
        <x:f>IF(COUNT(E903:F903)=2,E903*F903,"")</x:f>
      </x:c>
    </x:row>
    <x:row r="904">
      <x:c r="A904" s="66" t="n">
        <x:v>10</x:v>
      </x:c>
      <x:c r="B904" s="44" t="str">
        <x:v>Canola/Rapeseed</x:v>
      </x:c>
      <x:c r="C904" s="44" t="str">
        <x:v>DK 801 LL</x:v>
      </x:c>
      <x:c r="D904" s="66" t="n">
        <x:v>2023</x:v>
      </x:c>
      <x:c r="E904" s="67"/>
      <x:c r="F904" s="68"/>
      <x:c r="G904" s="69" t="str">
        <x:f>IF(COUNT(E904:F904)=2,E904*F904,"")</x:f>
      </x:c>
    </x:row>
    <x:row r="905">
      <x:c r="A905" s="66" t="n">
        <x:v>10</x:v>
      </x:c>
      <x:c r="B905" s="44" t="str">
        <x:v>Canola/Rapeseed</x:v>
      </x:c>
      <x:c r="C905" s="44" t="str">
        <x:v>DK 801 LL</x:v>
      </x:c>
      <x:c r="D905" s="66" t="n">
        <x:v>2024</x:v>
      </x:c>
      <x:c r="E905" s="67"/>
      <x:c r="F905" s="68"/>
      <x:c r="G905" s="69" t="str">
        <x:f>IF(COUNT(E905:F905)=2,E905*F905,"")</x:f>
      </x:c>
    </x:row>
    <x:row r="906">
      <x:c r="A906" s="66" t="n">
        <x:v>10</x:v>
      </x:c>
      <x:c r="B906" s="44" t="str">
        <x:v>Canola/Rapeseed</x:v>
      </x:c>
      <x:c r="C906" s="44" t="str">
        <x:v>DK 801 LL</x:v>
      </x:c>
      <x:c r="D906" s="66" t="n">
        <x:v>2025</x:v>
      </x:c>
      <x:c r="E906" s="67" t="n">
        <x:v>6773</x:v>
      </x:c>
      <x:c r="F906" s="68" t="n">
        <x:v>40.8</x:v>
      </x:c>
      <x:c r="G906" s="69" t="n">
        <x:f>IF(COUNT(E906:F906)=2,E906*F906,"")</x:f>
        <x:v>276338.39999999997</x:v>
      </x:c>
    </x:row>
    <x:row r="907">
      <x:c r="A907" s="66" t="n">
        <x:v>10</x:v>
      </x:c>
      <x:c r="B907" s="44" t="str">
        <x:v>Canola/Rapeseed</x:v>
      </x:c>
      <x:c r="C907" s="44" t="str">
        <x:v>DKTFLL 21 SC</x:v>
      </x:c>
      <x:c r="D907" s="66" t="n">
        <x:v>2021</x:v>
      </x:c>
      <x:c r="E907" s="67" t="n">
        <x:v>1532</x:v>
      </x:c>
      <x:c r="F907" s="68" t="n">
        <x:v>11.6</x:v>
      </x:c>
      <x:c r="G907" s="69" t="n">
        <x:f>IF(COUNT(E907:F907)=2,E907*F907,"")</x:f>
        <x:v>17771.2</x:v>
      </x:c>
    </x:row>
    <x:row r="908">
      <x:c r="A908" s="66" t="n">
        <x:v>10</x:v>
      </x:c>
      <x:c r="B908" s="44" t="str">
        <x:v>Canola/Rapeseed</x:v>
      </x:c>
      <x:c r="C908" s="44" t="str">
        <x:v>DKTFLL 21 SC</x:v>
      </x:c>
      <x:c r="D908" s="66" t="n">
        <x:v>2022</x:v>
      </x:c>
      <x:c r="E908" s="67" t="n">
        <x:v>8290</x:v>
      </x:c>
      <x:c r="F908" s="68" t="n">
        <x:v>23.6</x:v>
      </x:c>
      <x:c r="G908" s="69" t="n">
        <x:f>IF(COUNT(E908:F908)=2,E908*F908,"")</x:f>
        <x:v>195644</x:v>
      </x:c>
    </x:row>
    <x:row r="909">
      <x:c r="A909" s="66" t="n">
        <x:v>10</x:v>
      </x:c>
      <x:c r="B909" s="44" t="str">
        <x:v>Canola/Rapeseed</x:v>
      </x:c>
      <x:c r="C909" s="44" t="str">
        <x:v>DKTFLL 21 SC</x:v>
      </x:c>
      <x:c r="D909" s="66" t="n">
        <x:v>2023</x:v>
      </x:c>
      <x:c r="E909" s="67" t="n">
        <x:v>9564</x:v>
      </x:c>
      <x:c r="F909" s="68" t="n">
        <x:v>17</x:v>
      </x:c>
      <x:c r="G909" s="69" t="n">
        <x:f>IF(COUNT(E909:F909)=2,E909*F909,"")</x:f>
        <x:v>162588</x:v>
      </x:c>
    </x:row>
    <x:row r="910">
      <x:c r="A910" s="66" t="n">
        <x:v>10</x:v>
      </x:c>
      <x:c r="B910" s="44" t="str">
        <x:v>Canola/Rapeseed</x:v>
      </x:c>
      <x:c r="C910" s="44" t="str">
        <x:v>DKTFLL 21 SC</x:v>
      </x:c>
      <x:c r="D910" s="66" t="n">
        <x:v>2024</x:v>
      </x:c>
      <x:c r="E910" s="67" t="n">
        <x:v>26174</x:v>
      </x:c>
      <x:c r="F910" s="68" t="n">
        <x:v>20.4</x:v>
      </x:c>
      <x:c r="G910" s="69" t="n">
        <x:f>IF(COUNT(E910:F910)=2,E910*F910,"")</x:f>
        <x:v>533949.6</x:v>
      </x:c>
    </x:row>
    <x:row r="911">
      <x:c r="A911" s="66" t="n">
        <x:v>10</x:v>
      </x:c>
      <x:c r="B911" s="44" t="str">
        <x:v>Canola/Rapeseed</x:v>
      </x:c>
      <x:c r="C911" s="44" t="str">
        <x:v>DKTFLL 21 SC</x:v>
      </x:c>
      <x:c r="D911" s="66" t="n">
        <x:v>2025</x:v>
      </x:c>
      <x:c r="E911" s="67" t="n">
        <x:v>15125</x:v>
      </x:c>
      <x:c r="F911" s="68" t="n">
        <x:v>29.8</x:v>
      </x:c>
      <x:c r="G911" s="69" t="n">
        <x:f>IF(COUNT(E911:F911)=2,E911*F911,"")</x:f>
        <x:v>450725</x:v>
      </x:c>
    </x:row>
    <x:row r="912">
      <x:c r="A912" s="66" t="n">
        <x:v>10</x:v>
      </x:c>
      <x:c r="B912" s="44" t="str">
        <x:v>Canola/Rapeseed</x:v>
      </x:c>
      <x:c r="C912" s="44" t="str">
        <x:v>DK400TL</x:v>
      </x:c>
      <x:c r="D912" s="66" t="n">
        <x:v>2021</x:v>
      </x:c>
      <x:c r="E912" s="67"/>
      <x:c r="F912" s="68"/>
      <x:c r="G912" s="69" t="str">
        <x:f>IF(COUNT(E912:F912)=2,E912*F912,"")</x:f>
      </x:c>
    </x:row>
    <x:row r="913">
      <x:c r="A913" s="66" t="n">
        <x:v>10</x:v>
      </x:c>
      <x:c r="B913" s="44" t="str">
        <x:v>Canola/Rapeseed</x:v>
      </x:c>
      <x:c r="C913" s="44" t="str">
        <x:v>DK400TL</x:v>
      </x:c>
      <x:c r="D913" s="66" t="n">
        <x:v>2022</x:v>
      </x:c>
      <x:c r="E913" s="67"/>
      <x:c r="F913" s="68"/>
      <x:c r="G913" s="69" t="str">
        <x:f>IF(COUNT(E913:F913)=2,E913*F913,"")</x:f>
      </x:c>
    </x:row>
    <x:row r="914">
      <x:c r="A914" s="66" t="n">
        <x:v>10</x:v>
      </x:c>
      <x:c r="B914" s="44" t="str">
        <x:v>Canola/Rapeseed</x:v>
      </x:c>
      <x:c r="C914" s="44" t="str">
        <x:v>DK400TL</x:v>
      </x:c>
      <x:c r="D914" s="66" t="n">
        <x:v>2023</x:v>
      </x:c>
      <x:c r="E914" s="67"/>
      <x:c r="F914" s="68"/>
      <x:c r="G914" s="69" t="str">
        <x:f>IF(COUNT(E914:F914)=2,E914*F914,"")</x:f>
      </x:c>
    </x:row>
    <x:row r="915">
      <x:c r="A915" s="66" t="n">
        <x:v>10</x:v>
      </x:c>
      <x:c r="B915" s="44" t="str">
        <x:v>Canola/Rapeseed</x:v>
      </x:c>
      <x:c r="C915" s="44" t="str">
        <x:v>DK400TL</x:v>
      </x:c>
      <x:c r="D915" s="66" t="n">
        <x:v>2024</x:v>
      </x:c>
      <x:c r="E915" s="67" t="n">
        <x:v>3668</x:v>
      </x:c>
      <x:c r="F915" s="68" t="n">
        <x:v>18.6</x:v>
      </x:c>
      <x:c r="G915" s="69" t="n">
        <x:f>IF(COUNT(E915:F915)=2,E915*F915,"")</x:f>
        <x:v>68224.8</x:v>
      </x:c>
    </x:row>
    <x:row r="916">
      <x:c r="A916" s="66" t="n">
        <x:v>10</x:v>
      </x:c>
      <x:c r="B916" s="44" t="str">
        <x:v>Canola/Rapeseed</x:v>
      </x:c>
      <x:c r="C916" s="44" t="str">
        <x:v>DK400TL</x:v>
      </x:c>
      <x:c r="D916" s="66" t="n">
        <x:v>2025</x:v>
      </x:c>
      <x:c r="E916" s="67" t="n">
        <x:v>14381</x:v>
      </x:c>
      <x:c r="F916" s="68" t="n">
        <x:v>42.5</x:v>
      </x:c>
      <x:c r="G916" s="69" t="n">
        <x:f>IF(COUNT(E916:F916)=2,E916*F916,"")</x:f>
        <x:v>611192.5</x:v>
      </x:c>
    </x:row>
    <x:row r="917">
      <x:c r="A917" s="66" t="n">
        <x:v>10</x:v>
      </x:c>
      <x:c r="B917" s="44" t="str">
        <x:v>Canola/Rapeseed</x:v>
      </x:c>
      <x:c r="C917" s="44" t="str">
        <x:v>DK401TK</x:v>
      </x:c>
      <x:c r="D917" s="66" t="n">
        <x:v>2021</x:v>
      </x:c>
      <x:c r="E917" s="67"/>
      <x:c r="F917" s="68"/>
      <x:c r="G917" s="69" t="str">
        <x:f>IF(COUNT(E917:F917)=2,E917*F917,"")</x:f>
      </x:c>
    </x:row>
    <x:row r="918">
      <x:c r="A918" s="66" t="n">
        <x:v>10</x:v>
      </x:c>
      <x:c r="B918" s="44" t="str">
        <x:v>Canola/Rapeseed</x:v>
      </x:c>
      <x:c r="C918" s="44" t="str">
        <x:v>DK401TK</x:v>
      </x:c>
      <x:c r="D918" s="66" t="n">
        <x:v>2022</x:v>
      </x:c>
      <x:c r="E918" s="67"/>
      <x:c r="F918" s="68"/>
      <x:c r="G918" s="69" t="str">
        <x:f>IF(COUNT(E918:F918)=2,E918*F918,"")</x:f>
      </x:c>
    </x:row>
    <x:row r="919">
      <x:c r="A919" s="66" t="n">
        <x:v>10</x:v>
      </x:c>
      <x:c r="B919" s="44" t="str">
        <x:v>Canola/Rapeseed</x:v>
      </x:c>
      <x:c r="C919" s="44" t="str">
        <x:v>DK401TK</x:v>
      </x:c>
      <x:c r="D919" s="66" t="n">
        <x:v>2023</x:v>
      </x:c>
      <x:c r="E919" s="67"/>
      <x:c r="F919" s="68"/>
      <x:c r="G919" s="69" t="str">
        <x:f>IF(COUNT(E919:F919)=2,E919*F919,"")</x:f>
      </x:c>
    </x:row>
    <x:row r="920">
      <x:c r="A920" s="66" t="n">
        <x:v>10</x:v>
      </x:c>
      <x:c r="B920" s="44" t="str">
        <x:v>Canola/Rapeseed</x:v>
      </x:c>
      <x:c r="C920" s="44" t="str">
        <x:v>DK401TK</x:v>
      </x:c>
      <x:c r="D920" s="66" t="n">
        <x:v>2024</x:v>
      </x:c>
      <x:c r="E920" s="67"/>
      <x:c r="F920" s="68"/>
      <x:c r="G920" s="69" t="str">
        <x:f>IF(COUNT(E920:F920)=2,E920*F920,"")</x:f>
      </x:c>
    </x:row>
    <x:row r="921">
      <x:c r="A921" s="66" t="n">
        <x:v>10</x:v>
      </x:c>
      <x:c r="B921" s="44" t="str">
        <x:v>Canola/Rapeseed</x:v>
      </x:c>
      <x:c r="C921" s="44" t="str">
        <x:v>DK401TK</x:v>
      </x:c>
      <x:c r="D921" s="66" t="n">
        <x:v>2025</x:v>
      </x:c>
      <x:c r="E921" s="67" t="n">
        <x:v>2431</x:v>
      </x:c>
      <x:c r="F921" s="68" t="n">
        <x:v>37.3</x:v>
      </x:c>
      <x:c r="G921" s="69" t="n">
        <x:f>IF(COUNT(E921:F921)=2,E921*F921,"")</x:f>
        <x:v>90676.29999999999</x:v>
      </x:c>
    </x:row>
    <x:row r="922">
      <x:c r="A922" s="66" t="n">
        <x:v>10</x:v>
      </x:c>
      <x:c r="B922" s="44" t="str">
        <x:v>Canola/Rapeseed</x:v>
      </x:c>
      <x:c r="C922" s="44" t="str">
        <x:v>DK800LL</x:v>
      </x:c>
      <x:c r="D922" s="66" t="n">
        <x:v>2021</x:v>
      </x:c>
      <x:c r="E922" s="67"/>
      <x:c r="F922" s="68"/>
      <x:c r="G922" s="69" t="str">
        <x:f>IF(COUNT(E922:F922)=2,E922*F922,"")</x:f>
      </x:c>
    </x:row>
    <x:row r="923">
      <x:c r="A923" s="66" t="n">
        <x:v>10</x:v>
      </x:c>
      <x:c r="B923" s="44" t="str">
        <x:v>Canola/Rapeseed</x:v>
      </x:c>
      <x:c r="C923" s="44" t="str">
        <x:v>DK800LL</x:v>
      </x:c>
      <x:c r="D923" s="66" t="n">
        <x:v>2022</x:v>
      </x:c>
      <x:c r="E923" s="67"/>
      <x:c r="F923" s="68"/>
      <x:c r="G923" s="69" t="str">
        <x:f>IF(COUNT(E923:F923)=2,E923*F923,"")</x:f>
      </x:c>
    </x:row>
    <x:row r="924">
      <x:c r="A924" s="66" t="n">
        <x:v>10</x:v>
      </x:c>
      <x:c r="B924" s="44" t="str">
        <x:v>Canola/Rapeseed</x:v>
      </x:c>
      <x:c r="C924" s="44" t="str">
        <x:v>DK800LL</x:v>
      </x:c>
      <x:c r="D924" s="66" t="n">
        <x:v>2023</x:v>
      </x:c>
      <x:c r="E924" s="67"/>
      <x:c r="F924" s="68"/>
      <x:c r="G924" s="69" t="str">
        <x:f>IF(COUNT(E924:F924)=2,E924*F924,"")</x:f>
      </x:c>
    </x:row>
    <x:row r="925">
      <x:c r="A925" s="66" t="n">
        <x:v>10</x:v>
      </x:c>
      <x:c r="B925" s="44" t="str">
        <x:v>Canola/Rapeseed</x:v>
      </x:c>
      <x:c r="C925" s="44" t="str">
        <x:v>DK800LL</x:v>
      </x:c>
      <x:c r="D925" s="66" t="n">
        <x:v>2024</x:v>
      </x:c>
      <x:c r="E925" s="67"/>
      <x:c r="F925" s="68"/>
      <x:c r="G925" s="69" t="str">
        <x:f>IF(COUNT(E925:F925)=2,E925*F925,"")</x:f>
      </x:c>
    </x:row>
    <x:row r="926">
      <x:c r="A926" s="66" t="n">
        <x:v>10</x:v>
      </x:c>
      <x:c r="B926" s="44" t="str">
        <x:v>Canola/Rapeseed</x:v>
      </x:c>
      <x:c r="C926" s="44" t="str">
        <x:v>DK800LL</x:v>
      </x:c>
      <x:c r="D926" s="66" t="n">
        <x:v>2025</x:v>
      </x:c>
      <x:c r="E926" s="67" t="n">
        <x:v>1204</x:v>
      </x:c>
      <x:c r="F926" s="68" t="n">
        <x:v>40.7</x:v>
      </x:c>
      <x:c r="G926" s="69" t="n">
        <x:f>IF(COUNT(E926:F926)=2,E926*F926,"")</x:f>
        <x:v>49002.8</x:v>
      </x:c>
    </x:row>
    <x:row r="927">
      <x:c r="A927" s="66" t="n">
        <x:v>10</x:v>
      </x:c>
      <x:c r="B927" s="44" t="str">
        <x:v>Canola/Rapeseed</x:v>
      </x:c>
      <x:c r="C927" s="44" t="str">
        <x:v>DK801LL</x:v>
      </x:c>
      <x:c r="D927" s="66" t="n">
        <x:v>2021</x:v>
      </x:c>
      <x:c r="E927" s="67"/>
      <x:c r="F927" s="68"/>
      <x:c r="G927" s="69" t="str">
        <x:f>IF(COUNT(E927:F927)=2,E927*F927,"")</x:f>
      </x:c>
    </x:row>
    <x:row r="928">
      <x:c r="A928" s="66" t="n">
        <x:v>10</x:v>
      </x:c>
      <x:c r="B928" s="44" t="str">
        <x:v>Canola/Rapeseed</x:v>
      </x:c>
      <x:c r="C928" s="44" t="str">
        <x:v>DK801LL</x:v>
      </x:c>
      <x:c r="D928" s="66" t="n">
        <x:v>2022</x:v>
      </x:c>
      <x:c r="E928" s="67"/>
      <x:c r="F928" s="68"/>
      <x:c r="G928" s="69" t="str">
        <x:f>IF(COUNT(E928:F928)=2,E928*F928,"")</x:f>
      </x:c>
    </x:row>
    <x:row r="929">
      <x:c r="A929" s="66" t="n">
        <x:v>10</x:v>
      </x:c>
      <x:c r="B929" s="44" t="str">
        <x:v>Canola/Rapeseed</x:v>
      </x:c>
      <x:c r="C929" s="44" t="str">
        <x:v>DK801LL</x:v>
      </x:c>
      <x:c r="D929" s="66" t="n">
        <x:v>2023</x:v>
      </x:c>
      <x:c r="E929" s="67"/>
      <x:c r="F929" s="68"/>
      <x:c r="G929" s="69" t="str">
        <x:f>IF(COUNT(E929:F929)=2,E929*F929,"")</x:f>
      </x:c>
    </x:row>
    <x:row r="930">
      <x:c r="A930" s="66" t="n">
        <x:v>10</x:v>
      </x:c>
      <x:c r="B930" s="44" t="str">
        <x:v>Canola/Rapeseed</x:v>
      </x:c>
      <x:c r="C930" s="44" t="str">
        <x:v>DK801LL</x:v>
      </x:c>
      <x:c r="D930" s="66" t="n">
        <x:v>2024</x:v>
      </x:c>
      <x:c r="E930" s="67"/>
      <x:c r="F930" s="68"/>
      <x:c r="G930" s="69" t="str">
        <x:f>IF(COUNT(E930:F930)=2,E930*F930,"")</x:f>
      </x:c>
    </x:row>
    <x:row r="931">
      <x:c r="A931" s="66" t="n">
        <x:v>10</x:v>
      </x:c>
      <x:c r="B931" s="44" t="str">
        <x:v>Canola/Rapeseed</x:v>
      </x:c>
      <x:c r="C931" s="44" t="str">
        <x:v>DK801LL</x:v>
      </x:c>
      <x:c r="D931" s="66" t="n">
        <x:v>2025</x:v>
      </x:c>
      <x:c r="E931" s="67" t="n">
        <x:v>820</x:v>
      </x:c>
      <x:c r="F931" s="68" t="n">
        <x:v>51</x:v>
      </x:c>
      <x:c r="G931" s="69" t="n">
        <x:f>IF(COUNT(E931:F931)=2,E931*F931,"")</x:f>
        <x:v>41820</x:v>
      </x:c>
    </x:row>
    <x:row r="932">
      <x:c r="A932" s="66" t="n">
        <x:v>10</x:v>
      </x:c>
      <x:c r="B932" s="44" t="str">
        <x:v>Canola/Rapeseed</x:v>
      </x:c>
      <x:c r="C932" s="44" t="str">
        <x:v>LR354PC</x:v>
      </x:c>
      <x:c r="D932" s="66" t="n">
        <x:v>2021</x:v>
      </x:c>
      <x:c r="E932" s="67"/>
      <x:c r="F932" s="68"/>
      <x:c r="G932" s="69" t="str">
        <x:f>IF(COUNT(E932:F932)=2,E932*F932,"")</x:f>
      </x:c>
    </x:row>
    <x:row r="933">
      <x:c r="A933" s="66" t="n">
        <x:v>10</x:v>
      </x:c>
      <x:c r="B933" s="44" t="str">
        <x:v>Canola/Rapeseed</x:v>
      </x:c>
      <x:c r="C933" s="44" t="str">
        <x:v>LR354PC</x:v>
      </x:c>
      <x:c r="D933" s="66" t="n">
        <x:v>2022</x:v>
      </x:c>
      <x:c r="E933" s="67"/>
      <x:c r="F933" s="68"/>
      <x:c r="G933" s="69" t="str">
        <x:f>IF(COUNT(E933:F933)=2,E933*F933,"")</x:f>
      </x:c>
    </x:row>
    <x:row r="934">
      <x:c r="A934" s="66" t="n">
        <x:v>10</x:v>
      </x:c>
      <x:c r="B934" s="44" t="str">
        <x:v>Canola/Rapeseed</x:v>
      </x:c>
      <x:c r="C934" s="44" t="str">
        <x:v>LR354PC</x:v>
      </x:c>
      <x:c r="D934" s="66" t="n">
        <x:v>2023</x:v>
      </x:c>
      <x:c r="E934" s="67" t="n">
        <x:v>1550</x:v>
      </x:c>
      <x:c r="F934" s="68" t="n">
        <x:v>8.6</x:v>
      </x:c>
      <x:c r="G934" s="69" t="n">
        <x:f>IF(COUNT(E934:F934)=2,E934*F934,"")</x:f>
        <x:v>13330</x:v>
      </x:c>
    </x:row>
    <x:row r="935">
      <x:c r="A935" s="66" t="n">
        <x:v>10</x:v>
      </x:c>
      <x:c r="B935" s="44" t="str">
        <x:v>Canola/Rapeseed</x:v>
      </x:c>
      <x:c r="C935" s="44" t="str">
        <x:v>LR354PC</x:v>
      </x:c>
      <x:c r="D935" s="66" t="n">
        <x:v>2024</x:v>
      </x:c>
      <x:c r="E935" s="67" t="n">
        <x:v>803</x:v>
      </x:c>
      <x:c r="F935" s="68" t="n">
        <x:v>20.5</x:v>
      </x:c>
      <x:c r="G935" s="69" t="n">
        <x:f>IF(COUNT(E935:F935)=2,E935*F935,"")</x:f>
        <x:v>16461.5</x:v>
      </x:c>
    </x:row>
    <x:row r="936">
      <x:c r="A936" s="66" t="n">
        <x:v>10</x:v>
      </x:c>
      <x:c r="B936" s="44" t="str">
        <x:v>Canola/Rapeseed</x:v>
      </x:c>
      <x:c r="C936" s="44" t="str">
        <x:v>LR354PC</x:v>
      </x:c>
      <x:c r="D936" s="66" t="n">
        <x:v>2025</x:v>
      </x:c>
      <x:c r="E936" s="67" t="n">
        <x:v>2059</x:v>
      </x:c>
      <x:c r="F936" s="68" t="n">
        <x:v>39.8</x:v>
      </x:c>
      <x:c r="G936" s="69" t="n">
        <x:f>IF(COUNT(E936:F936)=2,E936*F936,"")</x:f>
        <x:v>81948.2</x:v>
      </x:c>
    </x:row>
    <x:row r="937">
      <x:c r="A937" s="66" t="n">
        <x:v>10</x:v>
      </x:c>
      <x:c r="B937" s="44" t="str">
        <x:v>Canola/Rapeseed</x:v>
      </x:c>
      <x:c r="C937" s="44" t="str">
        <x:v>L233P</x:v>
      </x:c>
      <x:c r="D937" s="66" t="n">
        <x:v>2021</x:v>
      </x:c>
      <x:c r="E937" s="67" t="n">
        <x:v>76985</x:v>
      </x:c>
      <x:c r="F937" s="68" t="n">
        <x:v>14.3</x:v>
      </x:c>
      <x:c r="G937" s="69" t="n">
        <x:f>IF(COUNT(E937:F937)=2,E937*F937,"")</x:f>
        <x:v>1100885.5</x:v>
      </x:c>
    </x:row>
    <x:row r="938">
      <x:c r="A938" s="66" t="n">
        <x:v>10</x:v>
      </x:c>
      <x:c r="B938" s="44" t="str">
        <x:v>Canola/Rapeseed</x:v>
      </x:c>
      <x:c r="C938" s="44" t="str">
        <x:v>L233P</x:v>
      </x:c>
      <x:c r="D938" s="66" t="n">
        <x:v>2022</x:v>
      </x:c>
      <x:c r="E938" s="67" t="n">
        <x:v>62892</x:v>
      </x:c>
      <x:c r="F938" s="68" t="n">
        <x:v>16.8</x:v>
      </x:c>
      <x:c r="G938" s="69" t="n">
        <x:f>IF(COUNT(E938:F938)=2,E938*F938,"")</x:f>
        <x:v>1056585.6</x:v>
      </x:c>
    </x:row>
    <x:row r="939">
      <x:c r="A939" s="66" t="n">
        <x:v>10</x:v>
      </x:c>
      <x:c r="B939" s="44" t="str">
        <x:v>Canola/Rapeseed</x:v>
      </x:c>
      <x:c r="C939" s="44" t="str">
        <x:v>L233P</x:v>
      </x:c>
      <x:c r="D939" s="66" t="n">
        <x:v>2023</x:v>
      </x:c>
      <x:c r="E939" s="67" t="n">
        <x:v>62434</x:v>
      </x:c>
      <x:c r="F939" s="68" t="n">
        <x:v>13.4</x:v>
      </x:c>
      <x:c r="G939" s="69" t="n">
        <x:f>IF(COUNT(E939:F939)=2,E939*F939,"")</x:f>
        <x:v>836615.6</x:v>
      </x:c>
    </x:row>
    <x:row r="940">
      <x:c r="A940" s="66" t="n">
        <x:v>10</x:v>
      </x:c>
      <x:c r="B940" s="44" t="str">
        <x:v>Canola/Rapeseed</x:v>
      </x:c>
      <x:c r="C940" s="44" t="str">
        <x:v>L233P</x:v>
      </x:c>
      <x:c r="D940" s="66" t="n">
        <x:v>2024</x:v>
      </x:c>
      <x:c r="E940" s="67" t="n">
        <x:v>42084</x:v>
      </x:c>
      <x:c r="F940" s="68" t="n">
        <x:v>20.7</x:v>
      </x:c>
      <x:c r="G940" s="69" t="n">
        <x:f>IF(COUNT(E940:F940)=2,E940*F940,"")</x:f>
        <x:v>871138.7999999999</x:v>
      </x:c>
    </x:row>
    <x:row r="941">
      <x:c r="A941" s="66" t="n">
        <x:v>10</x:v>
      </x:c>
      <x:c r="B941" s="44" t="str">
        <x:v>Canola/Rapeseed</x:v>
      </x:c>
      <x:c r="C941" s="44" t="str">
        <x:v>L233P</x:v>
      </x:c>
      <x:c r="D941" s="66" t="n">
        <x:v>2025</x:v>
      </x:c>
      <x:c r="E941" s="67" t="n">
        <x:v>17765</x:v>
      </x:c>
      <x:c r="F941" s="68" t="n">
        <x:v>38.5</x:v>
      </x:c>
      <x:c r="G941" s="69" t="n">
        <x:f>IF(COUNT(E941:F941)=2,E941*F941,"")</x:f>
        <x:v>683952.5</x:v>
      </x:c>
    </x:row>
    <x:row r="942">
      <x:c r="A942" s="66" t="n">
        <x:v>10</x:v>
      </x:c>
      <x:c r="B942" s="44" t="str">
        <x:v>Canola/Rapeseed</x:v>
      </x:c>
      <x:c r="C942" s="44" t="str">
        <x:v>L330PC</x:v>
      </x:c>
      <x:c r="D942" s="66" t="n">
        <x:v>2021</x:v>
      </x:c>
      <x:c r="E942" s="67"/>
      <x:c r="F942" s="68"/>
      <x:c r="G942" s="69" t="str">
        <x:f>IF(COUNT(E942:F942)=2,E942*F942,"")</x:f>
      </x:c>
    </x:row>
    <x:row r="943">
      <x:c r="A943" s="66" t="n">
        <x:v>10</x:v>
      </x:c>
      <x:c r="B943" s="44" t="str">
        <x:v>Canola/Rapeseed</x:v>
      </x:c>
      <x:c r="C943" s="44" t="str">
        <x:v>L330PC</x:v>
      </x:c>
      <x:c r="D943" s="66" t="n">
        <x:v>2022</x:v>
      </x:c>
      <x:c r="E943" s="67"/>
      <x:c r="F943" s="68"/>
      <x:c r="G943" s="69" t="str">
        <x:f>IF(COUNT(E943:F943)=2,E943*F943,"")</x:f>
      </x:c>
    </x:row>
    <x:row r="944">
      <x:c r="A944" s="66" t="n">
        <x:v>10</x:v>
      </x:c>
      <x:c r="B944" s="44" t="str">
        <x:v>Canola/Rapeseed</x:v>
      </x:c>
      <x:c r="C944" s="44" t="str">
        <x:v>L330PC</x:v>
      </x:c>
      <x:c r="D944" s="66" t="n">
        <x:v>2023</x:v>
      </x:c>
      <x:c r="E944" s="67"/>
      <x:c r="F944" s="68"/>
      <x:c r="G944" s="69" t="str">
        <x:f>IF(COUNT(E944:F944)=2,E944*F944,"")</x:f>
      </x:c>
    </x:row>
    <x:row r="945">
      <x:c r="A945" s="66" t="n">
        <x:v>10</x:v>
      </x:c>
      <x:c r="B945" s="44" t="str">
        <x:v>Canola/Rapeseed</x:v>
      </x:c>
      <x:c r="C945" s="44" t="str">
        <x:v>L330PC</x:v>
      </x:c>
      <x:c r="D945" s="66" t="n">
        <x:v>2024</x:v>
      </x:c>
      <x:c r="E945" s="67"/>
      <x:c r="F945" s="68"/>
      <x:c r="G945" s="69" t="str">
        <x:f>IF(COUNT(E945:F945)=2,E945*F945,"")</x:f>
      </x:c>
    </x:row>
    <x:row r="946">
      <x:c r="A946" s="66" t="n">
        <x:v>10</x:v>
      </x:c>
      <x:c r="B946" s="44" t="str">
        <x:v>Canola/Rapeseed</x:v>
      </x:c>
      <x:c r="C946" s="44" t="str">
        <x:v>L330PC</x:v>
      </x:c>
      <x:c r="D946" s="66" t="n">
        <x:v>2025</x:v>
      </x:c>
      <x:c r="E946" s="67" t="n">
        <x:v>18018</x:v>
      </x:c>
      <x:c r="F946" s="68" t="n">
        <x:v>37.1</x:v>
      </x:c>
      <x:c r="G946" s="69" t="n">
        <x:f>IF(COUNT(E946:F946)=2,E946*F946,"")</x:f>
        <x:v>668467.8</x:v>
      </x:c>
    </x:row>
    <x:row r="947">
      <x:c r="A947" s="66" t="n">
        <x:v>10</x:v>
      </x:c>
      <x:c r="B947" s="44" t="str">
        <x:v>Canola/Rapeseed</x:v>
      </x:c>
      <x:c r="C947" s="44" t="str">
        <x:v>L333PC</x:v>
      </x:c>
      <x:c r="D947" s="66" t="n">
        <x:v>2021</x:v>
      </x:c>
      <x:c r="E947" s="67"/>
      <x:c r="F947" s="68"/>
      <x:c r="G947" s="69" t="str">
        <x:f>IF(COUNT(E947:F947)=2,E947*F947,"")</x:f>
      </x:c>
    </x:row>
    <x:row r="948">
      <x:c r="A948" s="66" t="n">
        <x:v>10</x:v>
      </x:c>
      <x:c r="B948" s="44" t="str">
        <x:v>Canola/Rapeseed</x:v>
      </x:c>
      <x:c r="C948" s="44" t="str">
        <x:v>L333PC</x:v>
      </x:c>
      <x:c r="D948" s="66" t="n">
        <x:v>2022</x:v>
      </x:c>
      <x:c r="E948" s="67"/>
      <x:c r="F948" s="68"/>
      <x:c r="G948" s="69" t="str">
        <x:f>IF(COUNT(E948:F948)=2,E948*F948,"")</x:f>
      </x:c>
    </x:row>
    <x:row r="949">
      <x:c r="A949" s="66" t="n">
        <x:v>10</x:v>
      </x:c>
      <x:c r="B949" s="44" t="str">
        <x:v>Canola/Rapeseed</x:v>
      </x:c>
      <x:c r="C949" s="44" t="str">
        <x:v>L333PC</x:v>
      </x:c>
      <x:c r="D949" s="66" t="n">
        <x:v>2023</x:v>
      </x:c>
      <x:c r="E949" s="67"/>
      <x:c r="F949" s="68"/>
      <x:c r="G949" s="69" t="str">
        <x:f>IF(COUNT(E949:F949)=2,E949*F949,"")</x:f>
      </x:c>
    </x:row>
    <x:row r="950">
      <x:c r="A950" s="66" t="n">
        <x:v>10</x:v>
      </x:c>
      <x:c r="B950" s="44" t="str">
        <x:v>Canola/Rapeseed</x:v>
      </x:c>
      <x:c r="C950" s="44" t="str">
        <x:v>L333PC</x:v>
      </x:c>
      <x:c r="D950" s="66" t="n">
        <x:v>2024</x:v>
      </x:c>
      <x:c r="E950" s="67"/>
      <x:c r="F950" s="68"/>
      <x:c r="G950" s="69" t="str">
        <x:f>IF(COUNT(E950:F950)=2,E950*F950,"")</x:f>
      </x:c>
    </x:row>
    <x:row r="951">
      <x:c r="A951" s="66" t="n">
        <x:v>10</x:v>
      </x:c>
      <x:c r="B951" s="44" t="str">
        <x:v>Canola/Rapeseed</x:v>
      </x:c>
      <x:c r="C951" s="44" t="str">
        <x:v>L333PC</x:v>
      </x:c>
      <x:c r="D951" s="66" t="n">
        <x:v>2025</x:v>
      </x:c>
      <x:c r="E951" s="67" t="n">
        <x:v>3947</x:v>
      </x:c>
      <x:c r="F951" s="68" t="n">
        <x:v>32.7</x:v>
      </x:c>
      <x:c r="G951" s="69" t="n">
        <x:f>IF(COUNT(E951:F951)=2,E951*F951,"")</x:f>
        <x:v>129066.90000000001</x:v>
      </x:c>
    </x:row>
    <x:row r="952">
      <x:c r="A952" s="66" t="n">
        <x:v>10</x:v>
      </x:c>
      <x:c r="B952" s="44" t="str">
        <x:v>Canola/Rapeseed</x:v>
      </x:c>
      <x:c r="C952" s="44" t="str">
        <x:v>L340PC</x:v>
      </x:c>
      <x:c r="D952" s="66" t="n">
        <x:v>2021</x:v>
      </x:c>
      <x:c r="E952" s="67" t="n">
        <x:v>7707</x:v>
      </x:c>
      <x:c r="F952" s="68" t="n">
        <x:v>18.6</x:v>
      </x:c>
      <x:c r="G952" s="69" t="n">
        <x:f>IF(COUNT(E952:F952)=2,E952*F952,"")</x:f>
        <x:v>143350.2</x:v>
      </x:c>
    </x:row>
    <x:row r="953">
      <x:c r="A953" s="66" t="n">
        <x:v>10</x:v>
      </x:c>
      <x:c r="B953" s="44" t="str">
        <x:v>Canola/Rapeseed</x:v>
      </x:c>
      <x:c r="C953" s="44" t="str">
        <x:v>L340PC</x:v>
      </x:c>
      <x:c r="D953" s="66" t="n">
        <x:v>2022</x:v>
      </x:c>
      <x:c r="E953" s="67" t="n">
        <x:v>37541</x:v>
      </x:c>
      <x:c r="F953" s="68" t="n">
        <x:v>25.8</x:v>
      </x:c>
      <x:c r="G953" s="69" t="n">
        <x:f>IF(COUNT(E953:F953)=2,E953*F953,"")</x:f>
        <x:v>968557.8</x:v>
      </x:c>
    </x:row>
    <x:row r="954">
      <x:c r="A954" s="66" t="n">
        <x:v>10</x:v>
      </x:c>
      <x:c r="B954" s="44" t="str">
        <x:v>Canola/Rapeseed</x:v>
      </x:c>
      <x:c r="C954" s="44" t="str">
        <x:v>L340PC</x:v>
      </x:c>
      <x:c r="D954" s="66" t="n">
        <x:v>2023</x:v>
      </x:c>
      <x:c r="E954" s="67" t="n">
        <x:v>78375</x:v>
      </x:c>
      <x:c r="F954" s="68" t="n">
        <x:v>17.1</x:v>
      </x:c>
      <x:c r="G954" s="69" t="n">
        <x:f>IF(COUNT(E954:F954)=2,E954*F954,"")</x:f>
        <x:v>1340212.5</x:v>
      </x:c>
    </x:row>
    <x:row r="955">
      <x:c r="A955" s="66" t="n">
        <x:v>10</x:v>
      </x:c>
      <x:c r="B955" s="44" t="str">
        <x:v>Canola/Rapeseed</x:v>
      </x:c>
      <x:c r="C955" s="44" t="str">
        <x:v>L340PC</x:v>
      </x:c>
      <x:c r="D955" s="66" t="n">
        <x:v>2024</x:v>
      </x:c>
      <x:c r="E955" s="67" t="n">
        <x:v>80537</x:v>
      </x:c>
      <x:c r="F955" s="68" t="n">
        <x:v>19.9</x:v>
      </x:c>
      <x:c r="G955" s="69" t="n">
        <x:f>IF(COUNT(E955:F955)=2,E955*F955,"")</x:f>
        <x:v>1602686.2999999998</x:v>
      </x:c>
    </x:row>
    <x:row r="956">
      <x:c r="A956" s="66" t="n">
        <x:v>10</x:v>
      </x:c>
      <x:c r="B956" s="44" t="str">
        <x:v>Canola/Rapeseed</x:v>
      </x:c>
      <x:c r="C956" s="44" t="str">
        <x:v>L340PC</x:v>
      </x:c>
      <x:c r="D956" s="66" t="n">
        <x:v>2025</x:v>
      </x:c>
      <x:c r="E956" s="67" t="n">
        <x:v>57390</x:v>
      </x:c>
      <x:c r="F956" s="68" t="n">
        <x:v>37.3</x:v>
      </x:c>
      <x:c r="G956" s="69" t="n">
        <x:f>IF(COUNT(E956:F956)=2,E956*F956,"")</x:f>
        <x:v>2140647</x:v>
      </x:c>
    </x:row>
    <x:row r="957">
      <x:c r="A957" s="66" t="n">
        <x:v>10</x:v>
      </x:c>
      <x:c r="B957" s="44" t="str">
        <x:v>Canola/Rapeseed</x:v>
      </x:c>
      <x:c r="C957" s="44" t="str">
        <x:v>L341PC</x:v>
      </x:c>
      <x:c r="D957" s="66" t="n">
        <x:v>2021</x:v>
      </x:c>
      <x:c r="E957" s="67"/>
      <x:c r="F957" s="68"/>
      <x:c r="G957" s="69" t="str">
        <x:f>IF(COUNT(E957:F957)=2,E957*F957,"")</x:f>
      </x:c>
    </x:row>
    <x:row r="958">
      <x:c r="A958" s="66" t="n">
        <x:v>10</x:v>
      </x:c>
      <x:c r="B958" s="44" t="str">
        <x:v>Canola/Rapeseed</x:v>
      </x:c>
      <x:c r="C958" s="44" t="str">
        <x:v>L341PC</x:v>
      </x:c>
      <x:c r="D958" s="66" t="n">
        <x:v>2022</x:v>
      </x:c>
      <x:c r="E958" s="67"/>
      <x:c r="F958" s="68"/>
      <x:c r="G958" s="69" t="str">
        <x:f>IF(COUNT(E958:F958)=2,E958*F958,"")</x:f>
      </x:c>
    </x:row>
    <x:row r="959">
      <x:c r="A959" s="66" t="n">
        <x:v>10</x:v>
      </x:c>
      <x:c r="B959" s="44" t="str">
        <x:v>Canola/Rapeseed</x:v>
      </x:c>
      <x:c r="C959" s="44" t="str">
        <x:v>L341PC</x:v>
      </x:c>
      <x:c r="D959" s="66" t="n">
        <x:v>2023</x:v>
      </x:c>
      <x:c r="E959" s="67"/>
      <x:c r="F959" s="68"/>
      <x:c r="G959" s="69" t="str">
        <x:f>IF(COUNT(E959:F959)=2,E959*F959,"")</x:f>
      </x:c>
    </x:row>
    <x:row r="960">
      <x:c r="A960" s="66" t="n">
        <x:v>10</x:v>
      </x:c>
      <x:c r="B960" s="44" t="str">
        <x:v>Canola/Rapeseed</x:v>
      </x:c>
      <x:c r="C960" s="44" t="str">
        <x:v>L341PC</x:v>
      </x:c>
      <x:c r="D960" s="66" t="n">
        <x:v>2024</x:v>
      </x:c>
      <x:c r="E960" s="67"/>
      <x:c r="F960" s="68"/>
      <x:c r="G960" s="69" t="str">
        <x:f>IF(COUNT(E960:F960)=2,E960*F960,"")</x:f>
      </x:c>
    </x:row>
    <x:row r="961">
      <x:c r="A961" s="66" t="n">
        <x:v>10</x:v>
      </x:c>
      <x:c r="B961" s="44" t="str">
        <x:v>Canola/Rapeseed</x:v>
      </x:c>
      <x:c r="C961" s="44" t="str">
        <x:v>L341PC</x:v>
      </x:c>
      <x:c r="D961" s="66" t="n">
        <x:v>2025</x:v>
      </x:c>
      <x:c r="E961" s="67" t="n">
        <x:v>2770</x:v>
      </x:c>
      <x:c r="F961" s="68" t="n">
        <x:v>23.4</x:v>
      </x:c>
      <x:c r="G961" s="69" t="n">
        <x:f>IF(COUNT(E961:F961)=2,E961*F961,"")</x:f>
        <x:v>64817.99999999999</x:v>
      </x:c>
    </x:row>
    <x:row r="962">
      <x:c r="A962" s="66" t="n">
        <x:v>10</x:v>
      </x:c>
      <x:c r="B962" s="44" t="str">
        <x:v>Canola/Rapeseed</x:v>
      </x:c>
      <x:c r="C962" s="44" t="str">
        <x:v>L343PC</x:v>
      </x:c>
      <x:c r="D962" s="66" t="n">
        <x:v>2021</x:v>
      </x:c>
      <x:c r="E962" s="67"/>
      <x:c r="F962" s="68"/>
      <x:c r="G962" s="69" t="str">
        <x:f>IF(COUNT(E962:F962)=2,E962*F962,"")</x:f>
      </x:c>
    </x:row>
    <x:row r="963">
      <x:c r="A963" s="66" t="n">
        <x:v>10</x:v>
      </x:c>
      <x:c r="B963" s="44" t="str">
        <x:v>Canola/Rapeseed</x:v>
      </x:c>
      <x:c r="C963" s="44" t="str">
        <x:v>L343PC</x:v>
      </x:c>
      <x:c r="D963" s="66" t="n">
        <x:v>2022</x:v>
      </x:c>
      <x:c r="E963" s="67" t="n">
        <x:v>4570</x:v>
      </x:c>
      <x:c r="F963" s="68" t="n">
        <x:v>12.3</x:v>
      </x:c>
      <x:c r="G963" s="69" t="n">
        <x:f>IF(COUNT(E963:F963)=2,E963*F963,"")</x:f>
        <x:v>56211</x:v>
      </x:c>
    </x:row>
    <x:row r="964">
      <x:c r="A964" s="66" t="n">
        <x:v>10</x:v>
      </x:c>
      <x:c r="B964" s="44" t="str">
        <x:v>Canola/Rapeseed</x:v>
      </x:c>
      <x:c r="C964" s="44" t="str">
        <x:v>L343PC</x:v>
      </x:c>
      <x:c r="D964" s="66" t="n">
        <x:v>2023</x:v>
      </x:c>
      <x:c r="E964" s="67" t="n">
        <x:v>4142</x:v>
      </x:c>
      <x:c r="F964" s="68" t="n">
        <x:v>14.9</x:v>
      </x:c>
      <x:c r="G964" s="69" t="n">
        <x:f>IF(COUNT(E964:F964)=2,E964*F964,"")</x:f>
        <x:v>61715.8</x:v>
      </x:c>
    </x:row>
    <x:row r="965">
      <x:c r="A965" s="66" t="n">
        <x:v>10</x:v>
      </x:c>
      <x:c r="B965" s="44" t="str">
        <x:v>Canola/Rapeseed</x:v>
      </x:c>
      <x:c r="C965" s="44" t="str">
        <x:v>L343PC</x:v>
      </x:c>
      <x:c r="D965" s="66" t="n">
        <x:v>2024</x:v>
      </x:c>
      <x:c r="E965" s="67" t="n">
        <x:v>1541</x:v>
      </x:c>
      <x:c r="F965" s="68" t="n">
        <x:v>15.3</x:v>
      </x:c>
      <x:c r="G965" s="69" t="n">
        <x:f>IF(COUNT(E965:F965)=2,E965*F965,"")</x:f>
        <x:v>23577.300000000003</x:v>
      </x:c>
    </x:row>
    <x:row r="966">
      <x:c r="A966" s="66" t="n">
        <x:v>10</x:v>
      </x:c>
      <x:c r="B966" s="44" t="str">
        <x:v>Canola/Rapeseed</x:v>
      </x:c>
      <x:c r="C966" s="44" t="str">
        <x:v>L343PC</x:v>
      </x:c>
      <x:c r="D966" s="66" t="n">
        <x:v>2025</x:v>
      </x:c>
      <x:c r="E966" s="67" t="n">
        <x:v>772</x:v>
      </x:c>
      <x:c r="F966" s="68" t="n">
        <x:v>30.4</x:v>
      </x:c>
      <x:c r="G966" s="69" t="n">
        <x:f>IF(COUNT(E966:F966)=2,E966*F966,"")</x:f>
        <x:v>23468.8</x:v>
      </x:c>
    </x:row>
    <x:row r="967">
      <x:c r="A967" s="66" t="n">
        <x:v>10</x:v>
      </x:c>
      <x:c r="B967" s="44" t="str">
        <x:v>Canola/Rapeseed</x:v>
      </x:c>
      <x:c r="C967" s="44" t="str">
        <x:v>L345PC</x:v>
      </x:c>
      <x:c r="D967" s="66" t="n">
        <x:v>2021</x:v>
      </x:c>
      <x:c r="E967" s="67" t="n">
        <x:v>63344</x:v>
      </x:c>
      <x:c r="F967" s="68" t="n">
        <x:v>14.1</x:v>
      </x:c>
      <x:c r="G967" s="69" t="n">
        <x:f>IF(COUNT(E967:F967)=2,E967*F967,"")</x:f>
        <x:v>893150.4</x:v>
      </x:c>
    </x:row>
    <x:row r="968">
      <x:c r="A968" s="66" t="n">
        <x:v>10</x:v>
      </x:c>
      <x:c r="B968" s="44" t="str">
        <x:v>Canola/Rapeseed</x:v>
      </x:c>
      <x:c r="C968" s="44" t="str">
        <x:v>L345PC</x:v>
      </x:c>
      <x:c r="D968" s="66" t="n">
        <x:v>2022</x:v>
      </x:c>
      <x:c r="E968" s="67" t="n">
        <x:v>41445</x:v>
      </x:c>
      <x:c r="F968" s="68" t="n">
        <x:v>23</x:v>
      </x:c>
      <x:c r="G968" s="69" t="n">
        <x:f>IF(COUNT(E968:F968)=2,E968*F968,"")</x:f>
        <x:v>953235</x:v>
      </x:c>
    </x:row>
    <x:row r="969">
      <x:c r="A969" s="66" t="n">
        <x:v>10</x:v>
      </x:c>
      <x:c r="B969" s="44" t="str">
        <x:v>Canola/Rapeseed</x:v>
      </x:c>
      <x:c r="C969" s="44" t="str">
        <x:v>L345PC</x:v>
      </x:c>
      <x:c r="D969" s="66" t="n">
        <x:v>2023</x:v>
      </x:c>
      <x:c r="E969" s="67" t="n">
        <x:v>15562</x:v>
      </x:c>
      <x:c r="F969" s="68" t="n">
        <x:v>13.2</x:v>
      </x:c>
      <x:c r="G969" s="69" t="n">
        <x:f>IF(COUNT(E969:F969)=2,E969*F969,"")</x:f>
        <x:v>205418.4</x:v>
      </x:c>
    </x:row>
    <x:row r="970">
      <x:c r="A970" s="66" t="n">
        <x:v>10</x:v>
      </x:c>
      <x:c r="B970" s="44" t="str">
        <x:v>Canola/Rapeseed</x:v>
      </x:c>
      <x:c r="C970" s="44" t="str">
        <x:v>L345PC</x:v>
      </x:c>
      <x:c r="D970" s="66" t="n">
        <x:v>2024</x:v>
      </x:c>
      <x:c r="E970" s="67" t="n">
        <x:v>22352</x:v>
      </x:c>
      <x:c r="F970" s="68" t="n">
        <x:v>20.2</x:v>
      </x:c>
      <x:c r="G970" s="69" t="n">
        <x:f>IF(COUNT(E970:F970)=2,E970*F970,"")</x:f>
        <x:v>451510.39999999997</x:v>
      </x:c>
    </x:row>
    <x:row r="971">
      <x:c r="A971" s="66" t="n">
        <x:v>10</x:v>
      </x:c>
      <x:c r="B971" s="44" t="str">
        <x:v>Canola/Rapeseed</x:v>
      </x:c>
      <x:c r="C971" s="44" t="str">
        <x:v>L345PC</x:v>
      </x:c>
      <x:c r="D971" s="66" t="n">
        <x:v>2025</x:v>
      </x:c>
      <x:c r="E971" s="67" t="n">
        <x:v>11678</x:v>
      </x:c>
      <x:c r="F971" s="68" t="n">
        <x:v>34.3</x:v>
      </x:c>
      <x:c r="G971" s="69" t="n">
        <x:f>IF(COUNT(E971:F971)=2,E971*F971,"")</x:f>
        <x:v>400555.39999999997</x:v>
      </x:c>
    </x:row>
    <x:row r="972">
      <x:c r="A972" s="66" t="n">
        <x:v>11</x:v>
      </x:c>
      <x:c r="B972" s="44" t="str">
        <x:v>Canola/Rapeseed</x:v>
      </x:c>
      <x:c r="C972" s="44" t="str">
        <x:v>BY 6211TF</x:v>
      </x:c>
      <x:c r="D972" s="66" t="n">
        <x:v>2021</x:v>
      </x:c>
      <x:c r="E972" s="67"/>
      <x:c r="F972" s="68"/>
      <x:c r="G972" s="69" t="str">
        <x:f>IF(COUNT(E972:F972)=2,E972*F972,"")</x:f>
      </x:c>
    </x:row>
    <x:row r="973">
      <x:c r="A973" s="66" t="n">
        <x:v>11</x:v>
      </x:c>
      <x:c r="B973" s="44" t="str">
        <x:v>Canola/Rapeseed</x:v>
      </x:c>
      <x:c r="C973" s="44" t="str">
        <x:v>BY 6211TF</x:v>
      </x:c>
      <x:c r="D973" s="66" t="n">
        <x:v>2022</x:v>
      </x:c>
      <x:c r="E973" s="67" t="n">
        <x:v>1880</x:v>
      </x:c>
      <x:c r="F973" s="68" t="n">
        <x:v>40.7</x:v>
      </x:c>
      <x:c r="G973" s="69" t="n">
        <x:f>IF(COUNT(E973:F973)=2,E973*F973,"")</x:f>
        <x:v>76516</x:v>
      </x:c>
    </x:row>
    <x:row r="974">
      <x:c r="A974" s="66" t="n">
        <x:v>11</x:v>
      </x:c>
      <x:c r="B974" s="44" t="str">
        <x:v>Canola/Rapeseed</x:v>
      </x:c>
      <x:c r="C974" s="44" t="str">
        <x:v>BY 6211TF</x:v>
      </x:c>
      <x:c r="D974" s="66" t="n">
        <x:v>2023</x:v>
      </x:c>
      <x:c r="E974" s="67" t="n">
        <x:v>5786</x:v>
      </x:c>
      <x:c r="F974" s="68" t="n">
        <x:v>38.4</x:v>
      </x:c>
      <x:c r="G974" s="69" t="n">
        <x:f>IF(COUNT(E974:F974)=2,E974*F974,"")</x:f>
        <x:v>222182.4</x:v>
      </x:c>
    </x:row>
    <x:row r="975">
      <x:c r="A975" s="66" t="n">
        <x:v>11</x:v>
      </x:c>
      <x:c r="B975" s="44" t="str">
        <x:v>Canola/Rapeseed</x:v>
      </x:c>
      <x:c r="C975" s="44" t="str">
        <x:v>BY 6211TF</x:v>
      </x:c>
      <x:c r="D975" s="66" t="n">
        <x:v>2024</x:v>
      </x:c>
      <x:c r="E975" s="67" t="n">
        <x:v>3714</x:v>
      </x:c>
      <x:c r="F975" s="68" t="n">
        <x:v>27.6</x:v>
      </x:c>
      <x:c r="G975" s="69" t="n">
        <x:f>IF(COUNT(E975:F975)=2,E975*F975,"")</x:f>
        <x:v>102506.40000000001</x:v>
      </x:c>
    </x:row>
    <x:row r="976">
      <x:c r="A976" s="66" t="n">
        <x:v>11</x:v>
      </x:c>
      <x:c r="B976" s="44" t="str">
        <x:v>Canola/Rapeseed</x:v>
      </x:c>
      <x:c r="C976" s="44" t="str">
        <x:v>BY 6211TF</x:v>
      </x:c>
      <x:c r="D976" s="66" t="n">
        <x:v>2025</x:v>
      </x:c>
      <x:c r="E976" s="67" t="n">
        <x:v>2469</x:v>
      </x:c>
      <x:c r="F976" s="68" t="n">
        <x:v>35.8</x:v>
      </x:c>
      <x:c r="G976" s="69" t="n">
        <x:f>IF(COUNT(E976:F976)=2,E976*F976,"")</x:f>
        <x:v>88390.2</x:v>
      </x:c>
    </x:row>
    <x:row r="977">
      <x:c r="A977" s="66" t="n">
        <x:v>11</x:v>
      </x:c>
      <x:c r="B977" s="44" t="str">
        <x:v>Canola/Rapeseed</x:v>
      </x:c>
      <x:c r="C977" s="44" t="str">
        <x:v>BY 6214TF</x:v>
      </x:c>
      <x:c r="D977" s="66" t="n">
        <x:v>2021</x:v>
      </x:c>
      <x:c r="E977" s="67"/>
      <x:c r="F977" s="68"/>
      <x:c r="G977" s="69" t="str">
        <x:f>IF(COUNT(E977:F977)=2,E977*F977,"")</x:f>
      </x:c>
    </x:row>
    <x:row r="978">
      <x:c r="A978" s="66" t="n">
        <x:v>11</x:v>
      </x:c>
      <x:c r="B978" s="44" t="str">
        <x:v>Canola/Rapeseed</x:v>
      </x:c>
      <x:c r="C978" s="44" t="str">
        <x:v>BY 6214TF</x:v>
      </x:c>
      <x:c r="D978" s="66" t="n">
        <x:v>2022</x:v>
      </x:c>
      <x:c r="E978" s="67"/>
      <x:c r="F978" s="68"/>
      <x:c r="G978" s="69" t="str">
        <x:f>IF(COUNT(E978:F978)=2,E978*F978,"")</x:f>
      </x:c>
    </x:row>
    <x:row r="979">
      <x:c r="A979" s="66" t="n">
        <x:v>11</x:v>
      </x:c>
      <x:c r="B979" s="44" t="str">
        <x:v>Canola/Rapeseed</x:v>
      </x:c>
      <x:c r="C979" s="44" t="str">
        <x:v>BY 6214TF</x:v>
      </x:c>
      <x:c r="D979" s="66" t="n">
        <x:v>2023</x:v>
      </x:c>
      <x:c r="E979" s="67" t="n">
        <x:v>2269</x:v>
      </x:c>
      <x:c r="F979" s="68" t="n">
        <x:v>40</x:v>
      </x:c>
      <x:c r="G979" s="69" t="n">
        <x:f>IF(COUNT(E979:F979)=2,E979*F979,"")</x:f>
        <x:v>90760</x:v>
      </x:c>
    </x:row>
    <x:row r="980">
      <x:c r="A980" s="66" t="n">
        <x:v>11</x:v>
      </x:c>
      <x:c r="B980" s="44" t="str">
        <x:v>Canola/Rapeseed</x:v>
      </x:c>
      <x:c r="C980" s="44" t="str">
        <x:v>BY 6214TF</x:v>
      </x:c>
      <x:c r="D980" s="66" t="n">
        <x:v>2024</x:v>
      </x:c>
      <x:c r="E980" s="67" t="n">
        <x:v>1179</x:v>
      </x:c>
      <x:c r="F980" s="68" t="n">
        <x:v>36</x:v>
      </x:c>
      <x:c r="G980" s="69" t="n">
        <x:f>IF(COUNT(E980:F980)=2,E980*F980,"")</x:f>
        <x:v>42444</x:v>
      </x:c>
    </x:row>
    <x:row r="981">
      <x:c r="A981" s="66" t="n">
        <x:v>11</x:v>
      </x:c>
      <x:c r="B981" s="44" t="str">
        <x:v>Canola/Rapeseed</x:v>
      </x:c>
      <x:c r="C981" s="44" t="str">
        <x:v>BY 6214TF</x:v>
      </x:c>
      <x:c r="D981" s="66" t="n">
        <x:v>2025</x:v>
      </x:c>
      <x:c r="E981" s="67" t="n">
        <x:v>550</x:v>
      </x:c>
      <x:c r="F981" s="68" t="n">
        <x:v>46.3</x:v>
      </x:c>
      <x:c r="G981" s="69" t="n">
        <x:f>IF(COUNT(E981:F981)=2,E981*F981,"")</x:f>
        <x:v>25465</x:v>
      </x:c>
    </x:row>
    <x:row r="982">
      <x:c r="A982" s="66" t="n">
        <x:v>11</x:v>
      </x:c>
      <x:c r="B982" s="44" t="str">
        <x:v>Canola/Rapeseed</x:v>
      </x:c>
      <x:c r="C982" s="44" t="str">
        <x:v>BY 6217TF</x:v>
      </x:c>
      <x:c r="D982" s="66" t="n">
        <x:v>2021</x:v>
      </x:c>
      <x:c r="E982" s="67"/>
      <x:c r="F982" s="68"/>
      <x:c r="G982" s="69" t="str">
        <x:f>IF(COUNT(E982:F982)=2,E982*F982,"")</x:f>
      </x:c>
    </x:row>
    <x:row r="983">
      <x:c r="A983" s="66" t="n">
        <x:v>11</x:v>
      </x:c>
      <x:c r="B983" s="44" t="str">
        <x:v>Canola/Rapeseed</x:v>
      </x:c>
      <x:c r="C983" s="44" t="str">
        <x:v>BY 6217TF</x:v>
      </x:c>
      <x:c r="D983" s="66" t="n">
        <x:v>2022</x:v>
      </x:c>
      <x:c r="E983" s="67"/>
      <x:c r="F983" s="68"/>
      <x:c r="G983" s="69" t="str">
        <x:f>IF(COUNT(E983:F983)=2,E983*F983,"")</x:f>
      </x:c>
    </x:row>
    <x:row r="984">
      <x:c r="A984" s="66" t="n">
        <x:v>11</x:v>
      </x:c>
      <x:c r="B984" s="44" t="str">
        <x:v>Canola/Rapeseed</x:v>
      </x:c>
      <x:c r="C984" s="44" t="str">
        <x:v>BY 6217TF</x:v>
      </x:c>
      <x:c r="D984" s="66" t="n">
        <x:v>2023</x:v>
      </x:c>
      <x:c r="E984" s="67" t="n">
        <x:v>3431</x:v>
      </x:c>
      <x:c r="F984" s="68" t="n">
        <x:v>39</x:v>
      </x:c>
      <x:c r="G984" s="69" t="n">
        <x:f>IF(COUNT(E984:F984)=2,E984*F984,"")</x:f>
        <x:v>133809</x:v>
      </x:c>
    </x:row>
    <x:row r="985">
      <x:c r="A985" s="66" t="n">
        <x:v>11</x:v>
      </x:c>
      <x:c r="B985" s="44" t="str">
        <x:v>Canola/Rapeseed</x:v>
      </x:c>
      <x:c r="C985" s="44" t="str">
        <x:v>BY 6217TF</x:v>
      </x:c>
      <x:c r="D985" s="66" t="n">
        <x:v>2024</x:v>
      </x:c>
      <x:c r="E985" s="67" t="n">
        <x:v>2582</x:v>
      </x:c>
      <x:c r="F985" s="68" t="n">
        <x:v>34.5</x:v>
      </x:c>
      <x:c r="G985" s="69" t="n">
        <x:f>IF(COUNT(E985:F985)=2,E985*F985,"")</x:f>
        <x:v>89079</x:v>
      </x:c>
    </x:row>
    <x:row r="986">
      <x:c r="A986" s="66" t="n">
        <x:v>11</x:v>
      </x:c>
      <x:c r="B986" s="44" t="str">
        <x:v>Canola/Rapeseed</x:v>
      </x:c>
      <x:c r="C986" s="44" t="str">
        <x:v>BY 6217TF</x:v>
      </x:c>
      <x:c r="D986" s="66" t="n">
        <x:v>2025</x:v>
      </x:c>
      <x:c r="E986" s="67" t="n">
        <x:v>3389</x:v>
      </x:c>
      <x:c r="F986" s="68" t="n">
        <x:v>43.3</x:v>
      </x:c>
      <x:c r="G986" s="69" t="n">
        <x:f>IF(COUNT(E986:F986)=2,E986*F986,"")</x:f>
        <x:v>146743.69999999998</x:v>
      </x:c>
    </x:row>
    <x:row r="987">
      <x:c r="A987" s="66" t="n">
        <x:v>11</x:v>
      </x:c>
      <x:c r="B987" s="44" t="str">
        <x:v>Canola/Rapeseed</x:v>
      </x:c>
      <x:c r="C987" s="44" t="str">
        <x:v>BY 7204LL</x:v>
      </x:c>
      <x:c r="D987" s="66" t="n">
        <x:v>2021</x:v>
      </x:c>
      <x:c r="E987" s="67"/>
      <x:c r="F987" s="68"/>
      <x:c r="G987" s="69" t="str">
        <x:f>IF(COUNT(E987:F987)=2,E987*F987,"")</x:f>
      </x:c>
    </x:row>
    <x:row r="988">
      <x:c r="A988" s="66" t="n">
        <x:v>11</x:v>
      </x:c>
      <x:c r="B988" s="44" t="str">
        <x:v>Canola/Rapeseed</x:v>
      </x:c>
      <x:c r="C988" s="44" t="str">
        <x:v>BY 7204LL</x:v>
      </x:c>
      <x:c r="D988" s="66" t="n">
        <x:v>2022</x:v>
      </x:c>
      <x:c r="E988" s="67"/>
      <x:c r="F988" s="68"/>
      <x:c r="G988" s="69" t="str">
        <x:f>IF(COUNT(E988:F988)=2,E988*F988,"")</x:f>
      </x:c>
    </x:row>
    <x:row r="989">
      <x:c r="A989" s="66" t="n">
        <x:v>11</x:v>
      </x:c>
      <x:c r="B989" s="44" t="str">
        <x:v>Canola/Rapeseed</x:v>
      </x:c>
      <x:c r="C989" s="44" t="str">
        <x:v>BY 7204LL</x:v>
      </x:c>
      <x:c r="D989" s="66" t="n">
        <x:v>2023</x:v>
      </x:c>
      <x:c r="E989" s="67"/>
      <x:c r="F989" s="68"/>
      <x:c r="G989" s="69" t="str">
        <x:f>IF(COUNT(E989:F989)=2,E989*F989,"")</x:f>
      </x:c>
    </x:row>
    <x:row r="990">
      <x:c r="A990" s="66" t="n">
        <x:v>11</x:v>
      </x:c>
      <x:c r="B990" s="44" t="str">
        <x:v>Canola/Rapeseed</x:v>
      </x:c>
      <x:c r="C990" s="44" t="str">
        <x:v>BY 7204LL</x:v>
      </x:c>
      <x:c r="D990" s="66" t="n">
        <x:v>2024</x:v>
      </x:c>
      <x:c r="E990" s="67" t="n">
        <x:v>8659</x:v>
      </x:c>
      <x:c r="F990" s="68" t="n">
        <x:v>27.1</x:v>
      </x:c>
      <x:c r="G990" s="69" t="n">
        <x:f>IF(COUNT(E990:F990)=2,E990*F990,"")</x:f>
        <x:v>234658.90000000002</x:v>
      </x:c>
    </x:row>
    <x:row r="991">
      <x:c r="A991" s="66" t="n">
        <x:v>11</x:v>
      </x:c>
      <x:c r="B991" s="44" t="str">
        <x:v>Canola/Rapeseed</x:v>
      </x:c>
      <x:c r="C991" s="44" t="str">
        <x:v>BY 7204LL</x:v>
      </x:c>
      <x:c r="D991" s="66" t="n">
        <x:v>2025</x:v>
      </x:c>
      <x:c r="E991" s="67" t="n">
        <x:v>5969</x:v>
      </x:c>
      <x:c r="F991" s="68" t="n">
        <x:v>44.2</x:v>
      </x:c>
      <x:c r="G991" s="69" t="n">
        <x:f>IF(COUNT(E991:F991)=2,E991*F991,"")</x:f>
        <x:v>263829.8</x:v>
      </x:c>
    </x:row>
    <x:row r="992">
      <x:c r="A992" s="66" t="n">
        <x:v>11</x:v>
      </x:c>
      <x:c r="B992" s="44" t="str">
        <x:v>Canola/Rapeseed</x:v>
      </x:c>
      <x:c r="C992" s="44" t="str">
        <x:v>B3020</x:v>
      </x:c>
      <x:c r="D992" s="66" t="n">
        <x:v>2021</x:v>
      </x:c>
      <x:c r="E992" s="67"/>
      <x:c r="F992" s="68"/>
      <x:c r="G992" s="69" t="str">
        <x:f>IF(COUNT(E992:F992)=2,E992*F992,"")</x:f>
      </x:c>
    </x:row>
    <x:row r="993">
      <x:c r="A993" s="66" t="n">
        <x:v>11</x:v>
      </x:c>
      <x:c r="B993" s="44" t="str">
        <x:v>Canola/Rapeseed</x:v>
      </x:c>
      <x:c r="C993" s="44" t="str">
        <x:v>B3020</x:v>
      </x:c>
      <x:c r="D993" s="66" t="n">
        <x:v>2022</x:v>
      </x:c>
      <x:c r="E993" s="67"/>
      <x:c r="F993" s="68"/>
      <x:c r="G993" s="69" t="str">
        <x:f>IF(COUNT(E993:F993)=2,E993*F993,"")</x:f>
      </x:c>
    </x:row>
    <x:row r="994">
      <x:c r="A994" s="66" t="n">
        <x:v>11</x:v>
      </x:c>
      <x:c r="B994" s="44" t="str">
        <x:v>Canola/Rapeseed</x:v>
      </x:c>
      <x:c r="C994" s="44" t="str">
        <x:v>B3020</x:v>
      </x:c>
      <x:c r="D994" s="66" t="n">
        <x:v>2023</x:v>
      </x:c>
      <x:c r="E994" s="67"/>
      <x:c r="F994" s="68"/>
      <x:c r="G994" s="69" t="str">
        <x:f>IF(COUNT(E994:F994)=2,E994*F994,"")</x:f>
      </x:c>
    </x:row>
    <x:row r="995">
      <x:c r="A995" s="66" t="n">
        <x:v>11</x:v>
      </x:c>
      <x:c r="B995" s="44" t="str">
        <x:v>Canola/Rapeseed</x:v>
      </x:c>
      <x:c r="C995" s="44" t="str">
        <x:v>B3020</x:v>
      </x:c>
      <x:c r="D995" s="66" t="n">
        <x:v>2024</x:v>
      </x:c>
      <x:c r="E995" s="67"/>
      <x:c r="F995" s="68"/>
      <x:c r="G995" s="69" t="str">
        <x:f>IF(COUNT(E995:F995)=2,E995*F995,"")</x:f>
      </x:c>
    </x:row>
    <x:row r="996">
      <x:c r="A996" s="66" t="n">
        <x:v>11</x:v>
      </x:c>
      <x:c r="B996" s="44" t="str">
        <x:v>Canola/Rapeseed</x:v>
      </x:c>
      <x:c r="C996" s="44" t="str">
        <x:v>B3020</x:v>
      </x:c>
      <x:c r="D996" s="66" t="n">
        <x:v>2025</x:v>
      </x:c>
      <x:c r="E996" s="67" t="n">
        <x:v>441</x:v>
      </x:c>
      <x:c r="F996" s="68" t="n">
        <x:v>41.4</x:v>
      </x:c>
      <x:c r="G996" s="69" t="n">
        <x:f>IF(COUNT(E996:F996)=2,E996*F996,"")</x:f>
        <x:v>18257.399999999998</x:v>
      </x:c>
    </x:row>
    <x:row r="997">
      <x:c r="A997" s="66" t="n">
        <x:v>11</x:v>
      </x:c>
      <x:c r="B997" s="44" t="str">
        <x:v>Canola/Rapeseed</x:v>
      </x:c>
      <x:c r="C997" s="44" t="str">
        <x:v>CP21L3C</x:v>
      </x:c>
      <x:c r="D997" s="66" t="n">
        <x:v>2021</x:v>
      </x:c>
      <x:c r="E997" s="67"/>
      <x:c r="F997" s="68"/>
      <x:c r="G997" s="69" t="str">
        <x:f>IF(COUNT(E997:F997)=2,E997*F997,"")</x:f>
      </x:c>
    </x:row>
    <x:row r="998">
      <x:c r="A998" s="66" t="n">
        <x:v>11</x:v>
      </x:c>
      <x:c r="B998" s="44" t="str">
        <x:v>Canola/Rapeseed</x:v>
      </x:c>
      <x:c r="C998" s="44" t="str">
        <x:v>CP21L3C</x:v>
      </x:c>
      <x:c r="D998" s="66" t="n">
        <x:v>2022</x:v>
      </x:c>
      <x:c r="E998" s="67"/>
      <x:c r="F998" s="68"/>
      <x:c r="G998" s="69" t="str">
        <x:f>IF(COUNT(E998:F998)=2,E998*F998,"")</x:f>
      </x:c>
    </x:row>
    <x:row r="999">
      <x:c r="A999" s="66" t="n">
        <x:v>11</x:v>
      </x:c>
      <x:c r="B999" s="44" t="str">
        <x:v>Canola/Rapeseed</x:v>
      </x:c>
      <x:c r="C999" s="44" t="str">
        <x:v>CP21L3C</x:v>
      </x:c>
      <x:c r="D999" s="66" t="n">
        <x:v>2023</x:v>
      </x:c>
      <x:c r="E999" s="67"/>
      <x:c r="F999" s="68"/>
      <x:c r="G999" s="69" t="str">
        <x:f>IF(COUNT(E999:F999)=2,E999*F999,"")</x:f>
      </x:c>
    </x:row>
    <x:row r="1000">
      <x:c r="A1000" s="66" t="n">
        <x:v>11</x:v>
      </x:c>
      <x:c r="B1000" s="44" t="str">
        <x:v>Canola/Rapeseed</x:v>
      </x:c>
      <x:c r="C1000" s="44" t="str">
        <x:v>CP21L3C</x:v>
      </x:c>
      <x:c r="D1000" s="66" t="n">
        <x:v>2024</x:v>
      </x:c>
      <x:c r="E1000" s="67"/>
      <x:c r="F1000" s="68"/>
      <x:c r="G1000" s="69" t="str">
        <x:f>IF(COUNT(E1000:F1000)=2,E1000*F1000,"")</x:f>
      </x:c>
    </x:row>
    <x:row r="1001">
      <x:c r="A1001" s="66" t="n">
        <x:v>11</x:v>
      </x:c>
      <x:c r="B1001" s="44" t="str">
        <x:v>Canola/Rapeseed</x:v>
      </x:c>
      <x:c r="C1001" s="44" t="str">
        <x:v>CP21L3C</x:v>
      </x:c>
      <x:c r="D1001" s="66" t="n">
        <x:v>2025</x:v>
      </x:c>
      <x:c r="E1001" s="67" t="n">
        <x:v>668</x:v>
      </x:c>
      <x:c r="F1001" s="68" t="n">
        <x:v>49.6</x:v>
      </x:c>
      <x:c r="G1001" s="69" t="n">
        <x:f>IF(COUNT(E1001:F1001)=2,E1001*F1001,"")</x:f>
        <x:v>33132.8</x:v>
      </x:c>
    </x:row>
    <x:row r="1002">
      <x:c r="A1002" s="66" t="n">
        <x:v>11</x:v>
      </x:c>
      <x:c r="B1002" s="44" t="str">
        <x:v>Canola/Rapeseed</x:v>
      </x:c>
      <x:c r="C1002" s="44" t="str">
        <x:v>CS2600 CRT</x:v>
      </x:c>
      <x:c r="D1002" s="66" t="n">
        <x:v>2021</x:v>
      </x:c>
      <x:c r="E1002" s="67"/>
      <x:c r="F1002" s="68"/>
      <x:c r="G1002" s="69" t="str">
        <x:f>IF(COUNT(E1002:F1002)=2,E1002*F1002,"")</x:f>
      </x:c>
    </x:row>
    <x:row r="1003">
      <x:c r="A1003" s="66" t="n">
        <x:v>11</x:v>
      </x:c>
      <x:c r="B1003" s="44" t="str">
        <x:v>Canola/Rapeseed</x:v>
      </x:c>
      <x:c r="C1003" s="44" t="str">
        <x:v>CS2600 CRT</x:v>
      </x:c>
      <x:c r="D1003" s="66" t="n">
        <x:v>2022</x:v>
      </x:c>
      <x:c r="E1003" s="67"/>
      <x:c r="F1003" s="68"/>
      <x:c r="G1003" s="69" t="str">
        <x:f>IF(COUNT(E1003:F1003)=2,E1003*F1003,"")</x:f>
      </x:c>
    </x:row>
    <x:row r="1004">
      <x:c r="A1004" s="66" t="n">
        <x:v>11</x:v>
      </x:c>
      <x:c r="B1004" s="44" t="str">
        <x:v>Canola/Rapeseed</x:v>
      </x:c>
      <x:c r="C1004" s="44" t="str">
        <x:v>CS2600 CRT</x:v>
      </x:c>
      <x:c r="D1004" s="66" t="n">
        <x:v>2023</x:v>
      </x:c>
      <x:c r="E1004" s="67"/>
      <x:c r="F1004" s="68"/>
      <x:c r="G1004" s="69" t="str">
        <x:f>IF(COUNT(E1004:F1004)=2,E1004*F1004,"")</x:f>
      </x:c>
    </x:row>
    <x:row r="1005">
      <x:c r="A1005" s="66" t="n">
        <x:v>11</x:v>
      </x:c>
      <x:c r="B1005" s="44" t="str">
        <x:v>Canola/Rapeseed</x:v>
      </x:c>
      <x:c r="C1005" s="44" t="str">
        <x:v>CS2600 CRT</x:v>
      </x:c>
      <x:c r="D1005" s="66" t="n">
        <x:v>2024</x:v>
      </x:c>
      <x:c r="E1005" s="67"/>
      <x:c r="F1005" s="68"/>
      <x:c r="G1005" s="69" t="str">
        <x:f>IF(COUNT(E1005:F1005)=2,E1005*F1005,"")</x:f>
      </x:c>
    </x:row>
    <x:row r="1006">
      <x:c r="A1006" s="66" t="n">
        <x:v>11</x:v>
      </x:c>
      <x:c r="B1006" s="44" t="str">
        <x:v>Canola/Rapeseed</x:v>
      </x:c>
      <x:c r="C1006" s="44" t="str">
        <x:v>CS2600 CRT</x:v>
      </x:c>
      <x:c r="D1006" s="66" t="n">
        <x:v>2025</x:v>
      </x:c>
      <x:c r="E1006" s="67" t="n">
        <x:v>766</x:v>
      </x:c>
      <x:c r="F1006" s="68" t="n">
        <x:v>34.5</x:v>
      </x:c>
      <x:c r="G1006" s="69" t="n">
        <x:f>IF(COUNT(E1006:F1006)=2,E1006*F1006,"")</x:f>
        <x:v>26427</x:v>
      </x:c>
    </x:row>
    <x:row r="1007">
      <x:c r="A1007" s="66" t="n">
        <x:v>11</x:v>
      </x:c>
      <x:c r="B1007" s="44" t="str">
        <x:v>Canola/Rapeseed</x:v>
      </x:c>
      <x:c r="C1007" s="44" t="str">
        <x:v>CS3000 TF</x:v>
      </x:c>
      <x:c r="D1007" s="66" t="n">
        <x:v>2021</x:v>
      </x:c>
      <x:c r="E1007" s="67"/>
      <x:c r="F1007" s="68"/>
      <x:c r="G1007" s="69" t="str">
        <x:f>IF(COUNT(E1007:F1007)=2,E1007*F1007,"")</x:f>
      </x:c>
    </x:row>
    <x:row r="1008">
      <x:c r="A1008" s="66" t="n">
        <x:v>11</x:v>
      </x:c>
      <x:c r="B1008" s="44" t="str">
        <x:v>Canola/Rapeseed</x:v>
      </x:c>
      <x:c r="C1008" s="44" t="str">
        <x:v>CS3000 TF</x:v>
      </x:c>
      <x:c r="D1008" s="66" t="n">
        <x:v>2022</x:v>
      </x:c>
      <x:c r="E1008" s="67"/>
      <x:c r="F1008" s="68"/>
      <x:c r="G1008" s="69" t="str">
        <x:f>IF(COUNT(E1008:F1008)=2,E1008*F1008,"")</x:f>
      </x:c>
    </x:row>
    <x:row r="1009">
      <x:c r="A1009" s="66" t="n">
        <x:v>11</x:v>
      </x:c>
      <x:c r="B1009" s="44" t="str">
        <x:v>Canola/Rapeseed</x:v>
      </x:c>
      <x:c r="C1009" s="44" t="str">
        <x:v>CS3000 TF</x:v>
      </x:c>
      <x:c r="D1009" s="66" t="n">
        <x:v>2023</x:v>
      </x:c>
      <x:c r="E1009" s="67" t="n">
        <x:v>1470</x:v>
      </x:c>
      <x:c r="F1009" s="68" t="n">
        <x:v>44.8</x:v>
      </x:c>
      <x:c r="G1009" s="69" t="n">
        <x:f>IF(COUNT(E1009:F1009)=2,E1009*F1009,"")</x:f>
        <x:v>65856</x:v>
      </x:c>
    </x:row>
    <x:row r="1010">
      <x:c r="A1010" s="66" t="n">
        <x:v>11</x:v>
      </x:c>
      <x:c r="B1010" s="44" t="str">
        <x:v>Canola/Rapeseed</x:v>
      </x:c>
      <x:c r="C1010" s="44" t="str">
        <x:v>CS3000 TF</x:v>
      </x:c>
      <x:c r="D1010" s="66" t="n">
        <x:v>2024</x:v>
      </x:c>
      <x:c r="E1010" s="67" t="n">
        <x:v>1230</x:v>
      </x:c>
      <x:c r="F1010" s="68" t="n">
        <x:v>37</x:v>
      </x:c>
      <x:c r="G1010" s="69" t="n">
        <x:f>IF(COUNT(E1010:F1010)=2,E1010*F1010,"")</x:f>
        <x:v>45510</x:v>
      </x:c>
    </x:row>
    <x:row r="1011">
      <x:c r="A1011" s="66" t="n">
        <x:v>11</x:v>
      </x:c>
      <x:c r="B1011" s="44" t="str">
        <x:v>Canola/Rapeseed</x:v>
      </x:c>
      <x:c r="C1011" s="44" t="str">
        <x:v>CS3000 TF</x:v>
      </x:c>
      <x:c r="D1011" s="66" t="n">
        <x:v>2025</x:v>
      </x:c>
      <x:c r="E1011" s="67" t="n">
        <x:v>945</x:v>
      </x:c>
      <x:c r="F1011" s="68" t="n">
        <x:v>50.7</x:v>
      </x:c>
      <x:c r="G1011" s="69" t="n">
        <x:f>IF(COUNT(E1011:F1011)=2,E1011*F1011,"")</x:f>
        <x:v>47911.5</x:v>
      </x:c>
    </x:row>
    <x:row r="1012">
      <x:c r="A1012" s="66" t="n">
        <x:v>11</x:v>
      </x:c>
      <x:c r="B1012" s="44" t="str">
        <x:v>Canola/Rapeseed</x:v>
      </x:c>
      <x:c r="C1012" s="44" t="str">
        <x:v>CS3300 TF</x:v>
      </x:c>
      <x:c r="D1012" s="66" t="n">
        <x:v>2021</x:v>
      </x:c>
      <x:c r="E1012" s="67"/>
      <x:c r="F1012" s="68"/>
      <x:c r="G1012" s="69" t="str">
        <x:f>IF(COUNT(E1012:F1012)=2,E1012*F1012,"")</x:f>
      </x:c>
    </x:row>
    <x:row r="1013">
      <x:c r="A1013" s="66" t="n">
        <x:v>11</x:v>
      </x:c>
      <x:c r="B1013" s="44" t="str">
        <x:v>Canola/Rapeseed</x:v>
      </x:c>
      <x:c r="C1013" s="44" t="str">
        <x:v>CS3300 TF</x:v>
      </x:c>
      <x:c r="D1013" s="66" t="n">
        <x:v>2022</x:v>
      </x:c>
      <x:c r="E1013" s="67"/>
      <x:c r="F1013" s="68"/>
      <x:c r="G1013" s="69" t="str">
        <x:f>IF(COUNT(E1013:F1013)=2,E1013*F1013,"")</x:f>
      </x:c>
    </x:row>
    <x:row r="1014">
      <x:c r="A1014" s="66" t="n">
        <x:v>11</x:v>
      </x:c>
      <x:c r="B1014" s="44" t="str">
        <x:v>Canola/Rapeseed</x:v>
      </x:c>
      <x:c r="C1014" s="44" t="str">
        <x:v>CS3300 TF</x:v>
      </x:c>
      <x:c r="D1014" s="66" t="n">
        <x:v>2023</x:v>
      </x:c>
      <x:c r="E1014" s="67"/>
      <x:c r="F1014" s="68"/>
      <x:c r="G1014" s="69" t="str">
        <x:f>IF(COUNT(E1014:F1014)=2,E1014*F1014,"")</x:f>
      </x:c>
    </x:row>
    <x:row r="1015">
      <x:c r="A1015" s="66" t="n">
        <x:v>11</x:v>
      </x:c>
      <x:c r="B1015" s="44" t="str">
        <x:v>Canola/Rapeseed</x:v>
      </x:c>
      <x:c r="C1015" s="44" t="str">
        <x:v>CS3300 TF</x:v>
      </x:c>
      <x:c r="D1015" s="66" t="n">
        <x:v>2024</x:v>
      </x:c>
      <x:c r="E1015" s="67"/>
      <x:c r="F1015" s="68"/>
      <x:c r="G1015" s="69" t="str">
        <x:f>IF(COUNT(E1015:F1015)=2,E1015*F1015,"")</x:f>
      </x:c>
    </x:row>
    <x:row r="1016">
      <x:c r="A1016" s="66" t="n">
        <x:v>11</x:v>
      </x:c>
      <x:c r="B1016" s="44" t="str">
        <x:v>Canola/Rapeseed</x:v>
      </x:c>
      <x:c r="C1016" s="44" t="str">
        <x:v>CS3300 TF</x:v>
      </x:c>
      <x:c r="D1016" s="66" t="n">
        <x:v>2025</x:v>
      </x:c>
      <x:c r="E1016" s="67" t="n">
        <x:v>662</x:v>
      </x:c>
      <x:c r="F1016" s="68" t="n">
        <x:v>50.7</x:v>
      </x:c>
      <x:c r="G1016" s="69" t="n">
        <x:f>IF(COUNT(E1016:F1016)=2,E1016*F1016,"")</x:f>
        <x:v>33563.4</x:v>
      </x:c>
    </x:row>
    <x:row r="1017">
      <x:c r="A1017" s="66" t="n">
        <x:v>11</x:v>
      </x:c>
      <x:c r="B1017" s="44" t="str">
        <x:v>Canola/Rapeseed</x:v>
      </x:c>
      <x:c r="C1017" s="44" t="str">
        <x:v>CS4000 LL</x:v>
      </x:c>
      <x:c r="D1017" s="66" t="n">
        <x:v>2021</x:v>
      </x:c>
      <x:c r="E1017" s="67" t="n">
        <x:v>673</x:v>
      </x:c>
      <x:c r="F1017" s="68" t="n">
        <x:v>35.4</x:v>
      </x:c>
      <x:c r="G1017" s="69" t="n">
        <x:f>IF(COUNT(E1017:F1017)=2,E1017*F1017,"")</x:f>
        <x:v>23824.2</x:v>
      </x:c>
    </x:row>
    <x:row r="1018">
      <x:c r="A1018" s="66" t="n">
        <x:v>11</x:v>
      </x:c>
      <x:c r="B1018" s="44" t="str">
        <x:v>Canola/Rapeseed</x:v>
      </x:c>
      <x:c r="C1018" s="44" t="str">
        <x:v>CS4000 LL</x:v>
      </x:c>
      <x:c r="D1018" s="66" t="n">
        <x:v>2022</x:v>
      </x:c>
      <x:c r="E1018" s="67" t="n">
        <x:v>6094</x:v>
      </x:c>
      <x:c r="F1018" s="68" t="n">
        <x:v>43.9</x:v>
      </x:c>
      <x:c r="G1018" s="69" t="n">
        <x:f>IF(COUNT(E1018:F1018)=2,E1018*F1018,"")</x:f>
        <x:v>267526.6</x:v>
      </x:c>
    </x:row>
    <x:row r="1019">
      <x:c r="A1019" s="66" t="n">
        <x:v>11</x:v>
      </x:c>
      <x:c r="B1019" s="44" t="str">
        <x:v>Canola/Rapeseed</x:v>
      </x:c>
      <x:c r="C1019" s="44" t="str">
        <x:v>CS4000 LL</x:v>
      </x:c>
      <x:c r="D1019" s="66" t="n">
        <x:v>2023</x:v>
      </x:c>
      <x:c r="E1019" s="67" t="n">
        <x:v>2805</x:v>
      </x:c>
      <x:c r="F1019" s="68" t="n">
        <x:v>37.1</x:v>
      </x:c>
      <x:c r="G1019" s="69" t="n">
        <x:f>IF(COUNT(E1019:F1019)=2,E1019*F1019,"")</x:f>
        <x:v>104065.5</x:v>
      </x:c>
    </x:row>
    <x:row r="1020">
      <x:c r="A1020" s="66" t="n">
        <x:v>11</x:v>
      </x:c>
      <x:c r="B1020" s="44" t="str">
        <x:v>Canola/Rapeseed</x:v>
      </x:c>
      <x:c r="C1020" s="44" t="str">
        <x:v>CS4000 LL</x:v>
      </x:c>
      <x:c r="D1020" s="66" t="n">
        <x:v>2024</x:v>
      </x:c>
      <x:c r="E1020" s="67" t="n">
        <x:v>2116</x:v>
      </x:c>
      <x:c r="F1020" s="68" t="n">
        <x:v>32.7</x:v>
      </x:c>
      <x:c r="G1020" s="69" t="n">
        <x:f>IF(COUNT(E1020:F1020)=2,E1020*F1020,"")</x:f>
        <x:v>69193.20000000001</x:v>
      </x:c>
    </x:row>
    <x:row r="1021">
      <x:c r="A1021" s="66" t="n">
        <x:v>11</x:v>
      </x:c>
      <x:c r="B1021" s="44" t="str">
        <x:v>Canola/Rapeseed</x:v>
      </x:c>
      <x:c r="C1021" s="44" t="str">
        <x:v>CS4000 LL</x:v>
      </x:c>
      <x:c r="D1021" s="66" t="n">
        <x:v>2025</x:v>
      </x:c>
      <x:c r="E1021" s="67" t="n">
        <x:v>485</x:v>
      </x:c>
      <x:c r="F1021" s="68" t="n">
        <x:v>38.3</x:v>
      </x:c>
      <x:c r="G1021" s="69" t="n">
        <x:f>IF(COUNT(E1021:F1021)=2,E1021*F1021,"")</x:f>
        <x:v>18575.5</x:v>
      </x:c>
    </x:row>
    <x:row r="1022">
      <x:c r="A1022" s="66" t="n">
        <x:v>11</x:v>
      </x:c>
      <x:c r="B1022" s="44" t="str">
        <x:v>Canola/Rapeseed</x:v>
      </x:c>
      <x:c r="C1022" s="44" t="str">
        <x:v>CS4100 LL</x:v>
      </x:c>
      <x:c r="D1022" s="66" t="n">
        <x:v>2021</x:v>
      </x:c>
      <x:c r="E1022" s="67"/>
      <x:c r="F1022" s="68"/>
      <x:c r="G1022" s="69" t="str">
        <x:f>IF(COUNT(E1022:F1022)=2,E1022*F1022,"")</x:f>
      </x:c>
    </x:row>
    <x:row r="1023">
      <x:c r="A1023" s="66" t="n">
        <x:v>11</x:v>
      </x:c>
      <x:c r="B1023" s="44" t="str">
        <x:v>Canola/Rapeseed</x:v>
      </x:c>
      <x:c r="C1023" s="44" t="str">
        <x:v>CS4100 LL</x:v>
      </x:c>
      <x:c r="D1023" s="66" t="n">
        <x:v>2022</x:v>
      </x:c>
      <x:c r="E1023" s="67"/>
      <x:c r="F1023" s="68"/>
      <x:c r="G1023" s="69" t="str">
        <x:f>IF(COUNT(E1023:F1023)=2,E1023*F1023,"")</x:f>
      </x:c>
    </x:row>
    <x:row r="1024">
      <x:c r="A1024" s="66" t="n">
        <x:v>11</x:v>
      </x:c>
      <x:c r="B1024" s="44" t="str">
        <x:v>Canola/Rapeseed</x:v>
      </x:c>
      <x:c r="C1024" s="44" t="str">
        <x:v>CS4100 LL</x:v>
      </x:c>
      <x:c r="D1024" s="66" t="n">
        <x:v>2023</x:v>
      </x:c>
      <x:c r="E1024" s="67"/>
      <x:c r="F1024" s="68"/>
      <x:c r="G1024" s="69" t="str">
        <x:f>IF(COUNT(E1024:F1024)=2,E1024*F1024,"")</x:f>
      </x:c>
    </x:row>
    <x:row r="1025">
      <x:c r="A1025" s="66" t="n">
        <x:v>11</x:v>
      </x:c>
      <x:c r="B1025" s="44" t="str">
        <x:v>Canola/Rapeseed</x:v>
      </x:c>
      <x:c r="C1025" s="44" t="str">
        <x:v>CS4100 LL</x:v>
      </x:c>
      <x:c r="D1025" s="66" t="n">
        <x:v>2024</x:v>
      </x:c>
      <x:c r="E1025" s="67"/>
      <x:c r="F1025" s="68"/>
      <x:c r="G1025" s="69" t="str">
        <x:f>IF(COUNT(E1025:F1025)=2,E1025*F1025,"")</x:f>
      </x:c>
    </x:row>
    <x:row r="1026">
      <x:c r="A1026" s="66" t="n">
        <x:v>11</x:v>
      </x:c>
      <x:c r="B1026" s="44" t="str">
        <x:v>Canola/Rapeseed</x:v>
      </x:c>
      <x:c r="C1026" s="44" t="str">
        <x:v>CS4100 LL</x:v>
      </x:c>
      <x:c r="D1026" s="66" t="n">
        <x:v>2025</x:v>
      </x:c>
      <x:c r="E1026" s="67" t="n">
        <x:v>1055</x:v>
      </x:c>
      <x:c r="F1026" s="68" t="n">
        <x:v>46.1</x:v>
      </x:c>
      <x:c r="G1026" s="69" t="n">
        <x:f>IF(COUNT(E1026:F1026)=2,E1026*F1026,"")</x:f>
        <x:v>48635.5</x:v>
      </x:c>
    </x:row>
    <x:row r="1027">
      <x:c r="A1027" s="66" t="n">
        <x:v>11</x:v>
      </x:c>
      <x:c r="B1027" s="44" t="str">
        <x:v>Canola/Rapeseed</x:v>
      </x:c>
      <x:c r="C1027" s="44" t="str">
        <x:v>DK 801 LL</x:v>
      </x:c>
      <x:c r="D1027" s="66" t="n">
        <x:v>2021</x:v>
      </x:c>
      <x:c r="E1027" s="67"/>
      <x:c r="F1027" s="68"/>
      <x:c r="G1027" s="69" t="str">
        <x:f>IF(COUNT(E1027:F1027)=2,E1027*F1027,"")</x:f>
      </x:c>
    </x:row>
    <x:row r="1028">
      <x:c r="A1028" s="66" t="n">
        <x:v>11</x:v>
      </x:c>
      <x:c r="B1028" s="44" t="str">
        <x:v>Canola/Rapeseed</x:v>
      </x:c>
      <x:c r="C1028" s="44" t="str">
        <x:v>DK 801 LL</x:v>
      </x:c>
      <x:c r="D1028" s="66" t="n">
        <x:v>2022</x:v>
      </x:c>
      <x:c r="E1028" s="67"/>
      <x:c r="F1028" s="68"/>
      <x:c r="G1028" s="69" t="str">
        <x:f>IF(COUNT(E1028:F1028)=2,E1028*F1028,"")</x:f>
      </x:c>
    </x:row>
    <x:row r="1029">
      <x:c r="A1029" s="66" t="n">
        <x:v>11</x:v>
      </x:c>
      <x:c r="B1029" s="44" t="str">
        <x:v>Canola/Rapeseed</x:v>
      </x:c>
      <x:c r="C1029" s="44" t="str">
        <x:v>DK 801 LL</x:v>
      </x:c>
      <x:c r="D1029" s="66" t="n">
        <x:v>2023</x:v>
      </x:c>
      <x:c r="E1029" s="67"/>
      <x:c r="F1029" s="68"/>
      <x:c r="G1029" s="69" t="str">
        <x:f>IF(COUNT(E1029:F1029)=2,E1029*F1029,"")</x:f>
      </x:c>
    </x:row>
    <x:row r="1030">
      <x:c r="A1030" s="66" t="n">
        <x:v>11</x:v>
      </x:c>
      <x:c r="B1030" s="44" t="str">
        <x:v>Canola/Rapeseed</x:v>
      </x:c>
      <x:c r="C1030" s="44" t="str">
        <x:v>DK 801 LL</x:v>
      </x:c>
      <x:c r="D1030" s="66" t="n">
        <x:v>2024</x:v>
      </x:c>
      <x:c r="E1030" s="67"/>
      <x:c r="F1030" s="68"/>
      <x:c r="G1030" s="69" t="str">
        <x:f>IF(COUNT(E1030:F1030)=2,E1030*F1030,"")</x:f>
      </x:c>
    </x:row>
    <x:row r="1031">
      <x:c r="A1031" s="66" t="n">
        <x:v>11</x:v>
      </x:c>
      <x:c r="B1031" s="44" t="str">
        <x:v>Canola/Rapeseed</x:v>
      </x:c>
      <x:c r="C1031" s="44" t="str">
        <x:v>DK 801 LL</x:v>
      </x:c>
      <x:c r="D1031" s="66" t="n">
        <x:v>2025</x:v>
      </x:c>
      <x:c r="E1031" s="67" t="n">
        <x:v>1906</x:v>
      </x:c>
      <x:c r="F1031" s="68" t="n">
        <x:v>50.5</x:v>
      </x:c>
      <x:c r="G1031" s="69" t="n">
        <x:f>IF(COUNT(E1031:F1031)=2,E1031*F1031,"")</x:f>
        <x:v>96253</x:v>
      </x:c>
    </x:row>
    <x:row r="1032">
      <x:c r="A1032" s="66" t="n">
        <x:v>11</x:v>
      </x:c>
      <x:c r="B1032" s="44" t="str">
        <x:v>Canola/Rapeseed</x:v>
      </x:c>
      <x:c r="C1032" s="44" t="str">
        <x:v>DKLL 83 SC</x:v>
      </x:c>
      <x:c r="D1032" s="66" t="n">
        <x:v>2021</x:v>
      </x:c>
      <x:c r="E1032" s="67"/>
      <x:c r="F1032" s="68"/>
      <x:c r="G1032" s="69" t="str">
        <x:f>IF(COUNT(E1032:F1032)=2,E1032*F1032,"")</x:f>
      </x:c>
    </x:row>
    <x:row r="1033">
      <x:c r="A1033" s="66" t="n">
        <x:v>11</x:v>
      </x:c>
      <x:c r="B1033" s="44" t="str">
        <x:v>Canola/Rapeseed</x:v>
      </x:c>
      <x:c r="C1033" s="44" t="str">
        <x:v>DKLL 83 SC</x:v>
      </x:c>
      <x:c r="D1033" s="66" t="n">
        <x:v>2022</x:v>
      </x:c>
      <x:c r="E1033" s="67" t="n">
        <x:v>516</x:v>
      </x:c>
      <x:c r="F1033" s="68" t="n">
        <x:v>42.2</x:v>
      </x:c>
      <x:c r="G1033" s="69" t="n">
        <x:f>IF(COUNT(E1033:F1033)=2,E1033*F1033,"")</x:f>
        <x:v>21775.2</x:v>
      </x:c>
    </x:row>
    <x:row r="1034">
      <x:c r="A1034" s="66" t="n">
        <x:v>11</x:v>
      </x:c>
      <x:c r="B1034" s="44" t="str">
        <x:v>Canola/Rapeseed</x:v>
      </x:c>
      <x:c r="C1034" s="44" t="str">
        <x:v>DKLL 83 SC</x:v>
      </x:c>
      <x:c r="D1034" s="66" t="n">
        <x:v>2023</x:v>
      </x:c>
      <x:c r="E1034" s="67" t="n">
        <x:v>3705</x:v>
      </x:c>
      <x:c r="F1034" s="68" t="n">
        <x:v>44.9</x:v>
      </x:c>
      <x:c r="G1034" s="69" t="n">
        <x:f>IF(COUNT(E1034:F1034)=2,E1034*F1034,"")</x:f>
        <x:v>166354.5</x:v>
      </x:c>
    </x:row>
    <x:row r="1035">
      <x:c r="A1035" s="66" t="n">
        <x:v>11</x:v>
      </x:c>
      <x:c r="B1035" s="44" t="str">
        <x:v>Canola/Rapeseed</x:v>
      </x:c>
      <x:c r="C1035" s="44" t="str">
        <x:v>DKLL 83 SC</x:v>
      </x:c>
      <x:c r="D1035" s="66" t="n">
        <x:v>2024</x:v>
      </x:c>
      <x:c r="E1035" s="67" t="n">
        <x:v>3144</x:v>
      </x:c>
      <x:c r="F1035" s="68" t="n">
        <x:v>28.3</x:v>
      </x:c>
      <x:c r="G1035" s="69" t="n">
        <x:f>IF(COUNT(E1035:F1035)=2,E1035*F1035,"")</x:f>
        <x:v>88975.2</x:v>
      </x:c>
    </x:row>
    <x:row r="1036">
      <x:c r="A1036" s="66" t="n">
        <x:v>11</x:v>
      </x:c>
      <x:c r="B1036" s="44" t="str">
        <x:v>Canola/Rapeseed</x:v>
      </x:c>
      <x:c r="C1036" s="44" t="str">
        <x:v>DKLL 83 SC</x:v>
      </x:c>
      <x:c r="D1036" s="66" t="n">
        <x:v>2025</x:v>
      </x:c>
      <x:c r="E1036" s="67" t="n">
        <x:v>543</x:v>
      </x:c>
      <x:c r="F1036" s="68" t="n">
        <x:v>41.1</x:v>
      </x:c>
      <x:c r="G1036" s="69" t="n">
        <x:f>IF(COUNT(E1036:F1036)=2,E1036*F1036,"")</x:f>
        <x:v>22317.3</x:v>
      </x:c>
    </x:row>
    <x:row r="1037">
      <x:c r="A1037" s="66" t="n">
        <x:v>11</x:v>
      </x:c>
      <x:c r="B1037" s="44" t="str">
        <x:v>Canola/Rapeseed</x:v>
      </x:c>
      <x:c r="C1037" s="44" t="str">
        <x:v>DK400TL</x:v>
      </x:c>
      <x:c r="D1037" s="66" t="n">
        <x:v>2021</x:v>
      </x:c>
      <x:c r="E1037" s="67"/>
      <x:c r="F1037" s="68"/>
      <x:c r="G1037" s="69" t="str">
        <x:f>IF(COUNT(E1037:F1037)=2,E1037*F1037,"")</x:f>
      </x:c>
    </x:row>
    <x:row r="1038">
      <x:c r="A1038" s="66" t="n">
        <x:v>11</x:v>
      </x:c>
      <x:c r="B1038" s="44" t="str">
        <x:v>Canola/Rapeseed</x:v>
      </x:c>
      <x:c r="C1038" s="44" t="str">
        <x:v>DK400TL</x:v>
      </x:c>
      <x:c r="D1038" s="66" t="n">
        <x:v>2022</x:v>
      </x:c>
      <x:c r="E1038" s="67"/>
      <x:c r="F1038" s="68"/>
      <x:c r="G1038" s="69" t="str">
        <x:f>IF(COUNT(E1038:F1038)=2,E1038*F1038,"")</x:f>
      </x:c>
    </x:row>
    <x:row r="1039">
      <x:c r="A1039" s="66" t="n">
        <x:v>11</x:v>
      </x:c>
      <x:c r="B1039" s="44" t="str">
        <x:v>Canola/Rapeseed</x:v>
      </x:c>
      <x:c r="C1039" s="44" t="str">
        <x:v>DK400TL</x:v>
      </x:c>
      <x:c r="D1039" s="66" t="n">
        <x:v>2023</x:v>
      </x:c>
      <x:c r="E1039" s="67"/>
      <x:c r="F1039" s="68"/>
      <x:c r="G1039" s="69" t="str">
        <x:f>IF(COUNT(E1039:F1039)=2,E1039*F1039,"")</x:f>
      </x:c>
    </x:row>
    <x:row r="1040">
      <x:c r="A1040" s="66" t="n">
        <x:v>11</x:v>
      </x:c>
      <x:c r="B1040" s="44" t="str">
        <x:v>Canola/Rapeseed</x:v>
      </x:c>
      <x:c r="C1040" s="44" t="str">
        <x:v>DK400TL</x:v>
      </x:c>
      <x:c r="D1040" s="66" t="n">
        <x:v>2024</x:v>
      </x:c>
      <x:c r="E1040" s="67" t="n">
        <x:v>4255</x:v>
      </x:c>
      <x:c r="F1040" s="68" t="n">
        <x:v>35.4</x:v>
      </x:c>
      <x:c r="G1040" s="69" t="n">
        <x:f>IF(COUNT(E1040:F1040)=2,E1040*F1040,"")</x:f>
        <x:v>150627</x:v>
      </x:c>
    </x:row>
    <x:row r="1041">
      <x:c r="A1041" s="66" t="n">
        <x:v>11</x:v>
      </x:c>
      <x:c r="B1041" s="44" t="str">
        <x:v>Canola/Rapeseed</x:v>
      </x:c>
      <x:c r="C1041" s="44" t="str">
        <x:v>DK400TL</x:v>
      </x:c>
      <x:c r="D1041" s="66" t="n">
        <x:v>2025</x:v>
      </x:c>
      <x:c r="E1041" s="67" t="n">
        <x:v>923</x:v>
      </x:c>
      <x:c r="F1041" s="68" t="n">
        <x:v>45</x:v>
      </x:c>
      <x:c r="G1041" s="69" t="n">
        <x:f>IF(COUNT(E1041:F1041)=2,E1041*F1041,"")</x:f>
        <x:v>41535</x:v>
      </x:c>
    </x:row>
    <x:row r="1042">
      <x:c r="A1042" s="66" t="n">
        <x:v>11</x:v>
      </x:c>
      <x:c r="B1042" s="44" t="str">
        <x:v>Canola/Rapeseed</x:v>
      </x:c>
      <x:c r="C1042" s="44" t="str">
        <x:v>DK401TK</x:v>
      </x:c>
      <x:c r="D1042" s="66" t="n">
        <x:v>2021</x:v>
      </x:c>
      <x:c r="E1042" s="67"/>
      <x:c r="F1042" s="68"/>
      <x:c r="G1042" s="69" t="str">
        <x:f>IF(COUNT(E1042:F1042)=2,E1042*F1042,"")</x:f>
      </x:c>
    </x:row>
    <x:row r="1043">
      <x:c r="A1043" s="66" t="n">
        <x:v>11</x:v>
      </x:c>
      <x:c r="B1043" s="44" t="str">
        <x:v>Canola/Rapeseed</x:v>
      </x:c>
      <x:c r="C1043" s="44" t="str">
        <x:v>DK401TK</x:v>
      </x:c>
      <x:c r="D1043" s="66" t="n">
        <x:v>2022</x:v>
      </x:c>
      <x:c r="E1043" s="67"/>
      <x:c r="F1043" s="68"/>
      <x:c r="G1043" s="69" t="str">
        <x:f>IF(COUNT(E1043:F1043)=2,E1043*F1043,"")</x:f>
      </x:c>
    </x:row>
    <x:row r="1044">
      <x:c r="A1044" s="66" t="n">
        <x:v>11</x:v>
      </x:c>
      <x:c r="B1044" s="44" t="str">
        <x:v>Canola/Rapeseed</x:v>
      </x:c>
      <x:c r="C1044" s="44" t="str">
        <x:v>DK401TK</x:v>
      </x:c>
      <x:c r="D1044" s="66" t="n">
        <x:v>2023</x:v>
      </x:c>
      <x:c r="E1044" s="67"/>
      <x:c r="F1044" s="68"/>
      <x:c r="G1044" s="69" t="str">
        <x:f>IF(COUNT(E1044:F1044)=2,E1044*F1044,"")</x:f>
      </x:c>
    </x:row>
    <x:row r="1045">
      <x:c r="A1045" s="66" t="n">
        <x:v>11</x:v>
      </x:c>
      <x:c r="B1045" s="44" t="str">
        <x:v>Canola/Rapeseed</x:v>
      </x:c>
      <x:c r="C1045" s="44" t="str">
        <x:v>DK401TK</x:v>
      </x:c>
      <x:c r="D1045" s="66" t="n">
        <x:v>2024</x:v>
      </x:c>
      <x:c r="E1045" s="67"/>
      <x:c r="F1045" s="68"/>
      <x:c r="G1045" s="69" t="str">
        <x:f>IF(COUNT(E1045:F1045)=2,E1045*F1045,"")</x:f>
      </x:c>
    </x:row>
    <x:row r="1046">
      <x:c r="A1046" s="66" t="n">
        <x:v>11</x:v>
      </x:c>
      <x:c r="B1046" s="44" t="str">
        <x:v>Canola/Rapeseed</x:v>
      </x:c>
      <x:c r="C1046" s="44" t="str">
        <x:v>DK401TK</x:v>
      </x:c>
      <x:c r="D1046" s="66" t="n">
        <x:v>2025</x:v>
      </x:c>
      <x:c r="E1046" s="67" t="n">
        <x:v>2644</x:v>
      </x:c>
      <x:c r="F1046" s="68" t="n">
        <x:v>45.8</x:v>
      </x:c>
      <x:c r="G1046" s="69" t="n">
        <x:f>IF(COUNT(E1046:F1046)=2,E1046*F1046,"")</x:f>
        <x:v>121095.2</x:v>
      </x:c>
    </x:row>
    <x:row r="1047">
      <x:c r="A1047" s="66" t="n">
        <x:v>11</x:v>
      </x:c>
      <x:c r="B1047" s="44" t="str">
        <x:v>Canola/Rapeseed</x:v>
      </x:c>
      <x:c r="C1047" s="44" t="str">
        <x:v>DK401TL</x:v>
      </x:c>
      <x:c r="D1047" s="66" t="n">
        <x:v>2021</x:v>
      </x:c>
      <x:c r="E1047" s="67"/>
      <x:c r="F1047" s="68"/>
      <x:c r="G1047" s="69" t="str">
        <x:f>IF(COUNT(E1047:F1047)=2,E1047*F1047,"")</x:f>
      </x:c>
    </x:row>
    <x:row r="1048">
      <x:c r="A1048" s="66" t="n">
        <x:v>11</x:v>
      </x:c>
      <x:c r="B1048" s="44" t="str">
        <x:v>Canola/Rapeseed</x:v>
      </x:c>
      <x:c r="C1048" s="44" t="str">
        <x:v>DK401TL</x:v>
      </x:c>
      <x:c r="D1048" s="66" t="n">
        <x:v>2022</x:v>
      </x:c>
      <x:c r="E1048" s="67"/>
      <x:c r="F1048" s="68"/>
      <x:c r="G1048" s="69" t="str">
        <x:f>IF(COUNT(E1048:F1048)=2,E1048*F1048,"")</x:f>
      </x:c>
    </x:row>
    <x:row r="1049">
      <x:c r="A1049" s="66" t="n">
        <x:v>11</x:v>
      </x:c>
      <x:c r="B1049" s="44" t="str">
        <x:v>Canola/Rapeseed</x:v>
      </x:c>
      <x:c r="C1049" s="44" t="str">
        <x:v>DK401TL</x:v>
      </x:c>
      <x:c r="D1049" s="66" t="n">
        <x:v>2023</x:v>
      </x:c>
      <x:c r="E1049" s="67"/>
      <x:c r="F1049" s="68"/>
      <x:c r="G1049" s="69" t="str">
        <x:f>IF(COUNT(E1049:F1049)=2,E1049*F1049,"")</x:f>
      </x:c>
    </x:row>
    <x:row r="1050">
      <x:c r="A1050" s="66" t="n">
        <x:v>11</x:v>
      </x:c>
      <x:c r="B1050" s="44" t="str">
        <x:v>Canola/Rapeseed</x:v>
      </x:c>
      <x:c r="C1050" s="44" t="str">
        <x:v>DK401TL</x:v>
      </x:c>
      <x:c r="D1050" s="66" t="n">
        <x:v>2024</x:v>
      </x:c>
      <x:c r="E1050" s="67"/>
      <x:c r="F1050" s="68"/>
      <x:c r="G1050" s="69" t="str">
        <x:f>IF(COUNT(E1050:F1050)=2,E1050*F1050,"")</x:f>
      </x:c>
    </x:row>
    <x:row r="1051">
      <x:c r="A1051" s="66" t="n">
        <x:v>11</x:v>
      </x:c>
      <x:c r="B1051" s="44" t="str">
        <x:v>Canola/Rapeseed</x:v>
      </x:c>
      <x:c r="C1051" s="44" t="str">
        <x:v>DK401TL</x:v>
      </x:c>
      <x:c r="D1051" s="66" t="n">
        <x:v>2025</x:v>
      </x:c>
      <x:c r="E1051" s="67" t="n">
        <x:v>590</x:v>
      </x:c>
      <x:c r="F1051" s="68" t="n">
        <x:v>47.5</x:v>
      </x:c>
      <x:c r="G1051" s="69" t="n">
        <x:f>IF(COUNT(E1051:F1051)=2,E1051*F1051,"")</x:f>
        <x:v>28025</x:v>
      </x:c>
    </x:row>
    <x:row r="1052">
      <x:c r="A1052" s="66" t="n">
        <x:v>11</x:v>
      </x:c>
      <x:c r="B1052" s="44" t="str">
        <x:v>Canola/Rapeseed</x:v>
      </x:c>
      <x:c r="C1052" s="44" t="str">
        <x:v>DK800LL</x:v>
      </x:c>
      <x:c r="D1052" s="66" t="n">
        <x:v>2021</x:v>
      </x:c>
      <x:c r="E1052" s="67"/>
      <x:c r="F1052" s="68"/>
      <x:c r="G1052" s="69" t="str">
        <x:f>IF(COUNT(E1052:F1052)=2,E1052*F1052,"")</x:f>
      </x:c>
    </x:row>
    <x:row r="1053">
      <x:c r="A1053" s="66" t="n">
        <x:v>11</x:v>
      </x:c>
      <x:c r="B1053" s="44" t="str">
        <x:v>Canola/Rapeseed</x:v>
      </x:c>
      <x:c r="C1053" s="44" t="str">
        <x:v>DK800LL</x:v>
      </x:c>
      <x:c r="D1053" s="66" t="n">
        <x:v>2022</x:v>
      </x:c>
      <x:c r="E1053" s="67"/>
      <x:c r="F1053" s="68"/>
      <x:c r="G1053" s="69" t="str">
        <x:f>IF(COUNT(E1053:F1053)=2,E1053*F1053,"")</x:f>
      </x:c>
    </x:row>
    <x:row r="1054">
      <x:c r="A1054" s="66" t="n">
        <x:v>11</x:v>
      </x:c>
      <x:c r="B1054" s="44" t="str">
        <x:v>Canola/Rapeseed</x:v>
      </x:c>
      <x:c r="C1054" s="44" t="str">
        <x:v>DK800LL</x:v>
      </x:c>
      <x:c r="D1054" s="66" t="n">
        <x:v>2023</x:v>
      </x:c>
      <x:c r="E1054" s="67"/>
      <x:c r="F1054" s="68"/>
      <x:c r="G1054" s="69" t="str">
        <x:f>IF(COUNT(E1054:F1054)=2,E1054*F1054,"")</x:f>
      </x:c>
    </x:row>
    <x:row r="1055">
      <x:c r="A1055" s="66" t="n">
        <x:v>11</x:v>
      </x:c>
      <x:c r="B1055" s="44" t="str">
        <x:v>Canola/Rapeseed</x:v>
      </x:c>
      <x:c r="C1055" s="44" t="str">
        <x:v>DK800LL</x:v>
      </x:c>
      <x:c r="D1055" s="66" t="n">
        <x:v>2024</x:v>
      </x:c>
      <x:c r="E1055" s="67" t="n">
        <x:v>1016</x:v>
      </x:c>
      <x:c r="F1055" s="68" t="n">
        <x:v>31</x:v>
      </x:c>
      <x:c r="G1055" s="69" t="n">
        <x:f>IF(COUNT(E1055:F1055)=2,E1055*F1055,"")</x:f>
        <x:v>31496</x:v>
      </x:c>
    </x:row>
    <x:row r="1056">
      <x:c r="A1056" s="66" t="n">
        <x:v>11</x:v>
      </x:c>
      <x:c r="B1056" s="44" t="str">
        <x:v>Canola/Rapeseed</x:v>
      </x:c>
      <x:c r="C1056" s="44" t="str">
        <x:v>DK800LL</x:v>
      </x:c>
      <x:c r="D1056" s="66" t="n">
        <x:v>2025</x:v>
      </x:c>
      <x:c r="E1056" s="67" t="n">
        <x:v>1511</x:v>
      </x:c>
      <x:c r="F1056" s="68" t="n">
        <x:v>54</x:v>
      </x:c>
      <x:c r="G1056" s="69" t="n">
        <x:f>IF(COUNT(E1056:F1056)=2,E1056*F1056,"")</x:f>
        <x:v>81594</x:v>
      </x:c>
    </x:row>
    <x:row r="1057">
      <x:c r="A1057" s="66" t="n">
        <x:v>11</x:v>
      </x:c>
      <x:c r="B1057" s="44" t="str">
        <x:v>Canola/Rapeseed</x:v>
      </x:c>
      <x:c r="C1057" s="44" t="str">
        <x:v>DK801LL</x:v>
      </x:c>
      <x:c r="D1057" s="66" t="n">
        <x:v>2021</x:v>
      </x:c>
      <x:c r="E1057" s="67"/>
      <x:c r="F1057" s="68"/>
      <x:c r="G1057" s="69" t="str">
        <x:f>IF(COUNT(E1057:F1057)=2,E1057*F1057,"")</x:f>
      </x:c>
    </x:row>
    <x:row r="1058">
      <x:c r="A1058" s="66" t="n">
        <x:v>11</x:v>
      </x:c>
      <x:c r="B1058" s="44" t="str">
        <x:v>Canola/Rapeseed</x:v>
      </x:c>
      <x:c r="C1058" s="44" t="str">
        <x:v>DK801LL</x:v>
      </x:c>
      <x:c r="D1058" s="66" t="n">
        <x:v>2022</x:v>
      </x:c>
      <x:c r="E1058" s="67"/>
      <x:c r="F1058" s="68"/>
      <x:c r="G1058" s="69" t="str">
        <x:f>IF(COUNT(E1058:F1058)=2,E1058*F1058,"")</x:f>
      </x:c>
    </x:row>
    <x:row r="1059">
      <x:c r="A1059" s="66" t="n">
        <x:v>11</x:v>
      </x:c>
      <x:c r="B1059" s="44" t="str">
        <x:v>Canola/Rapeseed</x:v>
      </x:c>
      <x:c r="C1059" s="44" t="str">
        <x:v>DK801LL</x:v>
      </x:c>
      <x:c r="D1059" s="66" t="n">
        <x:v>2023</x:v>
      </x:c>
      <x:c r="E1059" s="67"/>
      <x:c r="F1059" s="68"/>
      <x:c r="G1059" s="69" t="str">
        <x:f>IF(COUNT(E1059:F1059)=2,E1059*F1059,"")</x:f>
      </x:c>
    </x:row>
    <x:row r="1060">
      <x:c r="A1060" s="66" t="n">
        <x:v>11</x:v>
      </x:c>
      <x:c r="B1060" s="44" t="str">
        <x:v>Canola/Rapeseed</x:v>
      </x:c>
      <x:c r="C1060" s="44" t="str">
        <x:v>DK801LL</x:v>
      </x:c>
      <x:c r="D1060" s="66" t="n">
        <x:v>2024</x:v>
      </x:c>
      <x:c r="E1060" s="67"/>
      <x:c r="F1060" s="68"/>
      <x:c r="G1060" s="69" t="str">
        <x:f>IF(COUNT(E1060:F1060)=2,E1060*F1060,"")</x:f>
      </x:c>
    </x:row>
    <x:row r="1061">
      <x:c r="A1061" s="66" t="n">
        <x:v>11</x:v>
      </x:c>
      <x:c r="B1061" s="44" t="str">
        <x:v>Canola/Rapeseed</x:v>
      </x:c>
      <x:c r="C1061" s="44" t="str">
        <x:v>DK801LL</x:v>
      </x:c>
      <x:c r="D1061" s="66" t="n">
        <x:v>2025</x:v>
      </x:c>
      <x:c r="E1061" s="67" t="n">
        <x:v>1485</x:v>
      </x:c>
      <x:c r="F1061" s="68" t="n">
        <x:v>43.4</x:v>
      </x:c>
      <x:c r="G1061" s="69" t="n">
        <x:f>IF(COUNT(E1061:F1061)=2,E1061*F1061,"")</x:f>
        <x:v>64449</x:v>
      </x:c>
    </x:row>
    <x:row r="1062">
      <x:c r="A1062" s="66" t="n">
        <x:v>11</x:v>
      </x:c>
      <x:c r="B1062" s="44" t="str">
        <x:v>Canola/Rapeseed</x:v>
      </x:c>
      <x:c r="C1062" s="44" t="str">
        <x:v>DK900TF</x:v>
      </x:c>
      <x:c r="D1062" s="66" t="n">
        <x:v>2021</x:v>
      </x:c>
      <x:c r="E1062" s="67"/>
      <x:c r="F1062" s="68"/>
      <x:c r="G1062" s="69" t="str">
        <x:f>IF(COUNT(E1062:F1062)=2,E1062*F1062,"")</x:f>
      </x:c>
    </x:row>
    <x:row r="1063">
      <x:c r="A1063" s="66" t="n">
        <x:v>11</x:v>
      </x:c>
      <x:c r="B1063" s="44" t="str">
        <x:v>Canola/Rapeseed</x:v>
      </x:c>
      <x:c r="C1063" s="44" t="str">
        <x:v>DK900TF</x:v>
      </x:c>
      <x:c r="D1063" s="66" t="n">
        <x:v>2022</x:v>
      </x:c>
      <x:c r="E1063" s="67"/>
      <x:c r="F1063" s="68"/>
      <x:c r="G1063" s="69" t="str">
        <x:f>IF(COUNT(E1063:F1063)=2,E1063*F1063,"")</x:f>
      </x:c>
    </x:row>
    <x:row r="1064">
      <x:c r="A1064" s="66" t="n">
        <x:v>11</x:v>
      </x:c>
      <x:c r="B1064" s="44" t="str">
        <x:v>Canola/Rapeseed</x:v>
      </x:c>
      <x:c r="C1064" s="44" t="str">
        <x:v>DK900TF</x:v>
      </x:c>
      <x:c r="D1064" s="66" t="n">
        <x:v>2023</x:v>
      </x:c>
      <x:c r="E1064" s="67" t="n">
        <x:v>5329</x:v>
      </x:c>
      <x:c r="F1064" s="68" t="n">
        <x:v>40</x:v>
      </x:c>
      <x:c r="G1064" s="69" t="n">
        <x:f>IF(COUNT(E1064:F1064)=2,E1064*F1064,"")</x:f>
        <x:v>213160</x:v>
      </x:c>
    </x:row>
    <x:row r="1065">
      <x:c r="A1065" s="66" t="n">
        <x:v>11</x:v>
      </x:c>
      <x:c r="B1065" s="44" t="str">
        <x:v>Canola/Rapeseed</x:v>
      </x:c>
      <x:c r="C1065" s="44" t="str">
        <x:v>DK900TF</x:v>
      </x:c>
      <x:c r="D1065" s="66" t="n">
        <x:v>2024</x:v>
      </x:c>
      <x:c r="E1065" s="67" t="n">
        <x:v>21827</x:v>
      </x:c>
      <x:c r="F1065" s="68" t="n">
        <x:v>30.9</x:v>
      </x:c>
      <x:c r="G1065" s="69" t="n">
        <x:f>IF(COUNT(E1065:F1065)=2,E1065*F1065,"")</x:f>
        <x:v>674454.2999999999</x:v>
      </x:c>
    </x:row>
    <x:row r="1066">
      <x:c r="A1066" s="66" t="n">
        <x:v>11</x:v>
      </x:c>
      <x:c r="B1066" s="44" t="str">
        <x:v>Canola/Rapeseed</x:v>
      </x:c>
      <x:c r="C1066" s="44" t="str">
        <x:v>DK900TF</x:v>
      </x:c>
      <x:c r="D1066" s="66" t="n">
        <x:v>2025</x:v>
      </x:c>
      <x:c r="E1066" s="67" t="n">
        <x:v>11768</x:v>
      </x:c>
      <x:c r="F1066" s="68" t="n">
        <x:v>41</x:v>
      </x:c>
      <x:c r="G1066" s="69" t="n">
        <x:f>IF(COUNT(E1066:F1066)=2,E1066*F1066,"")</x:f>
        <x:v>482488</x:v>
      </x:c>
    </x:row>
    <x:row r="1067">
      <x:c r="A1067" s="66" t="n">
        <x:v>11</x:v>
      </x:c>
      <x:c r="B1067" s="44" t="str">
        <x:v>Canola/Rapeseed</x:v>
      </x:c>
      <x:c r="C1067" s="44" t="str">
        <x:v>DK902TF</x:v>
      </x:c>
      <x:c r="D1067" s="66" t="n">
        <x:v>2021</x:v>
      </x:c>
      <x:c r="E1067" s="67"/>
      <x:c r="F1067" s="68"/>
      <x:c r="G1067" s="69" t="str">
        <x:f>IF(COUNT(E1067:F1067)=2,E1067*F1067,"")</x:f>
      </x:c>
    </x:row>
    <x:row r="1068">
      <x:c r="A1068" s="66" t="n">
        <x:v>11</x:v>
      </x:c>
      <x:c r="B1068" s="44" t="str">
        <x:v>Canola/Rapeseed</x:v>
      </x:c>
      <x:c r="C1068" s="44" t="str">
        <x:v>DK902TF</x:v>
      </x:c>
      <x:c r="D1068" s="66" t="n">
        <x:v>2022</x:v>
      </x:c>
      <x:c r="E1068" s="67"/>
      <x:c r="F1068" s="68"/>
      <x:c r="G1068" s="69" t="str">
        <x:f>IF(COUNT(E1068:F1068)=2,E1068*F1068,"")</x:f>
      </x:c>
    </x:row>
    <x:row r="1069">
      <x:c r="A1069" s="66" t="n">
        <x:v>11</x:v>
      </x:c>
      <x:c r="B1069" s="44" t="str">
        <x:v>Canola/Rapeseed</x:v>
      </x:c>
      <x:c r="C1069" s="44" t="str">
        <x:v>DK902TF</x:v>
      </x:c>
      <x:c r="D1069" s="66" t="n">
        <x:v>2023</x:v>
      </x:c>
      <x:c r="E1069" s="67" t="n">
        <x:v>2563</x:v>
      </x:c>
      <x:c r="F1069" s="68" t="n">
        <x:v>40.7</x:v>
      </x:c>
      <x:c r="G1069" s="69" t="n">
        <x:f>IF(COUNT(E1069:F1069)=2,E1069*F1069,"")</x:f>
        <x:v>104314.1</x:v>
      </x:c>
    </x:row>
    <x:row r="1070">
      <x:c r="A1070" s="66" t="n">
        <x:v>11</x:v>
      </x:c>
      <x:c r="B1070" s="44" t="str">
        <x:v>Canola/Rapeseed</x:v>
      </x:c>
      <x:c r="C1070" s="44" t="str">
        <x:v>DK902TF</x:v>
      </x:c>
      <x:c r="D1070" s="66" t="n">
        <x:v>2024</x:v>
      </x:c>
      <x:c r="E1070" s="67" t="n">
        <x:v>415</x:v>
      </x:c>
      <x:c r="F1070" s="68" t="n">
        <x:v>24.6</x:v>
      </x:c>
      <x:c r="G1070" s="69" t="n">
        <x:f>IF(COUNT(E1070:F1070)=2,E1070*F1070,"")</x:f>
        <x:v>10209</x:v>
      </x:c>
    </x:row>
    <x:row r="1071">
      <x:c r="A1071" s="66" t="n">
        <x:v>11</x:v>
      </x:c>
      <x:c r="B1071" s="44" t="str">
        <x:v>Canola/Rapeseed</x:v>
      </x:c>
      <x:c r="C1071" s="44" t="str">
        <x:v>DK902TF</x:v>
      </x:c>
      <x:c r="D1071" s="66" t="n">
        <x:v>2025</x:v>
      </x:c>
      <x:c r="E1071" s="67" t="n">
        <x:v>947</x:v>
      </x:c>
      <x:c r="F1071" s="68" t="n">
        <x:v>42.1</x:v>
      </x:c>
      <x:c r="G1071" s="69" t="n">
        <x:f>IF(COUNT(E1071:F1071)=2,E1071*F1071,"")</x:f>
        <x:v>39868.700000000004</x:v>
      </x:c>
    </x:row>
    <x:row r="1072">
      <x:c r="A1072" s="66" t="n">
        <x:v>11</x:v>
      </x:c>
      <x:c r="B1072" s="44" t="str">
        <x:v>Canola/Rapeseed</x:v>
      </x:c>
      <x:c r="C1072" s="44" t="str">
        <x:v>LR354PC</x:v>
      </x:c>
      <x:c r="D1072" s="66" t="n">
        <x:v>2021</x:v>
      </x:c>
      <x:c r="E1072" s="67"/>
      <x:c r="F1072" s="68"/>
      <x:c r="G1072" s="69" t="str">
        <x:f>IF(COUNT(E1072:F1072)=2,E1072*F1072,"")</x:f>
      </x:c>
    </x:row>
    <x:row r="1073">
      <x:c r="A1073" s="66" t="n">
        <x:v>11</x:v>
      </x:c>
      <x:c r="B1073" s="44" t="str">
        <x:v>Canola/Rapeseed</x:v>
      </x:c>
      <x:c r="C1073" s="44" t="str">
        <x:v>LR354PC</x:v>
      </x:c>
      <x:c r="D1073" s="66" t="n">
        <x:v>2022</x:v>
      </x:c>
      <x:c r="E1073" s="67"/>
      <x:c r="F1073" s="68"/>
      <x:c r="G1073" s="69" t="str">
        <x:f>IF(COUNT(E1073:F1073)=2,E1073*F1073,"")</x:f>
      </x:c>
    </x:row>
    <x:row r="1074">
      <x:c r="A1074" s="66" t="n">
        <x:v>11</x:v>
      </x:c>
      <x:c r="B1074" s="44" t="str">
        <x:v>Canola/Rapeseed</x:v>
      </x:c>
      <x:c r="C1074" s="44" t="str">
        <x:v>LR354PC</x:v>
      </x:c>
      <x:c r="D1074" s="66" t="n">
        <x:v>2023</x:v>
      </x:c>
      <x:c r="E1074" s="67" t="n">
        <x:v>5321</x:v>
      </x:c>
      <x:c r="F1074" s="68" t="n">
        <x:v>43.6</x:v>
      </x:c>
      <x:c r="G1074" s="69" t="n">
        <x:f>IF(COUNT(E1074:F1074)=2,E1074*F1074,"")</x:f>
        <x:v>231995.6</x:v>
      </x:c>
    </x:row>
    <x:row r="1075">
      <x:c r="A1075" s="66" t="n">
        <x:v>11</x:v>
      </x:c>
      <x:c r="B1075" s="44" t="str">
        <x:v>Canola/Rapeseed</x:v>
      </x:c>
      <x:c r="C1075" s="44" t="str">
        <x:v>LR354PC</x:v>
      </x:c>
      <x:c r="D1075" s="66" t="n">
        <x:v>2024</x:v>
      </x:c>
      <x:c r="E1075" s="67" t="n">
        <x:v>5201</x:v>
      </x:c>
      <x:c r="F1075" s="68" t="n">
        <x:v>31.4</x:v>
      </x:c>
      <x:c r="G1075" s="69" t="n">
        <x:f>IF(COUNT(E1075:F1075)=2,E1075*F1075,"")</x:f>
        <x:v>163311.4</x:v>
      </x:c>
    </x:row>
    <x:row r="1076">
      <x:c r="A1076" s="66" t="n">
        <x:v>11</x:v>
      </x:c>
      <x:c r="B1076" s="44" t="str">
        <x:v>Canola/Rapeseed</x:v>
      </x:c>
      <x:c r="C1076" s="44" t="str">
        <x:v>LR354PC</x:v>
      </x:c>
      <x:c r="D1076" s="66" t="n">
        <x:v>2025</x:v>
      </x:c>
      <x:c r="E1076" s="67" t="n">
        <x:v>8284</x:v>
      </x:c>
      <x:c r="F1076" s="68" t="n">
        <x:v>48.9</x:v>
      </x:c>
      <x:c r="G1076" s="69" t="n">
        <x:f>IF(COUNT(E1076:F1076)=2,E1076*F1076,"")</x:f>
        <x:v>405087.6</x:v>
      </x:c>
    </x:row>
    <x:row r="1077">
      <x:c r="A1077" s="66" t="n">
        <x:v>11</x:v>
      </x:c>
      <x:c r="B1077" s="44" t="str">
        <x:v>Canola/Rapeseed</x:v>
      </x:c>
      <x:c r="C1077" s="44" t="str">
        <x:v>L233P</x:v>
      </x:c>
      <x:c r="D1077" s="66" t="n">
        <x:v>2021</x:v>
      </x:c>
      <x:c r="E1077" s="67" t="n">
        <x:v>104567</x:v>
      </x:c>
      <x:c r="F1077" s="68" t="n">
        <x:v>31</x:v>
      </x:c>
      <x:c r="G1077" s="69" t="n">
        <x:f>IF(COUNT(E1077:F1077)=2,E1077*F1077,"")</x:f>
        <x:v>3241577</x:v>
      </x:c>
    </x:row>
    <x:row r="1078">
      <x:c r="A1078" s="66" t="n">
        <x:v>11</x:v>
      </x:c>
      <x:c r="B1078" s="44" t="str">
        <x:v>Canola/Rapeseed</x:v>
      </x:c>
      <x:c r="C1078" s="44" t="str">
        <x:v>L233P</x:v>
      </x:c>
      <x:c r="D1078" s="66" t="n">
        <x:v>2022</x:v>
      </x:c>
      <x:c r="E1078" s="67" t="n">
        <x:v>97465</x:v>
      </x:c>
      <x:c r="F1078" s="68" t="n">
        <x:v>46.7</x:v>
      </x:c>
      <x:c r="G1078" s="69" t="n">
        <x:f>IF(COUNT(E1078:F1078)=2,E1078*F1078,"")</x:f>
        <x:v>4551615.5</x:v>
      </x:c>
    </x:row>
    <x:row r="1079">
      <x:c r="A1079" s="66" t="n">
        <x:v>11</x:v>
      </x:c>
      <x:c r="B1079" s="44" t="str">
        <x:v>Canola/Rapeseed</x:v>
      </x:c>
      <x:c r="C1079" s="44" t="str">
        <x:v>L233P</x:v>
      </x:c>
      <x:c r="D1079" s="66" t="n">
        <x:v>2023</x:v>
      </x:c>
      <x:c r="E1079" s="67" t="n">
        <x:v>65112</x:v>
      </x:c>
      <x:c r="F1079" s="68" t="n">
        <x:v>44</x:v>
      </x:c>
      <x:c r="G1079" s="69" t="n">
        <x:f>IF(COUNT(E1079:F1079)=2,E1079*F1079,"")</x:f>
        <x:v>2864928</x:v>
      </x:c>
    </x:row>
    <x:row r="1080">
      <x:c r="A1080" s="66" t="n">
        <x:v>11</x:v>
      </x:c>
      <x:c r="B1080" s="44" t="str">
        <x:v>Canola/Rapeseed</x:v>
      </x:c>
      <x:c r="C1080" s="44" t="str">
        <x:v>L233P</x:v>
      </x:c>
      <x:c r="D1080" s="66" t="n">
        <x:v>2024</x:v>
      </x:c>
      <x:c r="E1080" s="67" t="n">
        <x:v>38291</x:v>
      </x:c>
      <x:c r="F1080" s="68" t="n">
        <x:v>34.8</x:v>
      </x:c>
      <x:c r="G1080" s="69" t="n">
        <x:f>IF(COUNT(E1080:F1080)=2,E1080*F1080,"")</x:f>
        <x:v>1332526.7999999998</x:v>
      </x:c>
    </x:row>
    <x:row r="1081">
      <x:c r="A1081" s="66" t="n">
        <x:v>11</x:v>
      </x:c>
      <x:c r="B1081" s="44" t="str">
        <x:v>Canola/Rapeseed</x:v>
      </x:c>
      <x:c r="C1081" s="44" t="str">
        <x:v>L233P</x:v>
      </x:c>
      <x:c r="D1081" s="66" t="n">
        <x:v>2025</x:v>
      </x:c>
      <x:c r="E1081" s="67" t="n">
        <x:v>20368</x:v>
      </x:c>
      <x:c r="F1081" s="68" t="n">
        <x:v>48.5</x:v>
      </x:c>
      <x:c r="G1081" s="69" t="n">
        <x:f>IF(COUNT(E1081:F1081)=2,E1081*F1081,"")</x:f>
        <x:v>987848</x:v>
      </x:c>
    </x:row>
    <x:row r="1082">
      <x:c r="A1082" s="66" t="n">
        <x:v>11</x:v>
      </x:c>
      <x:c r="B1082" s="44" t="str">
        <x:v>Canola/Rapeseed</x:v>
      </x:c>
      <x:c r="C1082" s="44" t="str">
        <x:v>L255PC</x:v>
      </x:c>
      <x:c r="D1082" s="66" t="n">
        <x:v>2021</x:v>
      </x:c>
      <x:c r="E1082" s="67" t="n">
        <x:v>23555</x:v>
      </x:c>
      <x:c r="F1082" s="68" t="n">
        <x:v>30.7</x:v>
      </x:c>
      <x:c r="G1082" s="69" t="n">
        <x:f>IF(COUNT(E1082:F1082)=2,E1082*F1082,"")</x:f>
        <x:v>723138.5</x:v>
      </x:c>
    </x:row>
    <x:row r="1083">
      <x:c r="A1083" s="66" t="n">
        <x:v>11</x:v>
      </x:c>
      <x:c r="B1083" s="44" t="str">
        <x:v>Canola/Rapeseed</x:v>
      </x:c>
      <x:c r="C1083" s="44" t="str">
        <x:v>L255PC</x:v>
      </x:c>
      <x:c r="D1083" s="66" t="n">
        <x:v>2022</x:v>
      </x:c>
      <x:c r="E1083" s="67" t="n">
        <x:v>15983</x:v>
      </x:c>
      <x:c r="F1083" s="68" t="n">
        <x:v>43.6</x:v>
      </x:c>
      <x:c r="G1083" s="69" t="n">
        <x:f>IF(COUNT(E1083:F1083)=2,E1083*F1083,"")</x:f>
        <x:v>696858.8</x:v>
      </x:c>
    </x:row>
    <x:row r="1084">
      <x:c r="A1084" s="66" t="n">
        <x:v>11</x:v>
      </x:c>
      <x:c r="B1084" s="44" t="str">
        <x:v>Canola/Rapeseed</x:v>
      </x:c>
      <x:c r="C1084" s="44" t="str">
        <x:v>L255PC</x:v>
      </x:c>
      <x:c r="D1084" s="66" t="n">
        <x:v>2023</x:v>
      </x:c>
      <x:c r="E1084" s="67" t="n">
        <x:v>3693</x:v>
      </x:c>
      <x:c r="F1084" s="68" t="n">
        <x:v>40.3</x:v>
      </x:c>
      <x:c r="G1084" s="69" t="n">
        <x:f>IF(COUNT(E1084:F1084)=2,E1084*F1084,"")</x:f>
        <x:v>148827.9</x:v>
      </x:c>
    </x:row>
    <x:row r="1085">
      <x:c r="A1085" s="66" t="n">
        <x:v>11</x:v>
      </x:c>
      <x:c r="B1085" s="44" t="str">
        <x:v>Canola/Rapeseed</x:v>
      </x:c>
      <x:c r="C1085" s="44" t="str">
        <x:v>L255PC</x:v>
      </x:c>
      <x:c r="D1085" s="66" t="n">
        <x:v>2024</x:v>
      </x:c>
      <x:c r="E1085" s="67" t="n">
        <x:v>570</x:v>
      </x:c>
      <x:c r="F1085" s="68" t="n">
        <x:v>28</x:v>
      </x:c>
      <x:c r="G1085" s="69" t="n">
        <x:f>IF(COUNT(E1085:F1085)=2,E1085*F1085,"")</x:f>
        <x:v>15960</x:v>
      </x:c>
    </x:row>
    <x:row r="1086">
      <x:c r="A1086" s="66" t="n">
        <x:v>11</x:v>
      </x:c>
      <x:c r="B1086" s="44" t="str">
        <x:v>Canola/Rapeseed</x:v>
      </x:c>
      <x:c r="C1086" s="44" t="str">
        <x:v>L255PC</x:v>
      </x:c>
      <x:c r="D1086" s="66" t="n">
        <x:v>2025</x:v>
      </x:c>
      <x:c r="E1086" s="67" t="n">
        <x:v>1303</x:v>
      </x:c>
      <x:c r="F1086" s="68" t="n">
        <x:v>51.3</x:v>
      </x:c>
      <x:c r="G1086" s="69" t="n">
        <x:f>IF(COUNT(E1086:F1086)=2,E1086*F1086,"")</x:f>
        <x:v>66843.9</x:v>
      </x:c>
    </x:row>
    <x:row r="1087">
      <x:c r="A1087" s="66" t="n">
        <x:v>11</x:v>
      </x:c>
      <x:c r="B1087" s="44" t="str">
        <x:v>Canola/Rapeseed</x:v>
      </x:c>
      <x:c r="C1087" s="44" t="str">
        <x:v>L330PC</x:v>
      </x:c>
      <x:c r="D1087" s="66" t="n">
        <x:v>2021</x:v>
      </x:c>
      <x:c r="E1087" s="67"/>
      <x:c r="F1087" s="68"/>
      <x:c r="G1087" s="69" t="str">
        <x:f>IF(COUNT(E1087:F1087)=2,E1087*F1087,"")</x:f>
      </x:c>
    </x:row>
    <x:row r="1088">
      <x:c r="A1088" s="66" t="n">
        <x:v>11</x:v>
      </x:c>
      <x:c r="B1088" s="44" t="str">
        <x:v>Canola/Rapeseed</x:v>
      </x:c>
      <x:c r="C1088" s="44" t="str">
        <x:v>L330PC</x:v>
      </x:c>
      <x:c r="D1088" s="66" t="n">
        <x:v>2022</x:v>
      </x:c>
      <x:c r="E1088" s="67"/>
      <x:c r="F1088" s="68"/>
      <x:c r="G1088" s="69" t="str">
        <x:f>IF(COUNT(E1088:F1088)=2,E1088*F1088,"")</x:f>
      </x:c>
    </x:row>
    <x:row r="1089">
      <x:c r="A1089" s="66" t="n">
        <x:v>11</x:v>
      </x:c>
      <x:c r="B1089" s="44" t="str">
        <x:v>Canola/Rapeseed</x:v>
      </x:c>
      <x:c r="C1089" s="44" t="str">
        <x:v>L330PC</x:v>
      </x:c>
      <x:c r="D1089" s="66" t="n">
        <x:v>2023</x:v>
      </x:c>
      <x:c r="E1089" s="67"/>
      <x:c r="F1089" s="68"/>
      <x:c r="G1089" s="69" t="str">
        <x:f>IF(COUNT(E1089:F1089)=2,E1089*F1089,"")</x:f>
      </x:c>
    </x:row>
    <x:row r="1090">
      <x:c r="A1090" s="66" t="n">
        <x:v>11</x:v>
      </x:c>
      <x:c r="B1090" s="44" t="str">
        <x:v>Canola/Rapeseed</x:v>
      </x:c>
      <x:c r="C1090" s="44" t="str">
        <x:v>L330PC</x:v>
      </x:c>
      <x:c r="D1090" s="66" t="n">
        <x:v>2024</x:v>
      </x:c>
      <x:c r="E1090" s="67"/>
      <x:c r="F1090" s="68"/>
      <x:c r="G1090" s="69" t="str">
        <x:f>IF(COUNT(E1090:F1090)=2,E1090*F1090,"")</x:f>
      </x:c>
    </x:row>
    <x:row r="1091">
      <x:c r="A1091" s="66" t="n">
        <x:v>11</x:v>
      </x:c>
      <x:c r="B1091" s="44" t="str">
        <x:v>Canola/Rapeseed</x:v>
      </x:c>
      <x:c r="C1091" s="44" t="str">
        <x:v>L330PC</x:v>
      </x:c>
      <x:c r="D1091" s="66" t="n">
        <x:v>2025</x:v>
      </x:c>
      <x:c r="E1091" s="67" t="n">
        <x:v>39151</x:v>
      </x:c>
      <x:c r="F1091" s="68" t="n">
        <x:v>48.4</x:v>
      </x:c>
      <x:c r="G1091" s="69" t="n">
        <x:f>IF(COUNT(E1091:F1091)=2,E1091*F1091,"")</x:f>
        <x:v>1894908.4</x:v>
      </x:c>
    </x:row>
    <x:row r="1092">
      <x:c r="A1092" s="66" t="n">
        <x:v>11</x:v>
      </x:c>
      <x:c r="B1092" s="44" t="str">
        <x:v>Canola/Rapeseed</x:v>
      </x:c>
      <x:c r="C1092" s="44" t="str">
        <x:v>L333PC</x:v>
      </x:c>
      <x:c r="D1092" s="66" t="n">
        <x:v>2021</x:v>
      </x:c>
      <x:c r="E1092" s="67"/>
      <x:c r="F1092" s="68"/>
      <x:c r="G1092" s="69" t="str">
        <x:f>IF(COUNT(E1092:F1092)=2,E1092*F1092,"")</x:f>
      </x:c>
    </x:row>
    <x:row r="1093">
      <x:c r="A1093" s="66" t="n">
        <x:v>11</x:v>
      </x:c>
      <x:c r="B1093" s="44" t="str">
        <x:v>Canola/Rapeseed</x:v>
      </x:c>
      <x:c r="C1093" s="44" t="str">
        <x:v>L333PC</x:v>
      </x:c>
      <x:c r="D1093" s="66" t="n">
        <x:v>2022</x:v>
      </x:c>
      <x:c r="E1093" s="67"/>
      <x:c r="F1093" s="68"/>
      <x:c r="G1093" s="69" t="str">
        <x:f>IF(COUNT(E1093:F1093)=2,E1093*F1093,"")</x:f>
      </x:c>
    </x:row>
    <x:row r="1094">
      <x:c r="A1094" s="66" t="n">
        <x:v>11</x:v>
      </x:c>
      <x:c r="B1094" s="44" t="str">
        <x:v>Canola/Rapeseed</x:v>
      </x:c>
      <x:c r="C1094" s="44" t="str">
        <x:v>L333PC</x:v>
      </x:c>
      <x:c r="D1094" s="66" t="n">
        <x:v>2023</x:v>
      </x:c>
      <x:c r="E1094" s="67"/>
      <x:c r="F1094" s="68"/>
      <x:c r="G1094" s="69" t="str">
        <x:f>IF(COUNT(E1094:F1094)=2,E1094*F1094,"")</x:f>
      </x:c>
    </x:row>
    <x:row r="1095">
      <x:c r="A1095" s="66" t="n">
        <x:v>11</x:v>
      </x:c>
      <x:c r="B1095" s="44" t="str">
        <x:v>Canola/Rapeseed</x:v>
      </x:c>
      <x:c r="C1095" s="44" t="str">
        <x:v>L333PC</x:v>
      </x:c>
      <x:c r="D1095" s="66" t="n">
        <x:v>2024</x:v>
      </x:c>
      <x:c r="E1095" s="67"/>
      <x:c r="F1095" s="68"/>
      <x:c r="G1095" s="69" t="str">
        <x:f>IF(COUNT(E1095:F1095)=2,E1095*F1095,"")</x:f>
      </x:c>
    </x:row>
    <x:row r="1096">
      <x:c r="A1096" s="66" t="n">
        <x:v>11</x:v>
      </x:c>
      <x:c r="B1096" s="44" t="str">
        <x:v>Canola/Rapeseed</x:v>
      </x:c>
      <x:c r="C1096" s="44" t="str">
        <x:v>L333PC</x:v>
      </x:c>
      <x:c r="D1096" s="66" t="n">
        <x:v>2025</x:v>
      </x:c>
      <x:c r="E1096" s="67" t="n">
        <x:v>12531</x:v>
      </x:c>
      <x:c r="F1096" s="68" t="n">
        <x:v>46.3</x:v>
      </x:c>
      <x:c r="G1096" s="69" t="n">
        <x:f>IF(COUNT(E1096:F1096)=2,E1096*F1096,"")</x:f>
        <x:v>580185.2999999999</x:v>
      </x:c>
    </x:row>
    <x:row r="1097">
      <x:c r="A1097" s="66" t="n">
        <x:v>11</x:v>
      </x:c>
      <x:c r="B1097" s="44" t="str">
        <x:v>Canola/Rapeseed</x:v>
      </x:c>
      <x:c r="C1097" s="44" t="str">
        <x:v>L340PC</x:v>
      </x:c>
      <x:c r="D1097" s="66" t="n">
        <x:v>2021</x:v>
      </x:c>
      <x:c r="E1097" s="67" t="n">
        <x:v>41116</x:v>
      </x:c>
      <x:c r="F1097" s="68" t="n">
        <x:v>30.1</x:v>
      </x:c>
      <x:c r="G1097" s="69" t="n">
        <x:f>IF(COUNT(E1097:F1097)=2,E1097*F1097,"")</x:f>
        <x:v>1237591.6</x:v>
      </x:c>
    </x:row>
    <x:row r="1098">
      <x:c r="A1098" s="66" t="n">
        <x:v>11</x:v>
      </x:c>
      <x:c r="B1098" s="44" t="str">
        <x:v>Canola/Rapeseed</x:v>
      </x:c>
      <x:c r="C1098" s="44" t="str">
        <x:v>L340PC</x:v>
      </x:c>
      <x:c r="D1098" s="66" t="n">
        <x:v>2022</x:v>
      </x:c>
      <x:c r="E1098" s="67" t="n">
        <x:v>117097</x:v>
      </x:c>
      <x:c r="F1098" s="68" t="n">
        <x:v>47.5</x:v>
      </x:c>
      <x:c r="G1098" s="69" t="n">
        <x:f>IF(COUNT(E1098:F1098)=2,E1098*F1098,"")</x:f>
        <x:v>5562107.5</x:v>
      </x:c>
    </x:row>
    <x:row r="1099">
      <x:c r="A1099" s="66" t="n">
        <x:v>11</x:v>
      </x:c>
      <x:c r="B1099" s="44" t="str">
        <x:v>Canola/Rapeseed</x:v>
      </x:c>
      <x:c r="C1099" s="44" t="str">
        <x:v>L340PC</x:v>
      </x:c>
      <x:c r="D1099" s="66" t="n">
        <x:v>2023</x:v>
      </x:c>
      <x:c r="E1099" s="67" t="n">
        <x:v>138942</x:v>
      </x:c>
      <x:c r="F1099" s="68" t="n">
        <x:v>47</x:v>
      </x:c>
      <x:c r="G1099" s="69" t="n">
        <x:f>IF(COUNT(E1099:F1099)=2,E1099*F1099,"")</x:f>
        <x:v>6530274</x:v>
      </x:c>
    </x:row>
    <x:row r="1100">
      <x:c r="A1100" s="66" t="n">
        <x:v>11</x:v>
      </x:c>
      <x:c r="B1100" s="44" t="str">
        <x:v>Canola/Rapeseed</x:v>
      </x:c>
      <x:c r="C1100" s="44" t="str">
        <x:v>L340PC</x:v>
      </x:c>
      <x:c r="D1100" s="66" t="n">
        <x:v>2024</x:v>
      </x:c>
      <x:c r="E1100" s="67" t="n">
        <x:v>186714</x:v>
      </x:c>
      <x:c r="F1100" s="68" t="n">
        <x:v>39.8</x:v>
      </x:c>
      <x:c r="G1100" s="69" t="n">
        <x:f>IF(COUNT(E1100:F1100)=2,E1100*F1100,"")</x:f>
        <x:v>7431217.199999999</x:v>
      </x:c>
    </x:row>
    <x:row r="1101">
      <x:c r="A1101" s="66" t="n">
        <x:v>11</x:v>
      </x:c>
      <x:c r="B1101" s="44" t="str">
        <x:v>Canola/Rapeseed</x:v>
      </x:c>
      <x:c r="C1101" s="44" t="str">
        <x:v>L340PC</x:v>
      </x:c>
      <x:c r="D1101" s="66" t="n">
        <x:v>2025</x:v>
      </x:c>
      <x:c r="E1101" s="67" t="n">
        <x:v>254869</x:v>
      </x:c>
      <x:c r="F1101" s="68" t="n">
        <x:v>47.6</x:v>
      </x:c>
      <x:c r="G1101" s="69" t="n">
        <x:f>IF(COUNT(E1101:F1101)=2,E1101*F1101,"")</x:f>
        <x:v>12131764.4</x:v>
      </x:c>
    </x:row>
    <x:row r="1102">
      <x:c r="A1102" s="66" t="n">
        <x:v>11</x:v>
      </x:c>
      <x:c r="B1102" s="44" t="str">
        <x:v>Canola/Rapeseed</x:v>
      </x:c>
      <x:c r="C1102" s="44" t="str">
        <x:v>L341PC</x:v>
      </x:c>
      <x:c r="D1102" s="66" t="n">
        <x:v>2021</x:v>
      </x:c>
      <x:c r="E1102" s="67"/>
      <x:c r="F1102" s="68"/>
      <x:c r="G1102" s="69" t="str">
        <x:f>IF(COUNT(E1102:F1102)=2,E1102*F1102,"")</x:f>
      </x:c>
    </x:row>
    <x:row r="1103">
      <x:c r="A1103" s="66" t="n">
        <x:v>11</x:v>
      </x:c>
      <x:c r="B1103" s="44" t="str">
        <x:v>Canola/Rapeseed</x:v>
      </x:c>
      <x:c r="C1103" s="44" t="str">
        <x:v>L341PC</x:v>
      </x:c>
      <x:c r="D1103" s="66" t="n">
        <x:v>2022</x:v>
      </x:c>
      <x:c r="E1103" s="67"/>
      <x:c r="F1103" s="68"/>
      <x:c r="G1103" s="69" t="str">
        <x:f>IF(COUNT(E1103:F1103)=2,E1103*F1103,"")</x:f>
      </x:c>
    </x:row>
    <x:row r="1104">
      <x:c r="A1104" s="66" t="n">
        <x:v>11</x:v>
      </x:c>
      <x:c r="B1104" s="44" t="str">
        <x:v>Canola/Rapeseed</x:v>
      </x:c>
      <x:c r="C1104" s="44" t="str">
        <x:v>L341PC</x:v>
      </x:c>
      <x:c r="D1104" s="66" t="n">
        <x:v>2023</x:v>
      </x:c>
      <x:c r="E1104" s="67"/>
      <x:c r="F1104" s="68"/>
      <x:c r="G1104" s="69" t="str">
        <x:f>IF(COUNT(E1104:F1104)=2,E1104*F1104,"")</x:f>
      </x:c>
    </x:row>
    <x:row r="1105">
      <x:c r="A1105" s="66" t="n">
        <x:v>11</x:v>
      </x:c>
      <x:c r="B1105" s="44" t="str">
        <x:v>Canola/Rapeseed</x:v>
      </x:c>
      <x:c r="C1105" s="44" t="str">
        <x:v>L341PC</x:v>
      </x:c>
      <x:c r="D1105" s="66" t="n">
        <x:v>2024</x:v>
      </x:c>
      <x:c r="E1105" s="67"/>
      <x:c r="F1105" s="68"/>
      <x:c r="G1105" s="69" t="str">
        <x:f>IF(COUNT(E1105:F1105)=2,E1105*F1105,"")</x:f>
      </x:c>
    </x:row>
    <x:row r="1106">
      <x:c r="A1106" s="66" t="n">
        <x:v>11</x:v>
      </x:c>
      <x:c r="B1106" s="44" t="str">
        <x:v>Canola/Rapeseed</x:v>
      </x:c>
      <x:c r="C1106" s="44" t="str">
        <x:v>L341PC</x:v>
      </x:c>
      <x:c r="D1106" s="66" t="n">
        <x:v>2025</x:v>
      </x:c>
      <x:c r="E1106" s="67" t="n">
        <x:v>2443</x:v>
      </x:c>
      <x:c r="F1106" s="68" t="n">
        <x:v>46.5</x:v>
      </x:c>
      <x:c r="G1106" s="69" t="n">
        <x:f>IF(COUNT(E1106:F1106)=2,E1106*F1106,"")</x:f>
        <x:v>113599.5</x:v>
      </x:c>
    </x:row>
    <x:row r="1107">
      <x:c r="A1107" s="66" t="n">
        <x:v>11</x:v>
      </x:c>
      <x:c r="B1107" s="44" t="str">
        <x:v>Canola/Rapeseed</x:v>
      </x:c>
      <x:c r="C1107" s="44" t="str">
        <x:v>L343PC</x:v>
      </x:c>
      <x:c r="D1107" s="66" t="n">
        <x:v>2021</x:v>
      </x:c>
      <x:c r="E1107" s="67"/>
      <x:c r="F1107" s="68"/>
      <x:c r="G1107" s="69" t="str">
        <x:f>IF(COUNT(E1107:F1107)=2,E1107*F1107,"")</x:f>
      </x:c>
    </x:row>
    <x:row r="1108">
      <x:c r="A1108" s="66" t="n">
        <x:v>11</x:v>
      </x:c>
      <x:c r="B1108" s="44" t="str">
        <x:v>Canola/Rapeseed</x:v>
      </x:c>
      <x:c r="C1108" s="44" t="str">
        <x:v>L343PC</x:v>
      </x:c>
      <x:c r="D1108" s="66" t="n">
        <x:v>2022</x:v>
      </x:c>
      <x:c r="E1108" s="67" t="n">
        <x:v>3083</x:v>
      </x:c>
      <x:c r="F1108" s="68" t="n">
        <x:v>44.6</x:v>
      </x:c>
      <x:c r="G1108" s="69" t="n">
        <x:f>IF(COUNT(E1108:F1108)=2,E1108*F1108,"")</x:f>
        <x:v>137501.80000000002</x:v>
      </x:c>
    </x:row>
    <x:row r="1109">
      <x:c r="A1109" s="66" t="n">
        <x:v>11</x:v>
      </x:c>
      <x:c r="B1109" s="44" t="str">
        <x:v>Canola/Rapeseed</x:v>
      </x:c>
      <x:c r="C1109" s="44" t="str">
        <x:v>L343PC</x:v>
      </x:c>
      <x:c r="D1109" s="66" t="n">
        <x:v>2023</x:v>
      </x:c>
      <x:c r="E1109" s="67" t="n">
        <x:v>13748</x:v>
      </x:c>
      <x:c r="F1109" s="68" t="n">
        <x:v>43</x:v>
      </x:c>
      <x:c r="G1109" s="69" t="n">
        <x:f>IF(COUNT(E1109:F1109)=2,E1109*F1109,"")</x:f>
        <x:v>591164</x:v>
      </x:c>
    </x:row>
    <x:row r="1110">
      <x:c r="A1110" s="66" t="n">
        <x:v>11</x:v>
      </x:c>
      <x:c r="B1110" s="44" t="str">
        <x:v>Canola/Rapeseed</x:v>
      </x:c>
      <x:c r="C1110" s="44" t="str">
        <x:v>L343PC</x:v>
      </x:c>
      <x:c r="D1110" s="66" t="n">
        <x:v>2024</x:v>
      </x:c>
      <x:c r="E1110" s="67" t="n">
        <x:v>7297</x:v>
      </x:c>
      <x:c r="F1110" s="68" t="n">
        <x:v>33.9</x:v>
      </x:c>
      <x:c r="G1110" s="69" t="n">
        <x:f>IF(COUNT(E1110:F1110)=2,E1110*F1110,"")</x:f>
        <x:v>247368.3</x:v>
      </x:c>
    </x:row>
    <x:row r="1111">
      <x:c r="A1111" s="66" t="n">
        <x:v>11</x:v>
      </x:c>
      <x:c r="B1111" s="44" t="str">
        <x:v>Canola/Rapeseed</x:v>
      </x:c>
      <x:c r="C1111" s="44" t="str">
        <x:v>L343PC</x:v>
      </x:c>
      <x:c r="D1111" s="66" t="n">
        <x:v>2025</x:v>
      </x:c>
      <x:c r="E1111" s="67" t="n">
        <x:v>1470</x:v>
      </x:c>
      <x:c r="F1111" s="68" t="n">
        <x:v>49.7</x:v>
      </x:c>
      <x:c r="G1111" s="69" t="n">
        <x:f>IF(COUNT(E1111:F1111)=2,E1111*F1111,"")</x:f>
        <x:v>73059</x:v>
      </x:c>
    </x:row>
    <x:row r="1112">
      <x:c r="A1112" s="66" t="n">
        <x:v>11</x:v>
      </x:c>
      <x:c r="B1112" s="44" t="str">
        <x:v>Canola/Rapeseed</x:v>
      </x:c>
      <x:c r="C1112" s="44" t="str">
        <x:v>L345PC</x:v>
      </x:c>
      <x:c r="D1112" s="66" t="n">
        <x:v>2021</x:v>
      </x:c>
      <x:c r="E1112" s="67" t="n">
        <x:v>45483</x:v>
      </x:c>
      <x:c r="F1112" s="68" t="n">
        <x:v>30.3</x:v>
      </x:c>
      <x:c r="G1112" s="69" t="n">
        <x:f>IF(COUNT(E1112:F1112)=2,E1112*F1112,"")</x:f>
        <x:v>1378134.9000000001</x:v>
      </x:c>
    </x:row>
    <x:row r="1113">
      <x:c r="A1113" s="66" t="n">
        <x:v>11</x:v>
      </x:c>
      <x:c r="B1113" s="44" t="str">
        <x:v>Canola/Rapeseed</x:v>
      </x:c>
      <x:c r="C1113" s="44" t="str">
        <x:v>L345PC</x:v>
      </x:c>
      <x:c r="D1113" s="66" t="n">
        <x:v>2022</x:v>
      </x:c>
      <x:c r="E1113" s="67" t="n">
        <x:v>61085</x:v>
      </x:c>
      <x:c r="F1113" s="68" t="n">
        <x:v>45.9</x:v>
      </x:c>
      <x:c r="G1113" s="69" t="n">
        <x:f>IF(COUNT(E1113:F1113)=2,E1113*F1113,"")</x:f>
        <x:v>2803801.5</x:v>
      </x:c>
    </x:row>
    <x:row r="1114">
      <x:c r="A1114" s="66" t="n">
        <x:v>11</x:v>
      </x:c>
      <x:c r="B1114" s="44" t="str">
        <x:v>Canola/Rapeseed</x:v>
      </x:c>
      <x:c r="C1114" s="44" t="str">
        <x:v>L345PC</x:v>
      </x:c>
      <x:c r="D1114" s="66" t="n">
        <x:v>2023</x:v>
      </x:c>
      <x:c r="E1114" s="67" t="n">
        <x:v>35270</x:v>
      </x:c>
      <x:c r="F1114" s="68" t="n">
        <x:v>44.7</x:v>
      </x:c>
      <x:c r="G1114" s="69" t="n">
        <x:f>IF(COUNT(E1114:F1114)=2,E1114*F1114,"")</x:f>
        <x:v>1576569</x:v>
      </x:c>
    </x:row>
    <x:row r="1115">
      <x:c r="A1115" s="66" t="n">
        <x:v>11</x:v>
      </x:c>
      <x:c r="B1115" s="44" t="str">
        <x:v>Canola/Rapeseed</x:v>
      </x:c>
      <x:c r="C1115" s="44" t="str">
        <x:v>L345PC</x:v>
      </x:c>
      <x:c r="D1115" s="66" t="n">
        <x:v>2024</x:v>
      </x:c>
      <x:c r="E1115" s="67" t="n">
        <x:v>36801</x:v>
      </x:c>
      <x:c r="F1115" s="68" t="n">
        <x:v>38.8</x:v>
      </x:c>
      <x:c r="G1115" s="69" t="n">
        <x:f>IF(COUNT(E1115:F1115)=2,E1115*F1115,"")</x:f>
        <x:v>1427878.7999999998</x:v>
      </x:c>
    </x:row>
    <x:row r="1116">
      <x:c r="A1116" s="66" t="n">
        <x:v>11</x:v>
      </x:c>
      <x:c r="B1116" s="44" t="str">
        <x:v>Canola/Rapeseed</x:v>
      </x:c>
      <x:c r="C1116" s="44" t="str">
        <x:v>L345PC</x:v>
      </x:c>
      <x:c r="D1116" s="66" t="n">
        <x:v>2025</x:v>
      </x:c>
      <x:c r="E1116" s="67" t="n">
        <x:v>18796</x:v>
      </x:c>
      <x:c r="F1116" s="68" t="n">
        <x:v>45</x:v>
      </x:c>
      <x:c r="G1116" s="69" t="n">
        <x:f>IF(COUNT(E1116:F1116)=2,E1116*F1116,"")</x:f>
        <x:v>845820</x:v>
      </x:c>
    </x:row>
    <x:row r="1117">
      <x:c r="A1117" s="66" t="n">
        <x:v>11</x:v>
      </x:c>
      <x:c r="B1117" s="44" t="str">
        <x:v>Canola/Rapeseed</x:v>
      </x:c>
      <x:c r="C1117" s="44" t="str">
        <x:v>L350PC</x:v>
      </x:c>
      <x:c r="D1117" s="66" t="n">
        <x:v>2021</x:v>
      </x:c>
      <x:c r="E1117" s="67"/>
      <x:c r="F1117" s="68"/>
      <x:c r="G1117" s="69" t="str">
        <x:f>IF(COUNT(E1117:F1117)=2,E1117*F1117,"")</x:f>
      </x:c>
    </x:row>
    <x:row r="1118">
      <x:c r="A1118" s="66" t="n">
        <x:v>11</x:v>
      </x:c>
      <x:c r="B1118" s="44" t="str">
        <x:v>Canola/Rapeseed</x:v>
      </x:c>
      <x:c r="C1118" s="44" t="str">
        <x:v>L350PC</x:v>
      </x:c>
      <x:c r="D1118" s="66" t="n">
        <x:v>2022</x:v>
      </x:c>
      <x:c r="E1118" s="67"/>
      <x:c r="F1118" s="68"/>
      <x:c r="G1118" s="69" t="str">
        <x:f>IF(COUNT(E1118:F1118)=2,E1118*F1118,"")</x:f>
      </x:c>
    </x:row>
    <x:row r="1119">
      <x:c r="A1119" s="66" t="n">
        <x:v>11</x:v>
      </x:c>
      <x:c r="B1119" s="44" t="str">
        <x:v>Canola/Rapeseed</x:v>
      </x:c>
      <x:c r="C1119" s="44" t="str">
        <x:v>L350PC</x:v>
      </x:c>
      <x:c r="D1119" s="66" t="n">
        <x:v>2023</x:v>
      </x:c>
      <x:c r="E1119" s="67" t="n">
        <x:v>28040</x:v>
      </x:c>
      <x:c r="F1119" s="68" t="n">
        <x:v>44.5</x:v>
      </x:c>
      <x:c r="G1119" s="69" t="n">
        <x:f>IF(COUNT(E1119:F1119)=2,E1119*F1119,"")</x:f>
        <x:v>1247780</x:v>
      </x:c>
    </x:row>
    <x:row r="1120">
      <x:c r="A1120" s="66" t="n">
        <x:v>11</x:v>
      </x:c>
      <x:c r="B1120" s="44" t="str">
        <x:v>Canola/Rapeseed</x:v>
      </x:c>
      <x:c r="C1120" s="44" t="str">
        <x:v>L350PC</x:v>
      </x:c>
      <x:c r="D1120" s="66" t="n">
        <x:v>2024</x:v>
      </x:c>
      <x:c r="E1120" s="67" t="n">
        <x:v>19261</x:v>
      </x:c>
      <x:c r="F1120" s="68" t="n">
        <x:v>39.2</x:v>
      </x:c>
      <x:c r="G1120" s="69" t="n">
        <x:f>IF(COUNT(E1120:F1120)=2,E1120*F1120,"")</x:f>
        <x:v>755031.2000000001</x:v>
      </x:c>
    </x:row>
    <x:row r="1121">
      <x:c r="A1121" s="66" t="n">
        <x:v>11</x:v>
      </x:c>
      <x:c r="B1121" s="44" t="str">
        <x:v>Canola/Rapeseed</x:v>
      </x:c>
      <x:c r="C1121" s="44" t="str">
        <x:v>L350PC</x:v>
      </x:c>
      <x:c r="D1121" s="66" t="n">
        <x:v>2025</x:v>
      </x:c>
      <x:c r="E1121" s="67" t="n">
        <x:v>3893</x:v>
      </x:c>
      <x:c r="F1121" s="68" t="n">
        <x:v>44.4</x:v>
      </x:c>
      <x:c r="G1121" s="69" t="n">
        <x:f>IF(COUNT(E1121:F1121)=2,E1121*F1121,"")</x:f>
        <x:v>172849.19999999998</x:v>
      </x:c>
    </x:row>
    <x:row r="1122">
      <x:c r="A1122" s="66" t="n">
        <x:v>11</x:v>
      </x:c>
      <x:c r="B1122" s="44" t="str">
        <x:v>Canola/Rapeseed</x:v>
      </x:c>
      <x:c r="C1122" s="44" t="str">
        <x:v>L356PC</x:v>
      </x:c>
      <x:c r="D1122" s="66" t="n">
        <x:v>2021</x:v>
      </x:c>
      <x:c r="E1122" s="67"/>
      <x:c r="F1122" s="68"/>
      <x:c r="G1122" s="69" t="str">
        <x:f>IF(COUNT(E1122:F1122)=2,E1122*F1122,"")</x:f>
      </x:c>
    </x:row>
    <x:row r="1123">
      <x:c r="A1123" s="66" t="n">
        <x:v>11</x:v>
      </x:c>
      <x:c r="B1123" s="44" t="str">
        <x:v>Canola/Rapeseed</x:v>
      </x:c>
      <x:c r="C1123" s="44" t="str">
        <x:v>L356PC</x:v>
      </x:c>
      <x:c r="D1123" s="66" t="n">
        <x:v>2022</x:v>
      </x:c>
      <x:c r="E1123" s="67" t="n">
        <x:v>17501</x:v>
      </x:c>
      <x:c r="F1123" s="68" t="n">
        <x:v>48.6</x:v>
      </x:c>
      <x:c r="G1123" s="69" t="n">
        <x:f>IF(COUNT(E1123:F1123)=2,E1123*F1123,"")</x:f>
        <x:v>850548.6</x:v>
      </x:c>
    </x:row>
    <x:row r="1124">
      <x:c r="A1124" s="66" t="n">
        <x:v>11</x:v>
      </x:c>
      <x:c r="B1124" s="44" t="str">
        <x:v>Canola/Rapeseed</x:v>
      </x:c>
      <x:c r="C1124" s="44" t="str">
        <x:v>L356PC</x:v>
      </x:c>
      <x:c r="D1124" s="66" t="n">
        <x:v>2023</x:v>
      </x:c>
      <x:c r="E1124" s="67" t="n">
        <x:v>53581</x:v>
      </x:c>
      <x:c r="F1124" s="68" t="n">
        <x:v>45.2</x:v>
      </x:c>
      <x:c r="G1124" s="69" t="n">
        <x:f>IF(COUNT(E1124:F1124)=2,E1124*F1124,"")</x:f>
        <x:v>2421861.2</x:v>
      </x:c>
    </x:row>
    <x:row r="1125">
      <x:c r="A1125" s="66" t="n">
        <x:v>11</x:v>
      </x:c>
      <x:c r="B1125" s="44" t="str">
        <x:v>Canola/Rapeseed</x:v>
      </x:c>
      <x:c r="C1125" s="44" t="str">
        <x:v>L356PC</x:v>
      </x:c>
      <x:c r="D1125" s="66" t="n">
        <x:v>2024</x:v>
      </x:c>
      <x:c r="E1125" s="67" t="n">
        <x:v>92588</x:v>
      </x:c>
      <x:c r="F1125" s="68" t="n">
        <x:v>37.3</x:v>
      </x:c>
      <x:c r="G1125" s="69" t="n">
        <x:f>IF(COUNT(E1125:F1125)=2,E1125*F1125,"")</x:f>
        <x:v>3453532.4</x:v>
      </x:c>
    </x:row>
    <x:row r="1126">
      <x:c r="A1126" s="66" t="n">
        <x:v>11</x:v>
      </x:c>
      <x:c r="B1126" s="44" t="str">
        <x:v>Canola/Rapeseed</x:v>
      </x:c>
      <x:c r="C1126" s="44" t="str">
        <x:v>L356PC</x:v>
      </x:c>
      <x:c r="D1126" s="66" t="n">
        <x:v>2025</x:v>
      </x:c>
      <x:c r="E1126" s="67" t="n">
        <x:v>68846</x:v>
      </x:c>
      <x:c r="F1126" s="68" t="n">
        <x:v>48.4</x:v>
      </x:c>
      <x:c r="G1126" s="69" t="n">
        <x:f>IF(COUNT(E1126:F1126)=2,E1126*F1126,"")</x:f>
        <x:v>3332146.4</x:v>
      </x:c>
    </x:row>
    <x:row r="1127">
      <x:c r="A1127" s="66" t="n">
        <x:v>11</x:v>
      </x:c>
      <x:c r="B1127" s="44" t="str">
        <x:v>Canola/Rapeseed</x:v>
      </x:c>
      <x:c r="C1127" s="44" t="str">
        <x:v>PV 661 LCM</x:v>
      </x:c>
      <x:c r="D1127" s="66" t="n">
        <x:v>2021</x:v>
      </x:c>
      <x:c r="E1127" s="67"/>
      <x:c r="F1127" s="68"/>
      <x:c r="G1127" s="69" t="str">
        <x:f>IF(COUNT(E1127:F1127)=2,E1127*F1127,"")</x:f>
      </x:c>
    </x:row>
    <x:row r="1128">
      <x:c r="A1128" s="66" t="n">
        <x:v>11</x:v>
      </x:c>
      <x:c r="B1128" s="44" t="str">
        <x:v>Canola/Rapeseed</x:v>
      </x:c>
      <x:c r="C1128" s="44" t="str">
        <x:v>PV 661 LCM</x:v>
      </x:c>
      <x:c r="D1128" s="66" t="n">
        <x:v>2022</x:v>
      </x:c>
      <x:c r="E1128" s="67"/>
      <x:c r="F1128" s="68"/>
      <x:c r="G1128" s="69" t="str">
        <x:f>IF(COUNT(E1128:F1128)=2,E1128*F1128,"")</x:f>
      </x:c>
    </x:row>
    <x:row r="1129">
      <x:c r="A1129" s="66" t="n">
        <x:v>11</x:v>
      </x:c>
      <x:c r="B1129" s="44" t="str">
        <x:v>Canola/Rapeseed</x:v>
      </x:c>
      <x:c r="C1129" s="44" t="str">
        <x:v>PV 661 LCM</x:v>
      </x:c>
      <x:c r="D1129" s="66" t="n">
        <x:v>2023</x:v>
      </x:c>
      <x:c r="E1129" s="67"/>
      <x:c r="F1129" s="68"/>
      <x:c r="G1129" s="69" t="str">
        <x:f>IF(COUNT(E1129:F1129)=2,E1129*F1129,"")</x:f>
      </x:c>
    </x:row>
    <x:row r="1130">
      <x:c r="A1130" s="66" t="n">
        <x:v>11</x:v>
      </x:c>
      <x:c r="B1130" s="44" t="str">
        <x:v>Canola/Rapeseed</x:v>
      </x:c>
      <x:c r="C1130" s="44" t="str">
        <x:v>PV 661 LCM</x:v>
      </x:c>
      <x:c r="D1130" s="66" t="n">
        <x:v>2024</x:v>
      </x:c>
      <x:c r="E1130" s="67" t="n">
        <x:v>6754</x:v>
      </x:c>
      <x:c r="F1130" s="68" t="n">
        <x:v>33.9</x:v>
      </x:c>
      <x:c r="G1130" s="69" t="n">
        <x:f>IF(COUNT(E1130:F1130)=2,E1130*F1130,"")</x:f>
        <x:v>228960.59999999998</x:v>
      </x:c>
    </x:row>
    <x:row r="1131">
      <x:c r="A1131" s="66" t="n">
        <x:v>11</x:v>
      </x:c>
      <x:c r="B1131" s="44" t="str">
        <x:v>Canola/Rapeseed</x:v>
      </x:c>
      <x:c r="C1131" s="44" t="str">
        <x:v>PV 661 LCM</x:v>
      </x:c>
      <x:c r="D1131" s="66" t="n">
        <x:v>2025</x:v>
      </x:c>
      <x:c r="E1131" s="67" t="n">
        <x:v>5993</x:v>
      </x:c>
      <x:c r="F1131" s="68" t="n">
        <x:v>41.9</x:v>
      </x:c>
      <x:c r="G1131" s="69" t="n">
        <x:f>IF(COUNT(E1131:F1131)=2,E1131*F1131,"")</x:f>
        <x:v>251106.69999999998</x:v>
      </x:c>
    </x:row>
    <x:row r="1132">
      <x:c r="A1132" s="66" t="n">
        <x:v>11</x:v>
      </x:c>
      <x:c r="B1132" s="44" t="str">
        <x:v>Canola/Rapeseed</x:v>
      </x:c>
      <x:c r="C1132" s="44" t="str">
        <x:v>PV 681 LC</x:v>
      </x:c>
      <x:c r="D1132" s="66" t="n">
        <x:v>2021</x:v>
      </x:c>
      <x:c r="E1132" s="67"/>
      <x:c r="F1132" s="68"/>
      <x:c r="G1132" s="69" t="str">
        <x:f>IF(COUNT(E1132:F1132)=2,E1132*F1132,"")</x:f>
      </x:c>
    </x:row>
    <x:row r="1133">
      <x:c r="A1133" s="66" t="n">
        <x:v>11</x:v>
      </x:c>
      <x:c r="B1133" s="44" t="str">
        <x:v>Canola/Rapeseed</x:v>
      </x:c>
      <x:c r="C1133" s="44" t="str">
        <x:v>PV 681 LC</x:v>
      </x:c>
      <x:c r="D1133" s="66" t="n">
        <x:v>2022</x:v>
      </x:c>
      <x:c r="E1133" s="67"/>
      <x:c r="F1133" s="68"/>
      <x:c r="G1133" s="69" t="str">
        <x:f>IF(COUNT(E1133:F1133)=2,E1133*F1133,"")</x:f>
      </x:c>
    </x:row>
    <x:row r="1134">
      <x:c r="A1134" s="66" t="n">
        <x:v>11</x:v>
      </x:c>
      <x:c r="B1134" s="44" t="str">
        <x:v>Canola/Rapeseed</x:v>
      </x:c>
      <x:c r="C1134" s="44" t="str">
        <x:v>PV 681 LC</x:v>
      </x:c>
      <x:c r="D1134" s="66" t="n">
        <x:v>2023</x:v>
      </x:c>
      <x:c r="E1134" s="67" t="n">
        <x:v>3352</x:v>
      </x:c>
      <x:c r="F1134" s="68" t="n">
        <x:v>37.2</x:v>
      </x:c>
      <x:c r="G1134" s="69" t="n">
        <x:f>IF(COUNT(E1134:F1134)=2,E1134*F1134,"")</x:f>
        <x:v>124694.40000000001</x:v>
      </x:c>
    </x:row>
    <x:row r="1135">
      <x:c r="A1135" s="66" t="n">
        <x:v>11</x:v>
      </x:c>
      <x:c r="B1135" s="44" t="str">
        <x:v>Canola/Rapeseed</x:v>
      </x:c>
      <x:c r="C1135" s="44" t="str">
        <x:v>PV 681 LC</x:v>
      </x:c>
      <x:c r="D1135" s="66" t="n">
        <x:v>2024</x:v>
      </x:c>
      <x:c r="E1135" s="67" t="n">
        <x:v>1502</x:v>
      </x:c>
      <x:c r="F1135" s="68" t="n">
        <x:v>21.2</x:v>
      </x:c>
      <x:c r="G1135" s="69" t="n">
        <x:f>IF(COUNT(E1135:F1135)=2,E1135*F1135,"")</x:f>
        <x:v>31842.399999999998</x:v>
      </x:c>
    </x:row>
    <x:row r="1136">
      <x:c r="A1136" s="66" t="n">
        <x:v>11</x:v>
      </x:c>
      <x:c r="B1136" s="44" t="str">
        <x:v>Canola/Rapeseed</x:v>
      </x:c>
      <x:c r="C1136" s="44" t="str">
        <x:v>PV 681 LC</x:v>
      </x:c>
      <x:c r="D1136" s="66" t="n">
        <x:v>2025</x:v>
      </x:c>
      <x:c r="E1136" s="67" t="n">
        <x:v>1926</x:v>
      </x:c>
      <x:c r="F1136" s="68" t="n">
        <x:v>38.8</x:v>
      </x:c>
      <x:c r="G1136" s="69" t="n">
        <x:f>IF(COUNT(E1136:F1136)=2,E1136*F1136,"")</x:f>
        <x:v>74728.79999999999</x:v>
      </x:c>
    </x:row>
    <x:row r="1137">
      <x:c r="A1137" s="66" t="n">
        <x:v>11</x:v>
      </x:c>
      <x:c r="B1137" s="44" t="str">
        <x:v>Canola/Rapeseed</x:v>
      </x:c>
      <x:c r="C1137" s="44" t="str">
        <x:v>PV 760 TM</x:v>
      </x:c>
      <x:c r="D1137" s="66" t="n">
        <x:v>2021</x:v>
      </x:c>
      <x:c r="E1137" s="67" t="n">
        <x:v>2143</x:v>
      </x:c>
      <x:c r="F1137" s="68" t="n">
        <x:v>21.3</x:v>
      </x:c>
      <x:c r="G1137" s="69" t="n">
        <x:f>IF(COUNT(E1137:F1137)=2,E1137*F1137,"")</x:f>
        <x:v>45645.9</x:v>
      </x:c>
    </x:row>
    <x:row r="1138">
      <x:c r="A1138" s="66" t="n">
        <x:v>11</x:v>
      </x:c>
      <x:c r="B1138" s="44" t="str">
        <x:v>Canola/Rapeseed</x:v>
      </x:c>
      <x:c r="C1138" s="44" t="str">
        <x:v>PV 760 TM</x:v>
      </x:c>
      <x:c r="D1138" s="66" t="n">
        <x:v>2022</x:v>
      </x:c>
      <x:c r="E1138" s="67" t="n">
        <x:v>607</x:v>
      </x:c>
      <x:c r="F1138" s="68" t="n">
        <x:v>40.7</x:v>
      </x:c>
      <x:c r="G1138" s="69" t="n">
        <x:f>IF(COUNT(E1138:F1138)=2,E1138*F1138,"")</x:f>
        <x:v>24704.9</x:v>
      </x:c>
    </x:row>
    <x:row r="1139">
      <x:c r="A1139" s="66" t="n">
        <x:v>11</x:v>
      </x:c>
      <x:c r="B1139" s="44" t="str">
        <x:v>Canola/Rapeseed</x:v>
      </x:c>
      <x:c r="C1139" s="44" t="str">
        <x:v>PV 760 TM</x:v>
      </x:c>
      <x:c r="D1139" s="66" t="n">
        <x:v>2023</x:v>
      </x:c>
      <x:c r="E1139" s="67" t="n">
        <x:v>447</x:v>
      </x:c>
      <x:c r="F1139" s="68" t="n">
        <x:v>37.5</x:v>
      </x:c>
      <x:c r="G1139" s="69" t="n">
        <x:f>IF(COUNT(E1139:F1139)=2,E1139*F1139,"")</x:f>
        <x:v>16762.5</x:v>
      </x:c>
    </x:row>
    <x:row r="1140">
      <x:c r="A1140" s="66" t="n">
        <x:v>11</x:v>
      </x:c>
      <x:c r="B1140" s="44" t="str">
        <x:v>Canola/Rapeseed</x:v>
      </x:c>
      <x:c r="C1140" s="44" t="str">
        <x:v>PV 760 TM</x:v>
      </x:c>
      <x:c r="D1140" s="66" t="n">
        <x:v>2024</x:v>
      </x:c>
      <x:c r="E1140" s="67"/>
      <x:c r="F1140" s="68"/>
      <x:c r="G1140" s="69" t="str">
        <x:f>IF(COUNT(E1140:F1140)=2,E1140*F1140,"")</x:f>
      </x:c>
    </x:row>
    <x:row r="1141">
      <x:c r="A1141" s="66" t="n">
        <x:v>11</x:v>
      </x:c>
      <x:c r="B1141" s="44" t="str">
        <x:v>Canola/Rapeseed</x:v>
      </x:c>
      <x:c r="C1141" s="44" t="str">
        <x:v>PV 760 TM</x:v>
      </x:c>
      <x:c r="D1141" s="66" t="n">
        <x:v>2025</x:v>
      </x:c>
      <x:c r="E1141" s="67" t="n">
        <x:v>411</x:v>
      </x:c>
      <x:c r="F1141" s="68" t="n">
        <x:v>37.5</x:v>
      </x:c>
      <x:c r="G1141" s="69" t="n">
        <x:f>IF(COUNT(E1141:F1141)=2,E1141*F1141,"")</x:f>
        <x:v>15412.5</x:v>
      </x:c>
    </x:row>
    <x:row r="1142">
      <x:c r="A1142" s="66" t="n">
        <x:v>11</x:v>
      </x:c>
      <x:c r="B1142" s="44" t="str">
        <x:v>Canola/Rapeseed</x:v>
      </x:c>
      <x:c r="C1142" s="44" t="str">
        <x:v>PV 761 TM</x:v>
      </x:c>
      <x:c r="D1142" s="66" t="n">
        <x:v>2021</x:v>
      </x:c>
      <x:c r="E1142" s="67" t="n">
        <x:v>10516</x:v>
      </x:c>
      <x:c r="F1142" s="68" t="n">
        <x:v>24.1</x:v>
      </x:c>
      <x:c r="G1142" s="69" t="n">
        <x:f>IF(COUNT(E1142:F1142)=2,E1142*F1142,"")</x:f>
        <x:v>253435.6</x:v>
      </x:c>
    </x:row>
    <x:row r="1143">
      <x:c r="A1143" s="66" t="n">
        <x:v>11</x:v>
      </x:c>
      <x:c r="B1143" s="44" t="str">
        <x:v>Canola/Rapeseed</x:v>
      </x:c>
      <x:c r="C1143" s="44" t="str">
        <x:v>PV 761 TM</x:v>
      </x:c>
      <x:c r="D1143" s="66" t="n">
        <x:v>2022</x:v>
      </x:c>
      <x:c r="E1143" s="67" t="n">
        <x:v>10064</x:v>
      </x:c>
      <x:c r="F1143" s="68" t="n">
        <x:v>40.3</x:v>
      </x:c>
      <x:c r="G1143" s="69" t="n">
        <x:f>IF(COUNT(E1143:F1143)=2,E1143*F1143,"")</x:f>
        <x:v>405579.19999999995</x:v>
      </x:c>
    </x:row>
    <x:row r="1144">
      <x:c r="A1144" s="66" t="n">
        <x:v>11</x:v>
      </x:c>
      <x:c r="B1144" s="44" t="str">
        <x:v>Canola/Rapeseed</x:v>
      </x:c>
      <x:c r="C1144" s="44" t="str">
        <x:v>PV 761 TM</x:v>
      </x:c>
      <x:c r="D1144" s="66" t="n">
        <x:v>2023</x:v>
      </x:c>
      <x:c r="E1144" s="67" t="n">
        <x:v>14561</x:v>
      </x:c>
      <x:c r="F1144" s="68" t="n">
        <x:v>35.5</x:v>
      </x:c>
      <x:c r="G1144" s="69" t="n">
        <x:f>IF(COUNT(E1144:F1144)=2,E1144*F1144,"")</x:f>
        <x:v>516915.5</x:v>
      </x:c>
    </x:row>
    <x:row r="1145">
      <x:c r="A1145" s="66" t="n">
        <x:v>11</x:v>
      </x:c>
      <x:c r="B1145" s="44" t="str">
        <x:v>Canola/Rapeseed</x:v>
      </x:c>
      <x:c r="C1145" s="44" t="str">
        <x:v>PV 761 TM</x:v>
      </x:c>
      <x:c r="D1145" s="66" t="n">
        <x:v>2024</x:v>
      </x:c>
      <x:c r="E1145" s="67" t="n">
        <x:v>4679</x:v>
      </x:c>
      <x:c r="F1145" s="68" t="n">
        <x:v>30.9</x:v>
      </x:c>
      <x:c r="G1145" s="69" t="n">
        <x:f>IF(COUNT(E1145:F1145)=2,E1145*F1145,"")</x:f>
        <x:v>144581.1</x:v>
      </x:c>
    </x:row>
    <x:row r="1146">
      <x:c r="A1146" s="66" t="n">
        <x:v>11</x:v>
      </x:c>
      <x:c r="B1146" s="44" t="str">
        <x:v>Canola/Rapeseed</x:v>
      </x:c>
      <x:c r="C1146" s="44" t="str">
        <x:v>PV 761 TM</x:v>
      </x:c>
      <x:c r="D1146" s="66" t="n">
        <x:v>2025</x:v>
      </x:c>
      <x:c r="E1146" s="67" t="n">
        <x:v>785</x:v>
      </x:c>
      <x:c r="F1146" s="68" t="n">
        <x:v>43.9</x:v>
      </x:c>
      <x:c r="G1146" s="69" t="n">
        <x:f>IF(COUNT(E1146:F1146)=2,E1146*F1146,"")</x:f>
        <x:v>34461.5</x:v>
      </x:c>
    </x:row>
    <x:row r="1147">
      <x:c r="A1147" s="66" t="n">
        <x:v>11</x:v>
      </x:c>
      <x:c r="B1147" s="44" t="str">
        <x:v>Canola/Rapeseed</x:v>
      </x:c>
      <x:c r="C1147" s="44" t="str">
        <x:v>PV 781 TCM</x:v>
      </x:c>
      <x:c r="D1147" s="66" t="n">
        <x:v>2021</x:v>
      </x:c>
      <x:c r="E1147" s="67"/>
      <x:c r="F1147" s="68"/>
      <x:c r="G1147" s="69" t="str">
        <x:f>IF(COUNT(E1147:F1147)=2,E1147*F1147,"")</x:f>
      </x:c>
    </x:row>
    <x:row r="1148">
      <x:c r="A1148" s="66" t="n">
        <x:v>11</x:v>
      </x:c>
      <x:c r="B1148" s="44" t="str">
        <x:v>Canola/Rapeseed</x:v>
      </x:c>
      <x:c r="C1148" s="44" t="str">
        <x:v>PV 781 TCM</x:v>
      </x:c>
      <x:c r="D1148" s="66" t="n">
        <x:v>2022</x:v>
      </x:c>
      <x:c r="E1148" s="67"/>
      <x:c r="F1148" s="68"/>
      <x:c r="G1148" s="69" t="str">
        <x:f>IF(COUNT(E1148:F1148)=2,E1148*F1148,"")</x:f>
      </x:c>
    </x:row>
    <x:row r="1149">
      <x:c r="A1149" s="66" t="n">
        <x:v>11</x:v>
      </x:c>
      <x:c r="B1149" s="44" t="str">
        <x:v>Canola/Rapeseed</x:v>
      </x:c>
      <x:c r="C1149" s="44" t="str">
        <x:v>PV 781 TCM</x:v>
      </x:c>
      <x:c r="D1149" s="66" t="n">
        <x:v>2023</x:v>
      </x:c>
      <x:c r="E1149" s="67" t="n">
        <x:v>4808</x:v>
      </x:c>
      <x:c r="F1149" s="68" t="n">
        <x:v>40.5</x:v>
      </x:c>
      <x:c r="G1149" s="69" t="n">
        <x:f>IF(COUNT(E1149:F1149)=2,E1149*F1149,"")</x:f>
        <x:v>194724</x:v>
      </x:c>
    </x:row>
    <x:row r="1150">
      <x:c r="A1150" s="66" t="n">
        <x:v>11</x:v>
      </x:c>
      <x:c r="B1150" s="44" t="str">
        <x:v>Canola/Rapeseed</x:v>
      </x:c>
      <x:c r="C1150" s="44" t="str">
        <x:v>PV 781 TCM</x:v>
      </x:c>
      <x:c r="D1150" s="66" t="n">
        <x:v>2024</x:v>
      </x:c>
      <x:c r="E1150" s="67" t="n">
        <x:v>10610</x:v>
      </x:c>
      <x:c r="F1150" s="68" t="n">
        <x:v>24.8</x:v>
      </x:c>
      <x:c r="G1150" s="69" t="n">
        <x:f>IF(COUNT(E1150:F1150)=2,E1150*F1150,"")</x:f>
        <x:v>263128</x:v>
      </x:c>
    </x:row>
    <x:row r="1151">
      <x:c r="A1151" s="66" t="n">
        <x:v>11</x:v>
      </x:c>
      <x:c r="B1151" s="44" t="str">
        <x:v>Canola/Rapeseed</x:v>
      </x:c>
      <x:c r="C1151" s="44" t="str">
        <x:v>PV 781 TCM</x:v>
      </x:c>
      <x:c r="D1151" s="66" t="n">
        <x:v>2025</x:v>
      </x:c>
      <x:c r="E1151" s="67" t="n">
        <x:v>6497</x:v>
      </x:c>
      <x:c r="F1151" s="68" t="n">
        <x:v>36.3</x:v>
      </x:c>
      <x:c r="G1151" s="69" t="n">
        <x:f>IF(COUNT(E1151:F1151)=2,E1151*F1151,"")</x:f>
        <x:v>235841.09999999998</x:v>
      </x:c>
    </x:row>
    <x:row r="1152">
      <x:c r="A1152" s="66" t="n">
        <x:v>11</x:v>
      </x:c>
      <x:c r="B1152" s="44" t="str">
        <x:v>Canola/Rapeseed</x:v>
      </x:c>
      <x:c r="C1152" s="44" t="str">
        <x:v>PV661 LCM</x:v>
      </x:c>
      <x:c r="D1152" s="66" t="n">
        <x:v>2021</x:v>
      </x:c>
      <x:c r="E1152" s="67"/>
      <x:c r="F1152" s="68"/>
      <x:c r="G1152" s="69" t="str">
        <x:f>IF(COUNT(E1152:F1152)=2,E1152*F1152,"")</x:f>
      </x:c>
    </x:row>
    <x:row r="1153">
      <x:c r="A1153" s="66" t="n">
        <x:v>11</x:v>
      </x:c>
      <x:c r="B1153" s="44" t="str">
        <x:v>Canola/Rapeseed</x:v>
      </x:c>
      <x:c r="C1153" s="44" t="str">
        <x:v>PV661 LCM</x:v>
      </x:c>
      <x:c r="D1153" s="66" t="n">
        <x:v>2022</x:v>
      </x:c>
      <x:c r="E1153" s="67"/>
      <x:c r="F1153" s="68"/>
      <x:c r="G1153" s="69" t="str">
        <x:f>IF(COUNT(E1153:F1153)=2,E1153*F1153,"")</x:f>
      </x:c>
    </x:row>
    <x:row r="1154">
      <x:c r="A1154" s="66" t="n">
        <x:v>11</x:v>
      </x:c>
      <x:c r="B1154" s="44" t="str">
        <x:v>Canola/Rapeseed</x:v>
      </x:c>
      <x:c r="C1154" s="44" t="str">
        <x:v>PV661 LCM</x:v>
      </x:c>
      <x:c r="D1154" s="66" t="n">
        <x:v>2023</x:v>
      </x:c>
      <x:c r="E1154" s="67" t="n">
        <x:v>1218</x:v>
      </x:c>
      <x:c r="F1154" s="68" t="n">
        <x:v>47.9</x:v>
      </x:c>
      <x:c r="G1154" s="69" t="n">
        <x:f>IF(COUNT(E1154:F1154)=2,E1154*F1154,"")</x:f>
        <x:v>58342.2</x:v>
      </x:c>
    </x:row>
    <x:row r="1155">
      <x:c r="A1155" s="66" t="n">
        <x:v>11</x:v>
      </x:c>
      <x:c r="B1155" s="44" t="str">
        <x:v>Canola/Rapeseed</x:v>
      </x:c>
      <x:c r="C1155" s="44" t="str">
        <x:v>PV661 LCM</x:v>
      </x:c>
      <x:c r="D1155" s="66" t="n">
        <x:v>2024</x:v>
      </x:c>
      <x:c r="E1155" s="67" t="n">
        <x:v>5954</x:v>
      </x:c>
      <x:c r="F1155" s="68" t="n">
        <x:v>37.6</x:v>
      </x:c>
      <x:c r="G1155" s="69" t="n">
        <x:f>IF(COUNT(E1155:F1155)=2,E1155*F1155,"")</x:f>
        <x:v>223870.4</x:v>
      </x:c>
    </x:row>
    <x:row r="1156">
      <x:c r="A1156" s="66" t="n">
        <x:v>11</x:v>
      </x:c>
      <x:c r="B1156" s="44" t="str">
        <x:v>Canola/Rapeseed</x:v>
      </x:c>
      <x:c r="C1156" s="44" t="str">
        <x:v>PV661 LCM</x:v>
      </x:c>
      <x:c r="D1156" s="66" t="n">
        <x:v>2025</x:v>
      </x:c>
      <x:c r="E1156" s="67" t="n">
        <x:v>4241</x:v>
      </x:c>
      <x:c r="F1156" s="68" t="n">
        <x:v>42.6</x:v>
      </x:c>
      <x:c r="G1156" s="69" t="n">
        <x:f>IF(COUNT(E1156:F1156)=2,E1156*F1156,"")</x:f>
        <x:v>180666.6</x:v>
      </x:c>
    </x:row>
    <x:row r="1157">
      <x:c r="A1157" s="66" t="n">
        <x:v>11</x:v>
      </x:c>
      <x:c r="B1157" s="44" t="str">
        <x:v>Canola/Rapeseed</x:v>
      </x:c>
      <x:c r="C1157" s="44" t="str">
        <x:v>PV783</x:v>
      </x:c>
      <x:c r="D1157" s="66" t="n">
        <x:v>2021</x:v>
      </x:c>
      <x:c r="E1157" s="67"/>
      <x:c r="F1157" s="68"/>
      <x:c r="G1157" s="69" t="str">
        <x:f>IF(COUNT(E1157:F1157)=2,E1157*F1157,"")</x:f>
      </x:c>
    </x:row>
    <x:row r="1158">
      <x:c r="A1158" s="66" t="n">
        <x:v>11</x:v>
      </x:c>
      <x:c r="B1158" s="44" t="str">
        <x:v>Canola/Rapeseed</x:v>
      </x:c>
      <x:c r="C1158" s="44" t="str">
        <x:v>PV783</x:v>
      </x:c>
      <x:c r="D1158" s="66" t="n">
        <x:v>2022</x:v>
      </x:c>
      <x:c r="E1158" s="67"/>
      <x:c r="F1158" s="68"/>
      <x:c r="G1158" s="69" t="str">
        <x:f>IF(COUNT(E1158:F1158)=2,E1158*F1158,"")</x:f>
      </x:c>
    </x:row>
    <x:row r="1159">
      <x:c r="A1159" s="66" t="n">
        <x:v>11</x:v>
      </x:c>
      <x:c r="B1159" s="44" t="str">
        <x:v>Canola/Rapeseed</x:v>
      </x:c>
      <x:c r="C1159" s="44" t="str">
        <x:v>PV783</x:v>
      </x:c>
      <x:c r="D1159" s="66" t="n">
        <x:v>2023</x:v>
      </x:c>
      <x:c r="E1159" s="67"/>
      <x:c r="F1159" s="68"/>
      <x:c r="G1159" s="69" t="str">
        <x:f>IF(COUNT(E1159:F1159)=2,E1159*F1159,"")</x:f>
      </x:c>
    </x:row>
    <x:row r="1160">
      <x:c r="A1160" s="66" t="n">
        <x:v>11</x:v>
      </x:c>
      <x:c r="B1160" s="44" t="str">
        <x:v>Canola/Rapeseed</x:v>
      </x:c>
      <x:c r="C1160" s="44" t="str">
        <x:v>PV783</x:v>
      </x:c>
      <x:c r="D1160" s="66" t="n">
        <x:v>2024</x:v>
      </x:c>
      <x:c r="E1160" s="67"/>
      <x:c r="F1160" s="68"/>
      <x:c r="G1160" s="69" t="str">
        <x:f>IF(COUNT(E1160:F1160)=2,E1160*F1160,"")</x:f>
      </x:c>
    </x:row>
    <x:row r="1161">
      <x:c r="A1161" s="66" t="n">
        <x:v>11</x:v>
      </x:c>
      <x:c r="B1161" s="44" t="str">
        <x:v>Canola/Rapeseed</x:v>
      </x:c>
      <x:c r="C1161" s="44" t="str">
        <x:v>PV783</x:v>
      </x:c>
      <x:c r="D1161" s="66" t="n">
        <x:v>2025</x:v>
      </x:c>
      <x:c r="E1161" s="67" t="n">
        <x:v>3476</x:v>
      </x:c>
      <x:c r="F1161" s="68" t="n">
        <x:v>41</x:v>
      </x:c>
      <x:c r="G1161" s="69" t="n">
        <x:f>IF(COUNT(E1161:F1161)=2,E1161*F1161,"")</x:f>
        <x:v>142516</x:v>
      </x:c>
    </x:row>
    <x:row r="1162">
      <x:c r="A1162" s="66" t="n">
        <x:v>11</x:v>
      </x:c>
      <x:c r="B1162" s="44" t="str">
        <x:v>Canola/Rapeseed</x:v>
      </x:c>
      <x:c r="C1162" s="44" t="str">
        <x:v>P1530G</x:v>
      </x:c>
      <x:c r="D1162" s="66" t="n">
        <x:v>2021</x:v>
      </x:c>
      <x:c r="E1162" s="67"/>
      <x:c r="F1162" s="68"/>
      <x:c r="G1162" s="69" t="str">
        <x:f>IF(COUNT(E1162:F1162)=2,E1162*F1162,"")</x:f>
      </x:c>
    </x:row>
    <x:row r="1163">
      <x:c r="A1163" s="66" t="n">
        <x:v>11</x:v>
      </x:c>
      <x:c r="B1163" s="44" t="str">
        <x:v>Canola/Rapeseed</x:v>
      </x:c>
      <x:c r="C1163" s="44" t="str">
        <x:v>P1530G</x:v>
      </x:c>
      <x:c r="D1163" s="66" t="n">
        <x:v>2022</x:v>
      </x:c>
      <x:c r="E1163" s="67"/>
      <x:c r="F1163" s="68"/>
      <x:c r="G1163" s="69" t="str">
        <x:f>IF(COUNT(E1163:F1163)=2,E1163*F1163,"")</x:f>
      </x:c>
    </x:row>
    <x:row r="1164">
      <x:c r="A1164" s="66" t="n">
        <x:v>11</x:v>
      </x:c>
      <x:c r="B1164" s="44" t="str">
        <x:v>Canola/Rapeseed</x:v>
      </x:c>
      <x:c r="C1164" s="44" t="str">
        <x:v>P1530G</x:v>
      </x:c>
      <x:c r="D1164" s="66" t="n">
        <x:v>2023</x:v>
      </x:c>
      <x:c r="E1164" s="67"/>
      <x:c r="F1164" s="68"/>
      <x:c r="G1164" s="69" t="str">
        <x:f>IF(COUNT(E1164:F1164)=2,E1164*F1164,"")</x:f>
      </x:c>
    </x:row>
    <x:row r="1165">
      <x:c r="A1165" s="66" t="n">
        <x:v>11</x:v>
      </x:c>
      <x:c r="B1165" s="44" t="str">
        <x:v>Canola/Rapeseed</x:v>
      </x:c>
      <x:c r="C1165" s="44" t="str">
        <x:v>P1530G</x:v>
      </x:c>
      <x:c r="D1165" s="66" t="n">
        <x:v>2024</x:v>
      </x:c>
      <x:c r="E1165" s="67"/>
      <x:c r="F1165" s="68"/>
      <x:c r="G1165" s="69" t="str">
        <x:f>IF(COUNT(E1165:F1165)=2,E1165*F1165,"")</x:f>
      </x:c>
    </x:row>
    <x:row r="1166">
      <x:c r="A1166" s="66" t="n">
        <x:v>11</x:v>
      </x:c>
      <x:c r="B1166" s="44" t="str">
        <x:v>Canola/Rapeseed</x:v>
      </x:c>
      <x:c r="C1166" s="44" t="str">
        <x:v>P1530G</x:v>
      </x:c>
      <x:c r="D1166" s="66" t="n">
        <x:v>2025</x:v>
      </x:c>
      <x:c r="E1166" s="67" t="n">
        <x:v>608</x:v>
      </x:c>
      <x:c r="F1166" s="68" t="n">
        <x:v>50.6</x:v>
      </x:c>
      <x:c r="G1166" s="69" t="n">
        <x:f>IF(COUNT(E1166:F1166)=2,E1166*F1166,"")</x:f>
        <x:v>30764.8</x:v>
      </x:c>
    </x:row>
    <x:row r="1167">
      <x:c r="A1167" s="66" t="n">
        <x:v>11</x:v>
      </x:c>
      <x:c r="B1167" s="44" t="str">
        <x:v>Canola/Rapeseed</x:v>
      </x:c>
      <x:c r="C1167" s="44" t="str">
        <x:v>P1540L</x:v>
      </x:c>
      <x:c r="D1167" s="66" t="n">
        <x:v>2021</x:v>
      </x:c>
      <x:c r="E1167" s="67"/>
      <x:c r="F1167" s="68"/>
      <x:c r="G1167" s="69" t="str">
        <x:f>IF(COUNT(E1167:F1167)=2,E1167*F1167,"")</x:f>
      </x:c>
    </x:row>
    <x:row r="1168">
      <x:c r="A1168" s="66" t="n">
        <x:v>11</x:v>
      </x:c>
      <x:c r="B1168" s="44" t="str">
        <x:v>Canola/Rapeseed</x:v>
      </x:c>
      <x:c r="C1168" s="44" t="str">
        <x:v>P1540L</x:v>
      </x:c>
      <x:c r="D1168" s="66" t="n">
        <x:v>2022</x:v>
      </x:c>
      <x:c r="E1168" s="67"/>
      <x:c r="F1168" s="68"/>
      <x:c r="G1168" s="69" t="str">
        <x:f>IF(COUNT(E1168:F1168)=2,E1168*F1168,"")</x:f>
      </x:c>
    </x:row>
    <x:row r="1169">
      <x:c r="A1169" s="66" t="n">
        <x:v>11</x:v>
      </x:c>
      <x:c r="B1169" s="44" t="str">
        <x:v>Canola/Rapeseed</x:v>
      </x:c>
      <x:c r="C1169" s="44" t="str">
        <x:v>P1540L</x:v>
      </x:c>
      <x:c r="D1169" s="66" t="n">
        <x:v>2023</x:v>
      </x:c>
      <x:c r="E1169" s="67"/>
      <x:c r="F1169" s="68"/>
      <x:c r="G1169" s="69" t="str">
        <x:f>IF(COUNT(E1169:F1169)=2,E1169*F1169,"")</x:f>
      </x:c>
    </x:row>
    <x:row r="1170">
      <x:c r="A1170" s="66" t="n">
        <x:v>11</x:v>
      </x:c>
      <x:c r="B1170" s="44" t="str">
        <x:v>Canola/Rapeseed</x:v>
      </x:c>
      <x:c r="C1170" s="44" t="str">
        <x:v>P1540L</x:v>
      </x:c>
      <x:c r="D1170" s="66" t="n">
        <x:v>2024</x:v>
      </x:c>
      <x:c r="E1170" s="67"/>
      <x:c r="F1170" s="68"/>
      <x:c r="G1170" s="69" t="str">
        <x:f>IF(COUNT(E1170:F1170)=2,E1170*F1170,"")</x:f>
      </x:c>
    </x:row>
    <x:row r="1171">
      <x:c r="A1171" s="66" t="n">
        <x:v>11</x:v>
      </x:c>
      <x:c r="B1171" s="44" t="str">
        <x:v>Canola/Rapeseed</x:v>
      </x:c>
      <x:c r="C1171" s="44" t="str">
        <x:v>P1540L</x:v>
      </x:c>
      <x:c r="D1171" s="66" t="n">
        <x:v>2025</x:v>
      </x:c>
      <x:c r="E1171" s="67" t="n">
        <x:v>1667</x:v>
      </x:c>
      <x:c r="F1171" s="68" t="n">
        <x:v>52.6</x:v>
      </x:c>
      <x:c r="G1171" s="69" t="n">
        <x:f>IF(COUNT(E1171:F1171)=2,E1171*F1171,"")</x:f>
        <x:v>87684.2</x:v>
      </x:c>
    </x:row>
    <x:row r="1172">
      <x:c r="A1172" s="66" t="n">
        <x:v>11</x:v>
      </x:c>
      <x:c r="B1172" s="44" t="str">
        <x:v>Canola/Rapeseed</x:v>
      </x:c>
      <x:c r="C1172" s="44" t="str">
        <x:v>P502CL</x:v>
      </x:c>
      <x:c r="D1172" s="66" t="n">
        <x:v>2021</x:v>
      </x:c>
      <x:c r="E1172" s="67" t="n">
        <x:v>475</x:v>
      </x:c>
      <x:c r="F1172" s="68" t="n">
        <x:v>28.2</x:v>
      </x:c>
      <x:c r="G1172" s="69" t="n">
        <x:f>IF(COUNT(E1172:F1172)=2,E1172*F1172,"")</x:f>
        <x:v>13395</x:v>
      </x:c>
    </x:row>
    <x:row r="1173">
      <x:c r="A1173" s="66" t="n">
        <x:v>11</x:v>
      </x:c>
      <x:c r="B1173" s="44" t="str">
        <x:v>Canola/Rapeseed</x:v>
      </x:c>
      <x:c r="C1173" s="44" t="str">
        <x:v>P502CL</x:v>
      </x:c>
      <x:c r="D1173" s="66" t="n">
        <x:v>2022</x:v>
      </x:c>
      <x:c r="E1173" s="67"/>
      <x:c r="F1173" s="68"/>
      <x:c r="G1173" s="69" t="str">
        <x:f>IF(COUNT(E1173:F1173)=2,E1173*F1173,"")</x:f>
      </x:c>
    </x:row>
    <x:row r="1174">
      <x:c r="A1174" s="66" t="n">
        <x:v>11</x:v>
      </x:c>
      <x:c r="B1174" s="44" t="str">
        <x:v>Canola/Rapeseed</x:v>
      </x:c>
      <x:c r="C1174" s="44" t="str">
        <x:v>P502CL</x:v>
      </x:c>
      <x:c r="D1174" s="66" t="n">
        <x:v>2023</x:v>
      </x:c>
      <x:c r="E1174" s="67"/>
      <x:c r="F1174" s="68"/>
      <x:c r="G1174" s="69" t="str">
        <x:f>IF(COUNT(E1174:F1174)=2,E1174*F1174,"")</x:f>
      </x:c>
    </x:row>
    <x:row r="1175">
      <x:c r="A1175" s="66" t="n">
        <x:v>11</x:v>
      </x:c>
      <x:c r="B1175" s="44" t="str">
        <x:v>Canola/Rapeseed</x:v>
      </x:c>
      <x:c r="C1175" s="44" t="str">
        <x:v>P502CL</x:v>
      </x:c>
      <x:c r="D1175" s="66" t="n">
        <x:v>2024</x:v>
      </x:c>
      <x:c r="E1175" s="67"/>
      <x:c r="F1175" s="68"/>
      <x:c r="G1175" s="69" t="str">
        <x:f>IF(COUNT(E1175:F1175)=2,E1175*F1175,"")</x:f>
      </x:c>
    </x:row>
    <x:row r="1176">
      <x:c r="A1176" s="66" t="n">
        <x:v>11</x:v>
      </x:c>
      <x:c r="B1176" s="44" t="str">
        <x:v>Canola/Rapeseed</x:v>
      </x:c>
      <x:c r="C1176" s="44" t="str">
        <x:v>P502CL</x:v>
      </x:c>
      <x:c r="D1176" s="66" t="n">
        <x:v>2025</x:v>
      </x:c>
      <x:c r="E1176" s="67" t="n">
        <x:v>825</x:v>
      </x:c>
      <x:c r="F1176" s="68" t="n">
        <x:v>45.8</x:v>
      </x:c>
      <x:c r="G1176" s="69" t="n">
        <x:f>IF(COUNT(E1176:F1176)=2,E1176*F1176,"")</x:f>
        <x:v>37785</x:v>
      </x:c>
    </x:row>
    <x:row r="1177">
      <x:c r="A1177" s="66" t="n">
        <x:v>11</x:v>
      </x:c>
      <x:c r="B1177" s="44" t="str">
        <x:v>Canola/Rapeseed</x:v>
      </x:c>
      <x:c r="C1177" s="44" t="str">
        <x:v>P505MSL</x:v>
      </x:c>
      <x:c r="D1177" s="66" t="n">
        <x:v>2021</x:v>
      </x:c>
      <x:c r="E1177" s="67" t="n">
        <x:v>3470</x:v>
      </x:c>
      <x:c r="F1177" s="68" t="n">
        <x:v>26.1</x:v>
      </x:c>
      <x:c r="G1177" s="69" t="n">
        <x:f>IF(COUNT(E1177:F1177)=2,E1177*F1177,"")</x:f>
        <x:v>90567</x:v>
      </x:c>
    </x:row>
    <x:row r="1178">
      <x:c r="A1178" s="66" t="n">
        <x:v>11</x:v>
      </x:c>
      <x:c r="B1178" s="44" t="str">
        <x:v>Canola/Rapeseed</x:v>
      </x:c>
      <x:c r="C1178" s="44" t="str">
        <x:v>P505MSL</x:v>
      </x:c>
      <x:c r="D1178" s="66" t="n">
        <x:v>2022</x:v>
      </x:c>
      <x:c r="E1178" s="67" t="n">
        <x:v>6932</x:v>
      </x:c>
      <x:c r="F1178" s="68" t="n">
        <x:v>44.5</x:v>
      </x:c>
      <x:c r="G1178" s="69" t="n">
        <x:f>IF(COUNT(E1178:F1178)=2,E1178*F1178,"")</x:f>
        <x:v>308474</x:v>
      </x:c>
    </x:row>
    <x:row r="1179">
      <x:c r="A1179" s="66" t="n">
        <x:v>11</x:v>
      </x:c>
      <x:c r="B1179" s="44" t="str">
        <x:v>Canola/Rapeseed</x:v>
      </x:c>
      <x:c r="C1179" s="44" t="str">
        <x:v>P505MSL</x:v>
      </x:c>
      <x:c r="D1179" s="66" t="n">
        <x:v>2023</x:v>
      </x:c>
      <x:c r="E1179" s="67" t="n">
        <x:v>10571</x:v>
      </x:c>
      <x:c r="F1179" s="68" t="n">
        <x:v>45.8</x:v>
      </x:c>
      <x:c r="G1179" s="69" t="n">
        <x:f>IF(COUNT(E1179:F1179)=2,E1179*F1179,"")</x:f>
        <x:v>484151.8</x:v>
      </x:c>
    </x:row>
    <x:row r="1180">
      <x:c r="A1180" s="66" t="n">
        <x:v>11</x:v>
      </x:c>
      <x:c r="B1180" s="44" t="str">
        <x:v>Canola/Rapeseed</x:v>
      </x:c>
      <x:c r="C1180" s="44" t="str">
        <x:v>P505MSL</x:v>
      </x:c>
      <x:c r="D1180" s="66" t="n">
        <x:v>2024</x:v>
      </x:c>
      <x:c r="E1180" s="67" t="n">
        <x:v>19881</x:v>
      </x:c>
      <x:c r="F1180" s="68" t="n">
        <x:v>34.7</x:v>
      </x:c>
      <x:c r="G1180" s="69" t="n">
        <x:f>IF(COUNT(E1180:F1180)=2,E1180*F1180,"")</x:f>
        <x:v>689870.7000000001</x:v>
      </x:c>
    </x:row>
    <x:row r="1181">
      <x:c r="A1181" s="66" t="n">
        <x:v>11</x:v>
      </x:c>
      <x:c r="B1181" s="44" t="str">
        <x:v>Canola/Rapeseed</x:v>
      </x:c>
      <x:c r="C1181" s="44" t="str">
        <x:v>P505MSL</x:v>
      </x:c>
      <x:c r="D1181" s="66" t="n">
        <x:v>2025</x:v>
      </x:c>
      <x:c r="E1181" s="67" t="n">
        <x:v>8894</x:v>
      </x:c>
      <x:c r="F1181" s="68" t="n">
        <x:v>48.5</x:v>
      </x:c>
      <x:c r="G1181" s="69" t="n">
        <x:f>IF(COUNT(E1181:F1181)=2,E1181*F1181,"")</x:f>
        <x:v>431359</x:v>
      </x:c>
    </x:row>
    <x:row r="1182">
      <x:c r="A1182" s="66" t="n">
        <x:v>11</x:v>
      </x:c>
      <x:c r="B1182" s="44" t="str">
        <x:v>Canola/Rapeseed</x:v>
      </x:c>
      <x:c r="C1182" s="44" t="str">
        <x:v>P508CL</x:v>
      </x:c>
      <x:c r="D1182" s="66" t="n">
        <x:v>2021</x:v>
      </x:c>
      <x:c r="E1182" s="67"/>
      <x:c r="F1182" s="68"/>
      <x:c r="G1182" s="69" t="str">
        <x:f>IF(COUNT(E1182:F1182)=2,E1182*F1182,"")</x:f>
      </x:c>
    </x:row>
    <x:row r="1183">
      <x:c r="A1183" s="66" t="n">
        <x:v>11</x:v>
      </x:c>
      <x:c r="B1183" s="44" t="str">
        <x:v>Canola/Rapeseed</x:v>
      </x:c>
      <x:c r="C1183" s="44" t="str">
        <x:v>P508CL</x:v>
      </x:c>
      <x:c r="D1183" s="66" t="n">
        <x:v>2022</x:v>
      </x:c>
      <x:c r="E1183" s="67"/>
      <x:c r="F1183" s="68"/>
      <x:c r="G1183" s="69" t="str">
        <x:f>IF(COUNT(E1183:F1183)=2,E1183*F1183,"")</x:f>
      </x:c>
    </x:row>
    <x:row r="1184">
      <x:c r="A1184" s="66" t="n">
        <x:v>11</x:v>
      </x:c>
      <x:c r="B1184" s="44" t="str">
        <x:v>Canola/Rapeseed</x:v>
      </x:c>
      <x:c r="C1184" s="44" t="str">
        <x:v>P508CL</x:v>
      </x:c>
      <x:c r="D1184" s="66" t="n">
        <x:v>2023</x:v>
      </x:c>
      <x:c r="E1184" s="67"/>
      <x:c r="F1184" s="68"/>
      <x:c r="G1184" s="69" t="str">
        <x:f>IF(COUNT(E1184:F1184)=2,E1184*F1184,"")</x:f>
      </x:c>
    </x:row>
    <x:row r="1185">
      <x:c r="A1185" s="66" t="n">
        <x:v>11</x:v>
      </x:c>
      <x:c r="B1185" s="44" t="str">
        <x:v>Canola/Rapeseed</x:v>
      </x:c>
      <x:c r="C1185" s="44" t="str">
        <x:v>P508CL</x:v>
      </x:c>
      <x:c r="D1185" s="66" t="n">
        <x:v>2024</x:v>
      </x:c>
      <x:c r="E1185" s="67"/>
      <x:c r="F1185" s="68"/>
      <x:c r="G1185" s="69" t="str">
        <x:f>IF(COUNT(E1185:F1185)=2,E1185*F1185,"")</x:f>
      </x:c>
    </x:row>
    <x:row r="1186">
      <x:c r="A1186" s="66" t="n">
        <x:v>11</x:v>
      </x:c>
      <x:c r="B1186" s="44" t="str">
        <x:v>Canola/Rapeseed</x:v>
      </x:c>
      <x:c r="C1186" s="44" t="str">
        <x:v>P508CL</x:v>
      </x:c>
      <x:c r="D1186" s="66" t="n">
        <x:v>2025</x:v>
      </x:c>
      <x:c r="E1186" s="67" t="n">
        <x:v>1956</x:v>
      </x:c>
      <x:c r="F1186" s="68" t="n">
        <x:v>48.7</x:v>
      </x:c>
      <x:c r="G1186" s="69" t="n">
        <x:f>IF(COUNT(E1186:F1186)=2,E1186*F1186,"")</x:f>
        <x:v>95257.20000000001</x:v>
      </x:c>
    </x:row>
    <x:row r="1187">
      <x:c r="A1187" s="66" t="n">
        <x:v>11</x:v>
      </x:c>
      <x:c r="B1187" s="44" t="str">
        <x:v>Canola/Rapeseed</x:v>
      </x:c>
      <x:c r="C1187" s="44" t="str">
        <x:v>P508MCL</x:v>
      </x:c>
      <x:c r="D1187" s="66" t="n">
        <x:v>2021</x:v>
      </x:c>
      <x:c r="E1187" s="67" t="n">
        <x:v>2847</x:v>
      </x:c>
      <x:c r="F1187" s="68" t="n">
        <x:v>35.4</x:v>
      </x:c>
      <x:c r="G1187" s="69" t="n">
        <x:f>IF(COUNT(E1187:F1187)=2,E1187*F1187,"")</x:f>
        <x:v>100783.8</x:v>
      </x:c>
    </x:row>
    <x:row r="1188">
      <x:c r="A1188" s="66" t="n">
        <x:v>11</x:v>
      </x:c>
      <x:c r="B1188" s="44" t="str">
        <x:v>Canola/Rapeseed</x:v>
      </x:c>
      <x:c r="C1188" s="44" t="str">
        <x:v>P508MCL</x:v>
      </x:c>
      <x:c r="D1188" s="66" t="n">
        <x:v>2022</x:v>
      </x:c>
      <x:c r="E1188" s="67" t="n">
        <x:v>3932</x:v>
      </x:c>
      <x:c r="F1188" s="68" t="n">
        <x:v>41.4</x:v>
      </x:c>
      <x:c r="G1188" s="69" t="n">
        <x:f>IF(COUNT(E1188:F1188)=2,E1188*F1188,"")</x:f>
        <x:v>162784.8</x:v>
      </x:c>
    </x:row>
    <x:row r="1189">
      <x:c r="A1189" s="66" t="n">
        <x:v>11</x:v>
      </x:c>
      <x:c r="B1189" s="44" t="str">
        <x:v>Canola/Rapeseed</x:v>
      </x:c>
      <x:c r="C1189" s="44" t="str">
        <x:v>P508MCL</x:v>
      </x:c>
      <x:c r="D1189" s="66" t="n">
        <x:v>2023</x:v>
      </x:c>
      <x:c r="E1189" s="67" t="n">
        <x:v>995</x:v>
      </x:c>
      <x:c r="F1189" s="68" t="n">
        <x:v>38.8</x:v>
      </x:c>
      <x:c r="G1189" s="69" t="n">
        <x:f>IF(COUNT(E1189:F1189)=2,E1189*F1189,"")</x:f>
        <x:v>38606</x:v>
      </x:c>
    </x:row>
    <x:row r="1190">
      <x:c r="A1190" s="66" t="n">
        <x:v>11</x:v>
      </x:c>
      <x:c r="B1190" s="44" t="str">
        <x:v>Canola/Rapeseed</x:v>
      </x:c>
      <x:c r="C1190" s="44" t="str">
        <x:v>P508MCL</x:v>
      </x:c>
      <x:c r="D1190" s="66" t="n">
        <x:v>2024</x:v>
      </x:c>
      <x:c r="E1190" s="67" t="n">
        <x:v>1762</x:v>
      </x:c>
      <x:c r="F1190" s="68" t="n">
        <x:v>32.1</x:v>
      </x:c>
      <x:c r="G1190" s="69" t="n">
        <x:f>IF(COUNT(E1190:F1190)=2,E1190*F1190,"")</x:f>
        <x:v>56560.200000000004</x:v>
      </x:c>
    </x:row>
    <x:row r="1191">
      <x:c r="A1191" s="66" t="n">
        <x:v>11</x:v>
      </x:c>
      <x:c r="B1191" s="44" t="str">
        <x:v>Canola/Rapeseed</x:v>
      </x:c>
      <x:c r="C1191" s="44" t="str">
        <x:v>P508MCL</x:v>
      </x:c>
      <x:c r="D1191" s="66" t="n">
        <x:v>2025</x:v>
      </x:c>
      <x:c r="E1191" s="67" t="n">
        <x:v>642</x:v>
      </x:c>
      <x:c r="F1191" s="68" t="n">
        <x:v>33.6</x:v>
      </x:c>
      <x:c r="G1191" s="69" t="n">
        <x:f>IF(COUNT(E1191:F1191)=2,E1191*F1191,"")</x:f>
        <x:v>21571.2</x:v>
      </x:c>
    </x:row>
    <x:row r="1192">
      <x:c r="A1192" s="66" t="n">
        <x:v>11</x:v>
      </x:c>
      <x:c r="B1192" s="44" t="str">
        <x:v>Canola/Rapeseed</x:v>
      </x:c>
      <x:c r="C1192" s="44" t="str">
        <x:v>P510G</x:v>
      </x:c>
      <x:c r="D1192" s="66" t="n">
        <x:v>2021</x:v>
      </x:c>
      <x:c r="E1192" s="67"/>
      <x:c r="F1192" s="68"/>
      <x:c r="G1192" s="69" t="str">
        <x:f>IF(COUNT(E1192:F1192)=2,E1192*F1192,"")</x:f>
      </x:c>
    </x:row>
    <x:row r="1193">
      <x:c r="A1193" s="66" t="n">
        <x:v>11</x:v>
      </x:c>
      <x:c r="B1193" s="44" t="str">
        <x:v>Canola/Rapeseed</x:v>
      </x:c>
      <x:c r="C1193" s="44" t="str">
        <x:v>P510G</x:v>
      </x:c>
      <x:c r="D1193" s="66" t="n">
        <x:v>2022</x:v>
      </x:c>
      <x:c r="E1193" s="67"/>
      <x:c r="F1193" s="68"/>
      <x:c r="G1193" s="69" t="str">
        <x:f>IF(COUNT(E1193:F1193)=2,E1193*F1193,"")</x:f>
      </x:c>
    </x:row>
    <x:row r="1194">
      <x:c r="A1194" s="66" t="n">
        <x:v>11</x:v>
      </x:c>
      <x:c r="B1194" s="44" t="str">
        <x:v>Canola/Rapeseed</x:v>
      </x:c>
      <x:c r="C1194" s="44" t="str">
        <x:v>P510G</x:v>
      </x:c>
      <x:c r="D1194" s="66" t="n">
        <x:v>2023</x:v>
      </x:c>
      <x:c r="E1194" s="67" t="n">
        <x:v>686</x:v>
      </x:c>
      <x:c r="F1194" s="68" t="n">
        <x:v>47.3</x:v>
      </x:c>
      <x:c r="G1194" s="69" t="n">
        <x:f>IF(COUNT(E1194:F1194)=2,E1194*F1194,"")</x:f>
        <x:v>32447.8</x:v>
      </x:c>
    </x:row>
    <x:row r="1195">
      <x:c r="A1195" s="66" t="n">
        <x:v>11</x:v>
      </x:c>
      <x:c r="B1195" s="44" t="str">
        <x:v>Canola/Rapeseed</x:v>
      </x:c>
      <x:c r="C1195" s="44" t="str">
        <x:v>P510G</x:v>
      </x:c>
      <x:c r="D1195" s="66" t="n">
        <x:v>2024</x:v>
      </x:c>
      <x:c r="E1195" s="67" t="n">
        <x:v>5367</x:v>
      </x:c>
      <x:c r="F1195" s="68" t="n">
        <x:v>34.2</x:v>
      </x:c>
      <x:c r="G1195" s="69" t="n">
        <x:f>IF(COUNT(E1195:F1195)=2,E1195*F1195,"")</x:f>
        <x:v>183551.40000000002</x:v>
      </x:c>
    </x:row>
    <x:row r="1196">
      <x:c r="A1196" s="66" t="n">
        <x:v>11</x:v>
      </x:c>
      <x:c r="B1196" s="44" t="str">
        <x:v>Canola/Rapeseed</x:v>
      </x:c>
      <x:c r="C1196" s="44" t="str">
        <x:v>P510G</x:v>
      </x:c>
      <x:c r="D1196" s="66" t="n">
        <x:v>2025</x:v>
      </x:c>
      <x:c r="E1196" s="67" t="n">
        <x:v>3409</x:v>
      </x:c>
      <x:c r="F1196" s="68" t="n">
        <x:v>44.3</x:v>
      </x:c>
      <x:c r="G1196" s="69" t="n">
        <x:f>IF(COUNT(E1196:F1196)=2,E1196*F1196,"")</x:f>
        <x:v>151018.69999999998</x:v>
      </x:c>
    </x:row>
    <x:row r="1197">
      <x:c r="A1197" s="66" t="n">
        <x:v>11</x:v>
      </x:c>
      <x:c r="B1197" s="44" t="str">
        <x:v>Canola/Rapeseed</x:v>
      </x:c>
      <x:c r="C1197" s="44" t="str">
        <x:v>P514CL</x:v>
      </x:c>
      <x:c r="D1197" s="66" t="n">
        <x:v>2021</x:v>
      </x:c>
      <x:c r="E1197" s="67"/>
      <x:c r="F1197" s="68"/>
      <x:c r="G1197" s="69" t="str">
        <x:f>IF(COUNT(E1197:F1197)=2,E1197*F1197,"")</x:f>
      </x:c>
    </x:row>
    <x:row r="1198">
      <x:c r="A1198" s="66" t="n">
        <x:v>11</x:v>
      </x:c>
      <x:c r="B1198" s="44" t="str">
        <x:v>Canola/Rapeseed</x:v>
      </x:c>
      <x:c r="C1198" s="44" t="str">
        <x:v>P514CL</x:v>
      </x:c>
      <x:c r="D1198" s="66" t="n">
        <x:v>2022</x:v>
      </x:c>
      <x:c r="E1198" s="67"/>
      <x:c r="F1198" s="68"/>
      <x:c r="G1198" s="69" t="str">
        <x:f>IF(COUNT(E1198:F1198)=2,E1198*F1198,"")</x:f>
      </x:c>
    </x:row>
    <x:row r="1199">
      <x:c r="A1199" s="66" t="n">
        <x:v>11</x:v>
      </x:c>
      <x:c r="B1199" s="44" t="str">
        <x:v>Canola/Rapeseed</x:v>
      </x:c>
      <x:c r="C1199" s="44" t="str">
        <x:v>P514CL</x:v>
      </x:c>
      <x:c r="D1199" s="66" t="n">
        <x:v>2023</x:v>
      </x:c>
      <x:c r="E1199" s="67" t="n">
        <x:v>1894</x:v>
      </x:c>
      <x:c r="F1199" s="68" t="n">
        <x:v>40.6</x:v>
      </x:c>
      <x:c r="G1199" s="69" t="n">
        <x:f>IF(COUNT(E1199:F1199)=2,E1199*F1199,"")</x:f>
        <x:v>76896.40000000001</x:v>
      </x:c>
    </x:row>
    <x:row r="1200">
      <x:c r="A1200" s="66" t="n">
        <x:v>11</x:v>
      </x:c>
      <x:c r="B1200" s="44" t="str">
        <x:v>Canola/Rapeseed</x:v>
      </x:c>
      <x:c r="C1200" s="44" t="str">
        <x:v>P514CL</x:v>
      </x:c>
      <x:c r="D1200" s="66" t="n">
        <x:v>2024</x:v>
      </x:c>
      <x:c r="E1200" s="67" t="n">
        <x:v>657</x:v>
      </x:c>
      <x:c r="F1200" s="68" t="n">
        <x:v>31.2</x:v>
      </x:c>
      <x:c r="G1200" s="69" t="n">
        <x:f>IF(COUNT(E1200:F1200)=2,E1200*F1200,"")</x:f>
        <x:v>20498.399999999998</x:v>
      </x:c>
    </x:row>
    <x:row r="1201">
      <x:c r="A1201" s="66" t="n">
        <x:v>11</x:v>
      </x:c>
      <x:c r="B1201" s="44" t="str">
        <x:v>Canola/Rapeseed</x:v>
      </x:c>
      <x:c r="C1201" s="44" t="str">
        <x:v>P514CL</x:v>
      </x:c>
      <x:c r="D1201" s="66" t="n">
        <x:v>2025</x:v>
      </x:c>
      <x:c r="E1201" s="67" t="n">
        <x:v>1069</x:v>
      </x:c>
      <x:c r="F1201" s="68" t="n">
        <x:v>50.5</x:v>
      </x:c>
      <x:c r="G1201" s="69" t="n">
        <x:f>IF(COUNT(E1201:F1201)=2,E1201*F1201,"")</x:f>
        <x:v>53984.5</x:v>
      </x:c>
    </x:row>
    <x:row r="1202">
      <x:c r="A1202" s="66" t="n">
        <x:v>11</x:v>
      </x:c>
      <x:c r="B1202" s="44" t="str">
        <x:v>Canola/Rapeseed</x:v>
      </x:c>
      <x:c r="C1202" s="44" t="str">
        <x:v>P515G</x:v>
      </x:c>
      <x:c r="D1202" s="66" t="n">
        <x:v>2021</x:v>
      </x:c>
      <x:c r="E1202" s="67"/>
      <x:c r="F1202" s="68"/>
      <x:c r="G1202" s="69" t="str">
        <x:f>IF(COUNT(E1202:F1202)=2,E1202*F1202,"")</x:f>
      </x:c>
    </x:row>
    <x:row r="1203">
      <x:c r="A1203" s="66" t="n">
        <x:v>11</x:v>
      </x:c>
      <x:c r="B1203" s="44" t="str">
        <x:v>Canola/Rapeseed</x:v>
      </x:c>
      <x:c r="C1203" s="44" t="str">
        <x:v>P515G</x:v>
      </x:c>
      <x:c r="D1203" s="66" t="n">
        <x:v>2022</x:v>
      </x:c>
      <x:c r="E1203" s="67"/>
      <x:c r="F1203" s="68"/>
      <x:c r="G1203" s="69" t="str">
        <x:f>IF(COUNT(E1203:F1203)=2,E1203*F1203,"")</x:f>
      </x:c>
    </x:row>
    <x:row r="1204">
      <x:c r="A1204" s="66" t="n">
        <x:v>11</x:v>
      </x:c>
      <x:c r="B1204" s="44" t="str">
        <x:v>Canola/Rapeseed</x:v>
      </x:c>
      <x:c r="C1204" s="44" t="str">
        <x:v>P515G</x:v>
      </x:c>
      <x:c r="D1204" s="66" t="n">
        <x:v>2023</x:v>
      </x:c>
      <x:c r="E1204" s="67" t="n">
        <x:v>1661</x:v>
      </x:c>
      <x:c r="F1204" s="68" t="n">
        <x:v>42.2</x:v>
      </x:c>
      <x:c r="G1204" s="69" t="n">
        <x:f>IF(COUNT(E1204:F1204)=2,E1204*F1204,"")</x:f>
        <x:v>70094.20000000001</x:v>
      </x:c>
    </x:row>
    <x:row r="1205">
      <x:c r="A1205" s="66" t="n">
        <x:v>11</x:v>
      </x:c>
      <x:c r="B1205" s="44" t="str">
        <x:v>Canola/Rapeseed</x:v>
      </x:c>
      <x:c r="C1205" s="44" t="str">
        <x:v>P515G</x:v>
      </x:c>
      <x:c r="D1205" s="66" t="n">
        <x:v>2024</x:v>
      </x:c>
      <x:c r="E1205" s="67" t="n">
        <x:v>12589</x:v>
      </x:c>
      <x:c r="F1205" s="68" t="n">
        <x:v>33.4</x:v>
      </x:c>
      <x:c r="G1205" s="69" t="n">
        <x:f>IF(COUNT(E1205:F1205)=2,E1205*F1205,"")</x:f>
        <x:v>420472.6</x:v>
      </x:c>
    </x:row>
    <x:row r="1206">
      <x:c r="A1206" s="66" t="n">
        <x:v>11</x:v>
      </x:c>
      <x:c r="B1206" s="44" t="str">
        <x:v>Canola/Rapeseed</x:v>
      </x:c>
      <x:c r="C1206" s="44" t="str">
        <x:v>P515G</x:v>
      </x:c>
      <x:c r="D1206" s="66" t="n">
        <x:v>2025</x:v>
      </x:c>
      <x:c r="E1206" s="67" t="n">
        <x:v>8300</x:v>
      </x:c>
      <x:c r="F1206" s="68" t="n">
        <x:v>46.2</x:v>
      </x:c>
      <x:c r="G1206" s="69" t="n">
        <x:f>IF(COUNT(E1206:F1206)=2,E1206*F1206,"")</x:f>
        <x:v>383460</x:v>
      </x:c>
    </x:row>
    <x:row r="1207">
      <x:c r="A1207" s="66" t="n">
        <x:v>11</x:v>
      </x:c>
      <x:c r="B1207" s="44" t="str">
        <x:v>Canola/Rapeseed</x:v>
      </x:c>
      <x:c r="C1207" s="44" t="str">
        <x:v>P516L</x:v>
      </x:c>
      <x:c r="D1207" s="66" t="n">
        <x:v>2021</x:v>
      </x:c>
      <x:c r="E1207" s="67"/>
      <x:c r="F1207" s="68"/>
      <x:c r="G1207" s="69" t="str">
        <x:f>IF(COUNT(E1207:F1207)=2,E1207*F1207,"")</x:f>
      </x:c>
    </x:row>
    <x:row r="1208">
      <x:c r="A1208" s="66" t="n">
        <x:v>11</x:v>
      </x:c>
      <x:c r="B1208" s="44" t="str">
        <x:v>Canola/Rapeseed</x:v>
      </x:c>
      <x:c r="C1208" s="44" t="str">
        <x:v>P516L</x:v>
      </x:c>
      <x:c r="D1208" s="66" t="n">
        <x:v>2022</x:v>
      </x:c>
      <x:c r="E1208" s="67"/>
      <x:c r="F1208" s="68"/>
      <x:c r="G1208" s="69" t="str">
        <x:f>IF(COUNT(E1208:F1208)=2,E1208*F1208,"")</x:f>
      </x:c>
    </x:row>
    <x:row r="1209">
      <x:c r="A1209" s="66" t="n">
        <x:v>11</x:v>
      </x:c>
      <x:c r="B1209" s="44" t="str">
        <x:v>Canola/Rapeseed</x:v>
      </x:c>
      <x:c r="C1209" s="44" t="str">
        <x:v>P516L</x:v>
      </x:c>
      <x:c r="D1209" s="66" t="n">
        <x:v>2023</x:v>
      </x:c>
      <x:c r="E1209" s="67" t="n">
        <x:v>1479</x:v>
      </x:c>
      <x:c r="F1209" s="68" t="n">
        <x:v>34.3</x:v>
      </x:c>
      <x:c r="G1209" s="69" t="n">
        <x:f>IF(COUNT(E1209:F1209)=2,E1209*F1209,"")</x:f>
        <x:v>50729.7</x:v>
      </x:c>
    </x:row>
    <x:row r="1210">
      <x:c r="A1210" s="66" t="n">
        <x:v>11</x:v>
      </x:c>
      <x:c r="B1210" s="44" t="str">
        <x:v>Canola/Rapeseed</x:v>
      </x:c>
      <x:c r="C1210" s="44" t="str">
        <x:v>P516L</x:v>
      </x:c>
      <x:c r="D1210" s="66" t="n">
        <x:v>2024</x:v>
      </x:c>
      <x:c r="E1210" s="67" t="n">
        <x:v>10794</x:v>
      </x:c>
      <x:c r="F1210" s="68" t="n">
        <x:v>29.6</x:v>
      </x:c>
      <x:c r="G1210" s="69" t="n">
        <x:f>IF(COUNT(E1210:F1210)=2,E1210*F1210,"")</x:f>
        <x:v>319502.4</x:v>
      </x:c>
    </x:row>
    <x:row r="1211">
      <x:c r="A1211" s="66" t="n">
        <x:v>11</x:v>
      </x:c>
      <x:c r="B1211" s="44" t="str">
        <x:v>Canola/Rapeseed</x:v>
      </x:c>
      <x:c r="C1211" s="44" t="str">
        <x:v>P516L</x:v>
      </x:c>
      <x:c r="D1211" s="66" t="n">
        <x:v>2025</x:v>
      </x:c>
      <x:c r="E1211" s="67" t="n">
        <x:v>1903</x:v>
      </x:c>
      <x:c r="F1211" s="68" t="n">
        <x:v>55.2</x:v>
      </x:c>
      <x:c r="G1211" s="69" t="n">
        <x:f>IF(COUNT(E1211:F1211)=2,E1211*F1211,"")</x:f>
        <x:v>105045.6</x:v>
      </x:c>
    </x:row>
    <x:row r="1212">
      <x:c r="A1212" s="66" t="n">
        <x:v>11</x:v>
      </x:c>
      <x:c r="B1212" s="44" t="str">
        <x:v>Canola/Rapeseed</x:v>
      </x:c>
      <x:c r="C1212" s="44" t="str">
        <x:v>P519L</x:v>
      </x:c>
      <x:c r="D1212" s="66" t="n">
        <x:v>2021</x:v>
      </x:c>
      <x:c r="E1212" s="67"/>
      <x:c r="F1212" s="68"/>
      <x:c r="G1212" s="69" t="str">
        <x:f>IF(COUNT(E1212:F1212)=2,E1212*F1212,"")</x:f>
      </x:c>
    </x:row>
    <x:row r="1213">
      <x:c r="A1213" s="66" t="n">
        <x:v>11</x:v>
      </x:c>
      <x:c r="B1213" s="44" t="str">
        <x:v>Canola/Rapeseed</x:v>
      </x:c>
      <x:c r="C1213" s="44" t="str">
        <x:v>P519L</x:v>
      </x:c>
      <x:c r="D1213" s="66" t="n">
        <x:v>2022</x:v>
      </x:c>
      <x:c r="E1213" s="67"/>
      <x:c r="F1213" s="68"/>
      <x:c r="G1213" s="69" t="str">
        <x:f>IF(COUNT(E1213:F1213)=2,E1213*F1213,"")</x:f>
      </x:c>
    </x:row>
    <x:row r="1214">
      <x:c r="A1214" s="66" t="n">
        <x:v>11</x:v>
      </x:c>
      <x:c r="B1214" s="44" t="str">
        <x:v>Canola/Rapeseed</x:v>
      </x:c>
      <x:c r="C1214" s="44" t="str">
        <x:v>P519L</x:v>
      </x:c>
      <x:c r="D1214" s="66" t="n">
        <x:v>2023</x:v>
      </x:c>
      <x:c r="E1214" s="67"/>
      <x:c r="F1214" s="68"/>
      <x:c r="G1214" s="69" t="str">
        <x:f>IF(COUNT(E1214:F1214)=2,E1214*F1214,"")</x:f>
      </x:c>
    </x:row>
    <x:row r="1215">
      <x:c r="A1215" s="66" t="n">
        <x:v>11</x:v>
      </x:c>
      <x:c r="B1215" s="44" t="str">
        <x:v>Canola/Rapeseed</x:v>
      </x:c>
      <x:c r="C1215" s="44" t="str">
        <x:v>P519L</x:v>
      </x:c>
      <x:c r="D1215" s="66" t="n">
        <x:v>2024</x:v>
      </x:c>
      <x:c r="E1215" s="67"/>
      <x:c r="F1215" s="68"/>
      <x:c r="G1215" s="69" t="str">
        <x:f>IF(COUNT(E1215:F1215)=2,E1215*F1215,"")</x:f>
      </x:c>
    </x:row>
    <x:row r="1216">
      <x:c r="A1216" s="66" t="n">
        <x:v>11</x:v>
      </x:c>
      <x:c r="B1216" s="44" t="str">
        <x:v>Canola/Rapeseed</x:v>
      </x:c>
      <x:c r="C1216" s="44" t="str">
        <x:v>P519L</x:v>
      </x:c>
      <x:c r="D1216" s="66" t="n">
        <x:v>2025</x:v>
      </x:c>
      <x:c r="E1216" s="67" t="n">
        <x:v>1136</x:v>
      </x:c>
      <x:c r="F1216" s="68" t="n">
        <x:v>41.3</x:v>
      </x:c>
      <x:c r="G1216" s="69" t="n">
        <x:f>IF(COUNT(E1216:F1216)=2,E1216*F1216,"")</x:f>
        <x:v>46916.799999999996</x:v>
      </x:c>
    </x:row>
    <x:row r="1217">
      <x:c r="A1217" s="66" t="n">
        <x:v>11</x:v>
      </x:c>
      <x:c r="B1217" s="44" t="str">
        <x:v>Canola/Rapeseed</x:v>
      </x:c>
      <x:c r="C1217" s="44" t="str">
        <x:v>P520L</x:v>
      </x:c>
      <x:c r="D1217" s="66" t="n">
        <x:v>2021</x:v>
      </x:c>
      <x:c r="E1217" s="67"/>
      <x:c r="F1217" s="68"/>
      <x:c r="G1217" s="69" t="str">
        <x:f>IF(COUNT(E1217:F1217)=2,E1217*F1217,"")</x:f>
      </x:c>
    </x:row>
    <x:row r="1218">
      <x:c r="A1218" s="66" t="n">
        <x:v>11</x:v>
      </x:c>
      <x:c r="B1218" s="44" t="str">
        <x:v>Canola/Rapeseed</x:v>
      </x:c>
      <x:c r="C1218" s="44" t="str">
        <x:v>P520L</x:v>
      </x:c>
      <x:c r="D1218" s="66" t="n">
        <x:v>2022</x:v>
      </x:c>
      <x:c r="E1218" s="67"/>
      <x:c r="F1218" s="68"/>
      <x:c r="G1218" s="69" t="str">
        <x:f>IF(COUNT(E1218:F1218)=2,E1218*F1218,"")</x:f>
      </x:c>
    </x:row>
    <x:row r="1219">
      <x:c r="A1219" s="66" t="n">
        <x:v>11</x:v>
      </x:c>
      <x:c r="B1219" s="44" t="str">
        <x:v>Canola/Rapeseed</x:v>
      </x:c>
      <x:c r="C1219" s="44" t="str">
        <x:v>P520L</x:v>
      </x:c>
      <x:c r="D1219" s="66" t="n">
        <x:v>2023</x:v>
      </x:c>
      <x:c r="E1219" s="67"/>
      <x:c r="F1219" s="68"/>
      <x:c r="G1219" s="69" t="str">
        <x:f>IF(COUNT(E1219:F1219)=2,E1219*F1219,"")</x:f>
      </x:c>
    </x:row>
    <x:row r="1220">
      <x:c r="A1220" s="66" t="n">
        <x:v>11</x:v>
      </x:c>
      <x:c r="B1220" s="44" t="str">
        <x:v>Canola/Rapeseed</x:v>
      </x:c>
      <x:c r="C1220" s="44" t="str">
        <x:v>P520L</x:v>
      </x:c>
      <x:c r="D1220" s="66" t="n">
        <x:v>2024</x:v>
      </x:c>
      <x:c r="E1220" s="67" t="n">
        <x:v>1824</x:v>
      </x:c>
      <x:c r="F1220" s="68" t="n">
        <x:v>38.3</x:v>
      </x:c>
      <x:c r="G1220" s="69" t="n">
        <x:f>IF(COUNT(E1220:F1220)=2,E1220*F1220,"")</x:f>
        <x:v>69859.2</x:v>
      </x:c>
    </x:row>
    <x:row r="1221">
      <x:c r="A1221" s="66" t="n">
        <x:v>11</x:v>
      </x:c>
      <x:c r="B1221" s="44" t="str">
        <x:v>Canola/Rapeseed</x:v>
      </x:c>
      <x:c r="C1221" s="44" t="str">
        <x:v>P520L</x:v>
      </x:c>
      <x:c r="D1221" s="66" t="n">
        <x:v>2025</x:v>
      </x:c>
      <x:c r="E1221" s="67" t="n">
        <x:v>16736</x:v>
      </x:c>
      <x:c r="F1221" s="68" t="n">
        <x:v>46.3</x:v>
      </x:c>
      <x:c r="G1221" s="69" t="n">
        <x:f>IF(COUNT(E1221:F1221)=2,E1221*F1221,"")</x:f>
        <x:v>774876.7999999999</x:v>
      </x:c>
    </x:row>
    <x:row r="1222">
      <x:c r="A1222" s="66" t="n">
        <x:v>11</x:v>
      </x:c>
      <x:c r="B1222" s="44" t="str">
        <x:v>Canola/Rapeseed</x:v>
      </x:c>
      <x:c r="C1222" s="44" t="str">
        <x:v>P617SL</x:v>
      </x:c>
      <x:c r="D1222" s="66" t="n">
        <x:v>2021</x:v>
      </x:c>
      <x:c r="E1222" s="67"/>
      <x:c r="F1222" s="68"/>
      <x:c r="G1222" s="69" t="str">
        <x:f>IF(COUNT(E1222:F1222)=2,E1222*F1222,"")</x:f>
      </x:c>
    </x:row>
    <x:row r="1223">
      <x:c r="A1223" s="66" t="n">
        <x:v>11</x:v>
      </x:c>
      <x:c r="B1223" s="44" t="str">
        <x:v>Canola/Rapeseed</x:v>
      </x:c>
      <x:c r="C1223" s="44" t="str">
        <x:v>P617SL</x:v>
      </x:c>
      <x:c r="D1223" s="66" t="n">
        <x:v>2022</x:v>
      </x:c>
      <x:c r="E1223" s="67"/>
      <x:c r="F1223" s="68"/>
      <x:c r="G1223" s="69" t="str">
        <x:f>IF(COUNT(E1223:F1223)=2,E1223*F1223,"")</x:f>
      </x:c>
    </x:row>
    <x:row r="1224">
      <x:c r="A1224" s="66" t="n">
        <x:v>11</x:v>
      </x:c>
      <x:c r="B1224" s="44" t="str">
        <x:v>Canola/Rapeseed</x:v>
      </x:c>
      <x:c r="C1224" s="44" t="str">
        <x:v>P617SL</x:v>
      </x:c>
      <x:c r="D1224" s="66" t="n">
        <x:v>2023</x:v>
      </x:c>
      <x:c r="E1224" s="67"/>
      <x:c r="F1224" s="68"/>
      <x:c r="G1224" s="69" t="str">
        <x:f>IF(COUNT(E1224:F1224)=2,E1224*F1224,"")</x:f>
      </x:c>
    </x:row>
    <x:row r="1225">
      <x:c r="A1225" s="66" t="n">
        <x:v>11</x:v>
      </x:c>
      <x:c r="B1225" s="44" t="str">
        <x:v>Canola/Rapeseed</x:v>
      </x:c>
      <x:c r="C1225" s="44" t="str">
        <x:v>P617SL</x:v>
      </x:c>
      <x:c r="D1225" s="66" t="n">
        <x:v>2024</x:v>
      </x:c>
      <x:c r="E1225" s="67"/>
      <x:c r="F1225" s="68"/>
      <x:c r="G1225" s="69" t="str">
        <x:f>IF(COUNT(E1225:F1225)=2,E1225*F1225,"")</x:f>
      </x:c>
    </x:row>
    <x:row r="1226">
      <x:c r="A1226" s="66" t="n">
        <x:v>11</x:v>
      </x:c>
      <x:c r="B1226" s="44" t="str">
        <x:v>Canola/Rapeseed</x:v>
      </x:c>
      <x:c r="C1226" s="44" t="str">
        <x:v>P617SL</x:v>
      </x:c>
      <x:c r="D1226" s="66" t="n">
        <x:v>2025</x:v>
      </x:c>
      <x:c r="E1226" s="67" t="n">
        <x:v>982</x:v>
      </x:c>
      <x:c r="F1226" s="68" t="n">
        <x:v>43.5</x:v>
      </x:c>
      <x:c r="G1226" s="69" t="n">
        <x:f>IF(COUNT(E1226:F1226)=2,E1226*F1226,"")</x:f>
        <x:v>42717</x:v>
      </x:c>
    </x:row>
    <x:row r="1227">
      <x:c r="A1227" s="66" t="n">
        <x:v>11</x:v>
      </x:c>
      <x:c r="B1227" s="44" t="str">
        <x:v>Canola/Rapeseed</x:v>
      </x:c>
      <x:c r="C1227" s="44" t="str">
        <x:v>2600 CS CR-T</x:v>
      </x:c>
      <x:c r="D1227" s="66" t="n">
        <x:v>2021</x:v>
      </x:c>
      <x:c r="E1227" s="67" t="n">
        <x:v>1789</x:v>
      </x:c>
      <x:c r="F1227" s="68" t="n">
        <x:v>24.4</x:v>
      </x:c>
      <x:c r="G1227" s="69" t="n">
        <x:f>IF(COUNT(E1227:F1227)=2,E1227*F1227,"")</x:f>
        <x:v>43651.6</x:v>
      </x:c>
    </x:row>
    <x:row r="1228">
      <x:c r="A1228" s="66" t="n">
        <x:v>11</x:v>
      </x:c>
      <x:c r="B1228" s="44" t="str">
        <x:v>Canola/Rapeseed</x:v>
      </x:c>
      <x:c r="C1228" s="44" t="str">
        <x:v>2600 CS CR-T</x:v>
      </x:c>
      <x:c r="D1228" s="66" t="n">
        <x:v>2022</x:v>
      </x:c>
      <x:c r="E1228" s="67" t="n">
        <x:v>2062</x:v>
      </x:c>
      <x:c r="F1228" s="68" t="n">
        <x:v>36</x:v>
      </x:c>
      <x:c r="G1228" s="69" t="n">
        <x:f>IF(COUNT(E1228:F1228)=2,E1228*F1228,"")</x:f>
        <x:v>74232</x:v>
      </x:c>
    </x:row>
    <x:row r="1229">
      <x:c r="A1229" s="66" t="n">
        <x:v>11</x:v>
      </x:c>
      <x:c r="B1229" s="44" t="str">
        <x:v>Canola/Rapeseed</x:v>
      </x:c>
      <x:c r="C1229" s="44" t="str">
        <x:v>2600 CS CR-T</x:v>
      </x:c>
      <x:c r="D1229" s="66" t="n">
        <x:v>2023</x:v>
      </x:c>
      <x:c r="E1229" s="67"/>
      <x:c r="F1229" s="68"/>
      <x:c r="G1229" s="69" t="str">
        <x:f>IF(COUNT(E1229:F1229)=2,E1229*F1229,"")</x:f>
      </x:c>
    </x:row>
    <x:row r="1230">
      <x:c r="A1230" s="66" t="n">
        <x:v>11</x:v>
      </x:c>
      <x:c r="B1230" s="44" t="str">
        <x:v>Canola/Rapeseed</x:v>
      </x:c>
      <x:c r="C1230" s="44" t="str">
        <x:v>2600 CS CR-T</x:v>
      </x:c>
      <x:c r="D1230" s="66" t="n">
        <x:v>2024</x:v>
      </x:c>
      <x:c r="E1230" s="67" t="n">
        <x:v>1565</x:v>
      </x:c>
      <x:c r="F1230" s="68" t="n">
        <x:v>32.9</x:v>
      </x:c>
      <x:c r="G1230" s="69" t="n">
        <x:f>IF(COUNT(E1230:F1230)=2,E1230*F1230,"")</x:f>
        <x:v>51488.5</x:v>
      </x:c>
    </x:row>
    <x:row r="1231">
      <x:c r="A1231" s="66" t="n">
        <x:v>11</x:v>
      </x:c>
      <x:c r="B1231" s="44" t="str">
        <x:v>Canola/Rapeseed</x:v>
      </x:c>
      <x:c r="C1231" s="44" t="str">
        <x:v>2600 CS CR-T</x:v>
      </x:c>
      <x:c r="D1231" s="66" t="n">
        <x:v>2025</x:v>
      </x:c>
      <x:c r="E1231" s="67" t="n">
        <x:v>410</x:v>
      </x:c>
      <x:c r="F1231" s="68" t="n">
        <x:v>37.3</x:v>
      </x:c>
      <x:c r="G1231" s="69" t="n">
        <x:f>IF(COUNT(E1231:F1231)=2,E1231*F1231,"")</x:f>
        <x:v>15292.999999999998</x:v>
      </x:c>
    </x:row>
    <x:row r="1232">
      <x:c r="A1232" s="66" t="n">
        <x:v>11</x:v>
      </x:c>
      <x:c r="B1232" s="44" t="str">
        <x:v>Canola/Rapeseed</x:v>
      </x:c>
      <x:c r="C1232" s="44" t="str">
        <x:v>45CM39</x:v>
      </x:c>
      <x:c r="D1232" s="66" t="n">
        <x:v>2021</x:v>
      </x:c>
      <x:c r="E1232" s="67" t="n">
        <x:v>28743</x:v>
      </x:c>
      <x:c r="F1232" s="68" t="n">
        <x:v>27.2</x:v>
      </x:c>
      <x:c r="G1232" s="69" t="n">
        <x:f>IF(COUNT(E1232:F1232)=2,E1232*F1232,"")</x:f>
        <x:v>781809.6</x:v>
      </x:c>
    </x:row>
    <x:row r="1233">
      <x:c r="A1233" s="66" t="n">
        <x:v>11</x:v>
      </x:c>
      <x:c r="B1233" s="44" t="str">
        <x:v>Canola/Rapeseed</x:v>
      </x:c>
      <x:c r="C1233" s="44" t="str">
        <x:v>45CM39</x:v>
      </x:c>
      <x:c r="D1233" s="66" t="n">
        <x:v>2022</x:v>
      </x:c>
      <x:c r="E1233" s="67" t="n">
        <x:v>12606</x:v>
      </x:c>
      <x:c r="F1233" s="68" t="n">
        <x:v>43.2</x:v>
      </x:c>
      <x:c r="G1233" s="69" t="n">
        <x:f>IF(COUNT(E1233:F1233)=2,E1233*F1233,"")</x:f>
        <x:v>544579.2000000001</x:v>
      </x:c>
    </x:row>
    <x:row r="1234">
      <x:c r="A1234" s="66" t="n">
        <x:v>11</x:v>
      </x:c>
      <x:c r="B1234" s="44" t="str">
        <x:v>Canola/Rapeseed</x:v>
      </x:c>
      <x:c r="C1234" s="44" t="str">
        <x:v>45CM39</x:v>
      </x:c>
      <x:c r="D1234" s="66" t="n">
        <x:v>2023</x:v>
      </x:c>
      <x:c r="E1234" s="67" t="n">
        <x:v>23224</x:v>
      </x:c>
      <x:c r="F1234" s="68" t="n">
        <x:v>40.5</x:v>
      </x:c>
      <x:c r="G1234" s="69" t="n">
        <x:f>IF(COUNT(E1234:F1234)=2,E1234*F1234,"")</x:f>
        <x:v>940572</x:v>
      </x:c>
    </x:row>
    <x:row r="1235">
      <x:c r="A1235" s="66" t="n">
        <x:v>11</x:v>
      </x:c>
      <x:c r="B1235" s="44" t="str">
        <x:v>Canola/Rapeseed</x:v>
      </x:c>
      <x:c r="C1235" s="44" t="str">
        <x:v>45CM39</x:v>
      </x:c>
      <x:c r="D1235" s="66" t="n">
        <x:v>2024</x:v>
      </x:c>
      <x:c r="E1235" s="67" t="n">
        <x:v>5583</x:v>
      </x:c>
      <x:c r="F1235" s="68" t="n">
        <x:v>34.3</x:v>
      </x:c>
      <x:c r="G1235" s="69" t="n">
        <x:f>IF(COUNT(E1235:F1235)=2,E1235*F1235,"")</x:f>
        <x:v>191496.9</x:v>
      </x:c>
    </x:row>
    <x:row r="1236">
      <x:c r="A1236" s="66" t="n">
        <x:v>11</x:v>
      </x:c>
      <x:c r="B1236" s="44" t="str">
        <x:v>Canola/Rapeseed</x:v>
      </x:c>
      <x:c r="C1236" s="44" t="str">
        <x:v>45CM39</x:v>
      </x:c>
      <x:c r="D1236" s="66" t="n">
        <x:v>2025</x:v>
      </x:c>
      <x:c r="E1236" s="67" t="n">
        <x:v>698</x:v>
      </x:c>
      <x:c r="F1236" s="68" t="n">
        <x:v>42</x:v>
      </x:c>
      <x:c r="G1236" s="69" t="n">
        <x:f>IF(COUNT(E1236:F1236)=2,E1236*F1236,"")</x:f>
        <x:v>29316</x:v>
      </x:c>
    </x:row>
    <x:row r="1237">
      <x:c r="A1237" s="66" t="n">
        <x:v>11</x:v>
      </x:c>
      <x:c r="B1237" s="44" t="str">
        <x:v>Canola/Rapeseed</x:v>
      </x:c>
      <x:c r="C1237" s="44" t="str">
        <x:v>45H42</x:v>
      </x:c>
      <x:c r="D1237" s="66" t="n">
        <x:v>2021</x:v>
      </x:c>
      <x:c r="E1237" s="67" t="n">
        <x:v>3668</x:v>
      </x:c>
      <x:c r="F1237" s="68" t="n">
        <x:v>25.7</x:v>
      </x:c>
      <x:c r="G1237" s="69" t="n">
        <x:f>IF(COUNT(E1237:F1237)=2,E1237*F1237,"")</x:f>
        <x:v>94267.59999999999</x:v>
      </x:c>
    </x:row>
    <x:row r="1238">
      <x:c r="A1238" s="66" t="n">
        <x:v>11</x:v>
      </x:c>
      <x:c r="B1238" s="44" t="str">
        <x:v>Canola/Rapeseed</x:v>
      </x:c>
      <x:c r="C1238" s="44" t="str">
        <x:v>45H42</x:v>
      </x:c>
      <x:c r="D1238" s="66" t="n">
        <x:v>2022</x:v>
      </x:c>
      <x:c r="E1238" s="67" t="n">
        <x:v>3168</x:v>
      </x:c>
      <x:c r="F1238" s="68" t="n">
        <x:v>41.4</x:v>
      </x:c>
      <x:c r="G1238" s="69" t="n">
        <x:f>IF(COUNT(E1238:F1238)=2,E1238*F1238,"")</x:f>
        <x:v>131155.19999999998</x:v>
      </x:c>
    </x:row>
    <x:row r="1239">
      <x:c r="A1239" s="66" t="n">
        <x:v>11</x:v>
      </x:c>
      <x:c r="B1239" s="44" t="str">
        <x:v>Canola/Rapeseed</x:v>
      </x:c>
      <x:c r="C1239" s="44" t="str">
        <x:v>45H42</x:v>
      </x:c>
      <x:c r="D1239" s="66" t="n">
        <x:v>2023</x:v>
      </x:c>
      <x:c r="E1239" s="67" t="n">
        <x:v>9187</x:v>
      </x:c>
      <x:c r="F1239" s="68" t="n">
        <x:v>42.5</x:v>
      </x:c>
      <x:c r="G1239" s="69" t="n">
        <x:f>IF(COUNT(E1239:F1239)=2,E1239*F1239,"")</x:f>
        <x:v>390447.5</x:v>
      </x:c>
    </x:row>
    <x:row r="1240">
      <x:c r="A1240" s="66" t="n">
        <x:v>11</x:v>
      </x:c>
      <x:c r="B1240" s="44" t="str">
        <x:v>Canola/Rapeseed</x:v>
      </x:c>
      <x:c r="C1240" s="44" t="str">
        <x:v>45H42</x:v>
      </x:c>
      <x:c r="D1240" s="66" t="n">
        <x:v>2024</x:v>
      </x:c>
      <x:c r="E1240" s="67" t="n">
        <x:v>5084</x:v>
      </x:c>
      <x:c r="F1240" s="68" t="n">
        <x:v>33.3</x:v>
      </x:c>
      <x:c r="G1240" s="69" t="n">
        <x:f>IF(COUNT(E1240:F1240)=2,E1240*F1240,"")</x:f>
        <x:v>169297.19999999998</x:v>
      </x:c>
    </x:row>
    <x:row r="1241">
      <x:c r="A1241" s="66" t="n">
        <x:v>11</x:v>
      </x:c>
      <x:c r="B1241" s="44" t="str">
        <x:v>Canola/Rapeseed</x:v>
      </x:c>
      <x:c r="C1241" s="44" t="str">
        <x:v>45H42</x:v>
      </x:c>
      <x:c r="D1241" s="66" t="n">
        <x:v>2025</x:v>
      </x:c>
      <x:c r="E1241" s="67" t="n">
        <x:v>1848</x:v>
      </x:c>
      <x:c r="F1241" s="68" t="n">
        <x:v>39.4</x:v>
      </x:c>
      <x:c r="G1241" s="69" t="n">
        <x:f>IF(COUNT(E1241:F1241)=2,E1241*F1241,"")</x:f>
        <x:v>72811.2</x:v>
      </x:c>
    </x:row>
    <x:row r="1242">
      <x:c r="A1242" s="66" t="n">
        <x:v>11</x:v>
      </x:c>
      <x:c r="B1242" s="44" t="str">
        <x:v>Canola/Rapeseed</x:v>
      </x:c>
      <x:c r="C1242" s="44" t="str">
        <x:v>45M35</x:v>
      </x:c>
      <x:c r="D1242" s="66" t="n">
        <x:v>2021</x:v>
      </x:c>
      <x:c r="E1242" s="67" t="n">
        <x:v>5480</x:v>
      </x:c>
      <x:c r="F1242" s="68" t="n">
        <x:v>29.5</x:v>
      </x:c>
      <x:c r="G1242" s="69" t="n">
        <x:f>IF(COUNT(E1242:F1242)=2,E1242*F1242,"")</x:f>
        <x:v>161660</x:v>
      </x:c>
    </x:row>
    <x:row r="1243">
      <x:c r="A1243" s="66" t="n">
        <x:v>11</x:v>
      </x:c>
      <x:c r="B1243" s="44" t="str">
        <x:v>Canola/Rapeseed</x:v>
      </x:c>
      <x:c r="C1243" s="44" t="str">
        <x:v>45M35</x:v>
      </x:c>
      <x:c r="D1243" s="66" t="n">
        <x:v>2022</x:v>
      </x:c>
      <x:c r="E1243" s="67" t="n">
        <x:v>4794</x:v>
      </x:c>
      <x:c r="F1243" s="68" t="n">
        <x:v>44.2</x:v>
      </x:c>
      <x:c r="G1243" s="69" t="n">
        <x:f>IF(COUNT(E1243:F1243)=2,E1243*F1243,"")</x:f>
        <x:v>211894.80000000002</x:v>
      </x:c>
    </x:row>
    <x:row r="1244">
      <x:c r="A1244" s="66" t="n">
        <x:v>11</x:v>
      </x:c>
      <x:c r="B1244" s="44" t="str">
        <x:v>Canola/Rapeseed</x:v>
      </x:c>
      <x:c r="C1244" s="44" t="str">
        <x:v>45M35</x:v>
      </x:c>
      <x:c r="D1244" s="66" t="n">
        <x:v>2023</x:v>
      </x:c>
      <x:c r="E1244" s="67" t="n">
        <x:v>3497</x:v>
      </x:c>
      <x:c r="F1244" s="68" t="n">
        <x:v>42.1</x:v>
      </x:c>
      <x:c r="G1244" s="69" t="n">
        <x:f>IF(COUNT(E1244:F1244)=2,E1244*F1244,"")</x:f>
        <x:v>147223.7</x:v>
      </x:c>
    </x:row>
    <x:row r="1245">
      <x:c r="A1245" s="66" t="n">
        <x:v>11</x:v>
      </x:c>
      <x:c r="B1245" s="44" t="str">
        <x:v>Canola/Rapeseed</x:v>
      </x:c>
      <x:c r="C1245" s="44" t="str">
        <x:v>45M35</x:v>
      </x:c>
      <x:c r="D1245" s="66" t="n">
        <x:v>2024</x:v>
      </x:c>
      <x:c r="E1245" s="67" t="n">
        <x:v>1165</x:v>
      </x:c>
      <x:c r="F1245" s="68" t="n">
        <x:v>32</x:v>
      </x:c>
      <x:c r="G1245" s="69" t="n">
        <x:f>IF(COUNT(E1245:F1245)=2,E1245*F1245,"")</x:f>
        <x:v>37280</x:v>
      </x:c>
    </x:row>
    <x:row r="1246">
      <x:c r="A1246" s="66" t="n">
        <x:v>11</x:v>
      </x:c>
      <x:c r="B1246" s="44" t="str">
        <x:v>Canola/Rapeseed</x:v>
      </x:c>
      <x:c r="C1246" s="44" t="str">
        <x:v>45M35</x:v>
      </x:c>
      <x:c r="D1246" s="66" t="n">
        <x:v>2025</x:v>
      </x:c>
      <x:c r="E1246" s="67" t="n">
        <x:v>1228</x:v>
      </x:c>
      <x:c r="F1246" s="68" t="n">
        <x:v>50</x:v>
      </x:c>
      <x:c r="G1246" s="69" t="n">
        <x:f>IF(COUNT(E1246:F1246)=2,E1246*F1246,"")</x:f>
        <x:v>61400</x:v>
      </x:c>
    </x:row>
    <x:row r="1247">
      <x:c r="A1247" s="66" t="n">
        <x:v>11</x:v>
      </x:c>
      <x:c r="B1247" s="44" t="str">
        <x:v>Canola/Rapeseed</x:v>
      </x:c>
      <x:c r="C1247" s="44" t="str">
        <x:v>519 HYOLA RR</x:v>
      </x:c>
      <x:c r="D1247" s="66" t="n">
        <x:v>2021</x:v>
      </x:c>
      <x:c r="E1247" s="67"/>
      <x:c r="F1247" s="68"/>
      <x:c r="G1247" s="69" t="str">
        <x:f>IF(COUNT(E1247:F1247)=2,E1247*F1247,"")</x:f>
      </x:c>
    </x:row>
    <x:row r="1248">
      <x:c r="A1248" s="66" t="n">
        <x:v>11</x:v>
      </x:c>
      <x:c r="B1248" s="44" t="str">
        <x:v>Canola/Rapeseed</x:v>
      </x:c>
      <x:c r="C1248" s="44" t="str">
        <x:v>519 HYOLA RR</x:v>
      </x:c>
      <x:c r="D1248" s="66" t="n">
        <x:v>2022</x:v>
      </x:c>
      <x:c r="E1248" s="67"/>
      <x:c r="F1248" s="68"/>
      <x:c r="G1248" s="69" t="str">
        <x:f>IF(COUNT(E1248:F1248)=2,E1248*F1248,"")</x:f>
      </x:c>
    </x:row>
    <x:row r="1249">
      <x:c r="A1249" s="66" t="n">
        <x:v>11</x:v>
      </x:c>
      <x:c r="B1249" s="44" t="str">
        <x:v>Canola/Rapeseed</x:v>
      </x:c>
      <x:c r="C1249" s="44" t="str">
        <x:v>519 HYOLA RR</x:v>
      </x:c>
      <x:c r="D1249" s="66" t="n">
        <x:v>2023</x:v>
      </x:c>
      <x:c r="E1249" s="67"/>
      <x:c r="F1249" s="68"/>
      <x:c r="G1249" s="69" t="str">
        <x:f>IF(COUNT(E1249:F1249)=2,E1249*F1249,"")</x:f>
      </x:c>
    </x:row>
    <x:row r="1250">
      <x:c r="A1250" s="66" t="n">
        <x:v>11</x:v>
      </x:c>
      <x:c r="B1250" s="44" t="str">
        <x:v>Canola/Rapeseed</x:v>
      </x:c>
      <x:c r="C1250" s="44" t="str">
        <x:v>519 HYOLA RR</x:v>
      </x:c>
      <x:c r="D1250" s="66" t="n">
        <x:v>2024</x:v>
      </x:c>
      <x:c r="E1250" s="67"/>
      <x:c r="F1250" s="68"/>
      <x:c r="G1250" s="69" t="str">
        <x:f>IF(COUNT(E1250:F1250)=2,E1250*F1250,"")</x:f>
      </x:c>
    </x:row>
    <x:row r="1251">
      <x:c r="A1251" s="66" t="n">
        <x:v>11</x:v>
      </x:c>
      <x:c r="B1251" s="44" t="str">
        <x:v>Canola/Rapeseed</x:v>
      </x:c>
      <x:c r="C1251" s="44" t="str">
        <x:v>519 HYOLA RR</x:v>
      </x:c>
      <x:c r="D1251" s="66" t="n">
        <x:v>2025</x:v>
      </x:c>
      <x:c r="E1251" s="67" t="n">
        <x:v>794</x:v>
      </x:c>
      <x:c r="F1251" s="68" t="n">
        <x:v>37.1</x:v>
      </x:c>
      <x:c r="G1251" s="69" t="n">
        <x:f>IF(COUNT(E1251:F1251)=2,E1251*F1251,"")</x:f>
        <x:v>29457.4</x:v>
      </x:c>
    </x:row>
    <x:row r="1252">
      <x:c r="A1252" s="66" t="n">
        <x:v>12</x:v>
      </x:c>
      <x:c r="B1252" s="44" t="str">
        <x:v>Canola/Rapeseed</x:v>
      </x:c>
      <x:c r="C1252" s="44" t="str">
        <x:v>BY 7204LL</x:v>
      </x:c>
      <x:c r="D1252" s="66" t="n">
        <x:v>2021</x:v>
      </x:c>
      <x:c r="E1252" s="67"/>
      <x:c r="F1252" s="68"/>
      <x:c r="G1252" s="69" t="str">
        <x:f>IF(COUNT(E1252:F1252)=2,E1252*F1252,"")</x:f>
      </x:c>
    </x:row>
    <x:row r="1253">
      <x:c r="A1253" s="66" t="n">
        <x:v>12</x:v>
      </x:c>
      <x:c r="B1253" s="44" t="str">
        <x:v>Canola/Rapeseed</x:v>
      </x:c>
      <x:c r="C1253" s="44" t="str">
        <x:v>BY 7204LL</x:v>
      </x:c>
      <x:c r="D1253" s="66" t="n">
        <x:v>2022</x:v>
      </x:c>
      <x:c r="E1253" s="67"/>
      <x:c r="F1253" s="68"/>
      <x:c r="G1253" s="69" t="str">
        <x:f>IF(COUNT(E1253:F1253)=2,E1253*F1253,"")</x:f>
      </x:c>
    </x:row>
    <x:row r="1254">
      <x:c r="A1254" s="66" t="n">
        <x:v>12</x:v>
      </x:c>
      <x:c r="B1254" s="44" t="str">
        <x:v>Canola/Rapeseed</x:v>
      </x:c>
      <x:c r="C1254" s="44" t="str">
        <x:v>BY 7204LL</x:v>
      </x:c>
      <x:c r="D1254" s="66" t="n">
        <x:v>2023</x:v>
      </x:c>
      <x:c r="E1254" s="67"/>
      <x:c r="F1254" s="68"/>
      <x:c r="G1254" s="69" t="str">
        <x:f>IF(COUNT(E1254:F1254)=2,E1254*F1254,"")</x:f>
      </x:c>
    </x:row>
    <x:row r="1255">
      <x:c r="A1255" s="66" t="n">
        <x:v>12</x:v>
      </x:c>
      <x:c r="B1255" s="44" t="str">
        <x:v>Canola/Rapeseed</x:v>
      </x:c>
      <x:c r="C1255" s="44" t="str">
        <x:v>BY 7204LL</x:v>
      </x:c>
      <x:c r="D1255" s="66" t="n">
        <x:v>2024</x:v>
      </x:c>
      <x:c r="E1255" s="67" t="n">
        <x:v>4259</x:v>
      </x:c>
      <x:c r="F1255" s="68" t="n">
        <x:v>31.1</x:v>
      </x:c>
      <x:c r="G1255" s="69" t="n">
        <x:f>IF(COUNT(E1255:F1255)=2,E1255*F1255,"")</x:f>
        <x:v>132454.9</x:v>
      </x:c>
    </x:row>
    <x:row r="1256">
      <x:c r="A1256" s="66" t="n">
        <x:v>12</x:v>
      </x:c>
      <x:c r="B1256" s="44" t="str">
        <x:v>Canola/Rapeseed</x:v>
      </x:c>
      <x:c r="C1256" s="44" t="str">
        <x:v>BY 7204LL</x:v>
      </x:c>
      <x:c r="D1256" s="66" t="n">
        <x:v>2025</x:v>
      </x:c>
      <x:c r="E1256" s="67" t="n">
        <x:v>5380</x:v>
      </x:c>
      <x:c r="F1256" s="68" t="n">
        <x:v>36.9</x:v>
      </x:c>
      <x:c r="G1256" s="69" t="n">
        <x:f>IF(COUNT(E1256:F1256)=2,E1256*F1256,"")</x:f>
        <x:v>198522</x:v>
      </x:c>
    </x:row>
    <x:row r="1257">
      <x:c r="A1257" s="66" t="n">
        <x:v>12</x:v>
      </x:c>
      <x:c r="B1257" s="44" t="str">
        <x:v>Canola/Rapeseed</x:v>
      </x:c>
      <x:c r="C1257" s="44" t="str">
        <x:v>B3020</x:v>
      </x:c>
      <x:c r="D1257" s="66" t="n">
        <x:v>2021</x:v>
      </x:c>
      <x:c r="E1257" s="67"/>
      <x:c r="F1257" s="68"/>
      <x:c r="G1257" s="69" t="str">
        <x:f>IF(COUNT(E1257:F1257)=2,E1257*F1257,"")</x:f>
      </x:c>
    </x:row>
    <x:row r="1258">
      <x:c r="A1258" s="66" t="n">
        <x:v>12</x:v>
      </x:c>
      <x:c r="B1258" s="44" t="str">
        <x:v>Canola/Rapeseed</x:v>
      </x:c>
      <x:c r="C1258" s="44" t="str">
        <x:v>B3020</x:v>
      </x:c>
      <x:c r="D1258" s="66" t="n">
        <x:v>2022</x:v>
      </x:c>
      <x:c r="E1258" s="67"/>
      <x:c r="F1258" s="68"/>
      <x:c r="G1258" s="69" t="str">
        <x:f>IF(COUNT(E1258:F1258)=2,E1258*F1258,"")</x:f>
      </x:c>
    </x:row>
    <x:row r="1259">
      <x:c r="A1259" s="66" t="n">
        <x:v>12</x:v>
      </x:c>
      <x:c r="B1259" s="44" t="str">
        <x:v>Canola/Rapeseed</x:v>
      </x:c>
      <x:c r="C1259" s="44" t="str">
        <x:v>B3020</x:v>
      </x:c>
      <x:c r="D1259" s="66" t="n">
        <x:v>2023</x:v>
      </x:c>
      <x:c r="E1259" s="67"/>
      <x:c r="F1259" s="68"/>
      <x:c r="G1259" s="69" t="str">
        <x:f>IF(COUNT(E1259:F1259)=2,E1259*F1259,"")</x:f>
      </x:c>
    </x:row>
    <x:row r="1260">
      <x:c r="A1260" s="66" t="n">
        <x:v>12</x:v>
      </x:c>
      <x:c r="B1260" s="44" t="str">
        <x:v>Canola/Rapeseed</x:v>
      </x:c>
      <x:c r="C1260" s="44" t="str">
        <x:v>B3020</x:v>
      </x:c>
      <x:c r="D1260" s="66" t="n">
        <x:v>2024</x:v>
      </x:c>
      <x:c r="E1260" s="67"/>
      <x:c r="F1260" s="68"/>
      <x:c r="G1260" s="69" t="str">
        <x:f>IF(COUNT(E1260:F1260)=2,E1260*F1260,"")</x:f>
      </x:c>
    </x:row>
    <x:row r="1261">
      <x:c r="A1261" s="66" t="n">
        <x:v>12</x:v>
      </x:c>
      <x:c r="B1261" s="44" t="str">
        <x:v>Canola/Rapeseed</x:v>
      </x:c>
      <x:c r="C1261" s="44" t="str">
        <x:v>B3020</x:v>
      </x:c>
      <x:c r="D1261" s="66" t="n">
        <x:v>2025</x:v>
      </x:c>
      <x:c r="E1261" s="67" t="n">
        <x:v>2070</x:v>
      </x:c>
      <x:c r="F1261" s="68" t="n">
        <x:v>31.5</x:v>
      </x:c>
      <x:c r="G1261" s="69" t="n">
        <x:f>IF(COUNT(E1261:F1261)=2,E1261*F1261,"")</x:f>
        <x:v>65205</x:v>
      </x:c>
    </x:row>
    <x:row r="1262">
      <x:c r="A1262" s="66" t="n">
        <x:v>12</x:v>
      </x:c>
      <x:c r="B1262" s="44" t="str">
        <x:v>Canola/Rapeseed</x:v>
      </x:c>
      <x:c r="C1262" s="44" t="str">
        <x:v>B4015</x:v>
      </x:c>
      <x:c r="D1262" s="66" t="n">
        <x:v>2021</x:v>
      </x:c>
      <x:c r="E1262" s="67"/>
      <x:c r="F1262" s="68"/>
      <x:c r="G1262" s="69" t="str">
        <x:f>IF(COUNT(E1262:F1262)=2,E1262*F1262,"")</x:f>
      </x:c>
    </x:row>
    <x:row r="1263">
      <x:c r="A1263" s="66" t="n">
        <x:v>12</x:v>
      </x:c>
      <x:c r="B1263" s="44" t="str">
        <x:v>Canola/Rapeseed</x:v>
      </x:c>
      <x:c r="C1263" s="44" t="str">
        <x:v>B4015</x:v>
      </x:c>
      <x:c r="D1263" s="66" t="n">
        <x:v>2022</x:v>
      </x:c>
      <x:c r="E1263" s="67"/>
      <x:c r="F1263" s="68"/>
      <x:c r="G1263" s="69" t="str">
        <x:f>IF(COUNT(E1263:F1263)=2,E1263*F1263,"")</x:f>
      </x:c>
    </x:row>
    <x:row r="1264">
      <x:c r="A1264" s="66" t="n">
        <x:v>12</x:v>
      </x:c>
      <x:c r="B1264" s="44" t="str">
        <x:v>Canola/Rapeseed</x:v>
      </x:c>
      <x:c r="C1264" s="44" t="str">
        <x:v>B4015</x:v>
      </x:c>
      <x:c r="D1264" s="66" t="n">
        <x:v>2023</x:v>
      </x:c>
      <x:c r="E1264" s="67"/>
      <x:c r="F1264" s="68"/>
      <x:c r="G1264" s="69" t="str">
        <x:f>IF(COUNT(E1264:F1264)=2,E1264*F1264,"")</x:f>
      </x:c>
    </x:row>
    <x:row r="1265">
      <x:c r="A1265" s="66" t="n">
        <x:v>12</x:v>
      </x:c>
      <x:c r="B1265" s="44" t="str">
        <x:v>Canola/Rapeseed</x:v>
      </x:c>
      <x:c r="C1265" s="44" t="str">
        <x:v>B4015</x:v>
      </x:c>
      <x:c r="D1265" s="66" t="n">
        <x:v>2024</x:v>
      </x:c>
      <x:c r="E1265" s="67"/>
      <x:c r="F1265" s="68"/>
      <x:c r="G1265" s="69" t="str">
        <x:f>IF(COUNT(E1265:F1265)=2,E1265*F1265,"")</x:f>
      </x:c>
    </x:row>
    <x:row r="1266">
      <x:c r="A1266" s="66" t="n">
        <x:v>12</x:v>
      </x:c>
      <x:c r="B1266" s="44" t="str">
        <x:v>Canola/Rapeseed</x:v>
      </x:c>
      <x:c r="C1266" s="44" t="str">
        <x:v>B4015</x:v>
      </x:c>
      <x:c r="D1266" s="66" t="n">
        <x:v>2025</x:v>
      </x:c>
      <x:c r="E1266" s="67" t="n">
        <x:v>411</x:v>
      </x:c>
      <x:c r="F1266" s="68" t="n">
        <x:v>34.1</x:v>
      </x:c>
      <x:c r="G1266" s="69" t="n">
        <x:f>IF(COUNT(E1266:F1266)=2,E1266*F1266,"")</x:f>
        <x:v>14015.1</x:v>
      </x:c>
    </x:row>
    <x:row r="1267">
      <x:c r="A1267" s="66" t="n">
        <x:v>12</x:v>
      </x:c>
      <x:c r="B1267" s="44" t="str">
        <x:v>Canola/Rapeseed</x:v>
      </x:c>
      <x:c r="C1267" s="44" t="str">
        <x:v>CS4100 LL</x:v>
      </x:c>
      <x:c r="D1267" s="66" t="n">
        <x:v>2021</x:v>
      </x:c>
      <x:c r="E1267" s="67"/>
      <x:c r="F1267" s="68"/>
      <x:c r="G1267" s="69" t="str">
        <x:f>IF(COUNT(E1267:F1267)=2,E1267*F1267,"")</x:f>
      </x:c>
    </x:row>
    <x:row r="1268">
      <x:c r="A1268" s="66" t="n">
        <x:v>12</x:v>
      </x:c>
      <x:c r="B1268" s="44" t="str">
        <x:v>Canola/Rapeseed</x:v>
      </x:c>
      <x:c r="C1268" s="44" t="str">
        <x:v>CS4100 LL</x:v>
      </x:c>
      <x:c r="D1268" s="66" t="n">
        <x:v>2022</x:v>
      </x:c>
      <x:c r="E1268" s="67"/>
      <x:c r="F1268" s="68"/>
      <x:c r="G1268" s="69" t="str">
        <x:f>IF(COUNT(E1268:F1268)=2,E1268*F1268,"")</x:f>
      </x:c>
    </x:row>
    <x:row r="1269">
      <x:c r="A1269" s="66" t="n">
        <x:v>12</x:v>
      </x:c>
      <x:c r="B1269" s="44" t="str">
        <x:v>Canola/Rapeseed</x:v>
      </x:c>
      <x:c r="C1269" s="44" t="str">
        <x:v>CS4100 LL</x:v>
      </x:c>
      <x:c r="D1269" s="66" t="n">
        <x:v>2023</x:v>
      </x:c>
      <x:c r="E1269" s="67"/>
      <x:c r="F1269" s="68"/>
      <x:c r="G1269" s="69" t="str">
        <x:f>IF(COUNT(E1269:F1269)=2,E1269*F1269,"")</x:f>
      </x:c>
    </x:row>
    <x:row r="1270">
      <x:c r="A1270" s="66" t="n">
        <x:v>12</x:v>
      </x:c>
      <x:c r="B1270" s="44" t="str">
        <x:v>Canola/Rapeseed</x:v>
      </x:c>
      <x:c r="C1270" s="44" t="str">
        <x:v>CS4100 LL</x:v>
      </x:c>
      <x:c r="D1270" s="66" t="n">
        <x:v>2024</x:v>
      </x:c>
      <x:c r="E1270" s="67"/>
      <x:c r="F1270" s="68"/>
      <x:c r="G1270" s="69" t="str">
        <x:f>IF(COUNT(E1270:F1270)=2,E1270*F1270,"")</x:f>
      </x:c>
    </x:row>
    <x:row r="1271">
      <x:c r="A1271" s="66" t="n">
        <x:v>12</x:v>
      </x:c>
      <x:c r="B1271" s="44" t="str">
        <x:v>Canola/Rapeseed</x:v>
      </x:c>
      <x:c r="C1271" s="44" t="str">
        <x:v>CS4100 LL</x:v>
      </x:c>
      <x:c r="D1271" s="66" t="n">
        <x:v>2025</x:v>
      </x:c>
      <x:c r="E1271" s="67" t="n">
        <x:v>576</x:v>
      </x:c>
      <x:c r="F1271" s="68" t="n">
        <x:v>34.4</x:v>
      </x:c>
      <x:c r="G1271" s="69" t="n">
        <x:f>IF(COUNT(E1271:F1271)=2,E1271*F1271,"")</x:f>
        <x:v>19814.399999999998</x:v>
      </x:c>
    </x:row>
    <x:row r="1272">
      <x:c r="A1272" s="66" t="n">
        <x:v>12</x:v>
      </x:c>
      <x:c r="B1272" s="44" t="str">
        <x:v>Canola/Rapeseed</x:v>
      </x:c>
      <x:c r="C1272" s="44" t="str">
        <x:v>DK 801 LL</x:v>
      </x:c>
      <x:c r="D1272" s="66" t="n">
        <x:v>2021</x:v>
      </x:c>
      <x:c r="E1272" s="67"/>
      <x:c r="F1272" s="68"/>
      <x:c r="G1272" s="69" t="str">
        <x:f>IF(COUNT(E1272:F1272)=2,E1272*F1272,"")</x:f>
      </x:c>
    </x:row>
    <x:row r="1273">
      <x:c r="A1273" s="66" t="n">
        <x:v>12</x:v>
      </x:c>
      <x:c r="B1273" s="44" t="str">
        <x:v>Canola/Rapeseed</x:v>
      </x:c>
      <x:c r="C1273" s="44" t="str">
        <x:v>DK 801 LL</x:v>
      </x:c>
      <x:c r="D1273" s="66" t="n">
        <x:v>2022</x:v>
      </x:c>
      <x:c r="E1273" s="67"/>
      <x:c r="F1273" s="68"/>
      <x:c r="G1273" s="69" t="str">
        <x:f>IF(COUNT(E1273:F1273)=2,E1273*F1273,"")</x:f>
      </x:c>
    </x:row>
    <x:row r="1274">
      <x:c r="A1274" s="66" t="n">
        <x:v>12</x:v>
      </x:c>
      <x:c r="B1274" s="44" t="str">
        <x:v>Canola/Rapeseed</x:v>
      </x:c>
      <x:c r="C1274" s="44" t="str">
        <x:v>DK 801 LL</x:v>
      </x:c>
      <x:c r="D1274" s="66" t="n">
        <x:v>2023</x:v>
      </x:c>
      <x:c r="E1274" s="67"/>
      <x:c r="F1274" s="68"/>
      <x:c r="G1274" s="69" t="str">
        <x:f>IF(COUNT(E1274:F1274)=2,E1274*F1274,"")</x:f>
      </x:c>
    </x:row>
    <x:row r="1275">
      <x:c r="A1275" s="66" t="n">
        <x:v>12</x:v>
      </x:c>
      <x:c r="B1275" s="44" t="str">
        <x:v>Canola/Rapeseed</x:v>
      </x:c>
      <x:c r="C1275" s="44" t="str">
        <x:v>DK 801 LL</x:v>
      </x:c>
      <x:c r="D1275" s="66" t="n">
        <x:v>2024</x:v>
      </x:c>
      <x:c r="E1275" s="67"/>
      <x:c r="F1275" s="68"/>
      <x:c r="G1275" s="69" t="str">
        <x:f>IF(COUNT(E1275:F1275)=2,E1275*F1275,"")</x:f>
      </x:c>
    </x:row>
    <x:row r="1276">
      <x:c r="A1276" s="66" t="n">
        <x:v>12</x:v>
      </x:c>
      <x:c r="B1276" s="44" t="str">
        <x:v>Canola/Rapeseed</x:v>
      </x:c>
      <x:c r="C1276" s="44" t="str">
        <x:v>DK 801 LL</x:v>
      </x:c>
      <x:c r="D1276" s="66" t="n">
        <x:v>2025</x:v>
      </x:c>
      <x:c r="E1276" s="67" t="n">
        <x:v>7503</x:v>
      </x:c>
      <x:c r="F1276" s="68" t="n">
        <x:v>30.9</x:v>
      </x:c>
      <x:c r="G1276" s="69" t="n">
        <x:f>IF(COUNT(E1276:F1276)=2,E1276*F1276,"")</x:f>
        <x:v>231842.69999999998</x:v>
      </x:c>
    </x:row>
    <x:row r="1277">
      <x:c r="A1277" s="66" t="n">
        <x:v>12</x:v>
      </x:c>
      <x:c r="B1277" s="44" t="str">
        <x:v>Canola/Rapeseed</x:v>
      </x:c>
      <x:c r="C1277" s="44" t="str">
        <x:v>DKTFLL 21 SC</x:v>
      </x:c>
      <x:c r="D1277" s="66" t="n">
        <x:v>2021</x:v>
      </x:c>
      <x:c r="E1277" s="67"/>
      <x:c r="F1277" s="68"/>
      <x:c r="G1277" s="69" t="str">
        <x:f>IF(COUNT(E1277:F1277)=2,E1277*F1277,"")</x:f>
      </x:c>
    </x:row>
    <x:row r="1278">
      <x:c r="A1278" s="66" t="n">
        <x:v>12</x:v>
      </x:c>
      <x:c r="B1278" s="44" t="str">
        <x:v>Canola/Rapeseed</x:v>
      </x:c>
      <x:c r="C1278" s="44" t="str">
        <x:v>DKTFLL 21 SC</x:v>
      </x:c>
      <x:c r="D1278" s="66" t="n">
        <x:v>2022</x:v>
      </x:c>
      <x:c r="E1278" s="67" t="n">
        <x:v>650</x:v>
      </x:c>
      <x:c r="F1278" s="68" t="n">
        <x:v>25.6</x:v>
      </x:c>
      <x:c r="G1278" s="69" t="n">
        <x:f>IF(COUNT(E1278:F1278)=2,E1278*F1278,"")</x:f>
        <x:v>16640</x:v>
      </x:c>
    </x:row>
    <x:row r="1279">
      <x:c r="A1279" s="66" t="n">
        <x:v>12</x:v>
      </x:c>
      <x:c r="B1279" s="44" t="str">
        <x:v>Canola/Rapeseed</x:v>
      </x:c>
      <x:c r="C1279" s="44" t="str">
        <x:v>DKTFLL 21 SC</x:v>
      </x:c>
      <x:c r="D1279" s="66" t="n">
        <x:v>2023</x:v>
      </x:c>
      <x:c r="E1279" s="67" t="n">
        <x:v>2127</x:v>
      </x:c>
      <x:c r="F1279" s="68" t="n">
        <x:v>23.2</x:v>
      </x:c>
      <x:c r="G1279" s="69" t="n">
        <x:f>IF(COUNT(E1279:F1279)=2,E1279*F1279,"")</x:f>
        <x:v>49346.4</x:v>
      </x:c>
    </x:row>
    <x:row r="1280">
      <x:c r="A1280" s="66" t="n">
        <x:v>12</x:v>
      </x:c>
      <x:c r="B1280" s="44" t="str">
        <x:v>Canola/Rapeseed</x:v>
      </x:c>
      <x:c r="C1280" s="44" t="str">
        <x:v>DKTFLL 21 SC</x:v>
      </x:c>
      <x:c r="D1280" s="66" t="n">
        <x:v>2024</x:v>
      </x:c>
      <x:c r="E1280" s="67" t="n">
        <x:v>5045</x:v>
      </x:c>
      <x:c r="F1280" s="68" t="n">
        <x:v>23.7</x:v>
      </x:c>
      <x:c r="G1280" s="69" t="n">
        <x:f>IF(COUNT(E1280:F1280)=2,E1280*F1280,"")</x:f>
        <x:v>119566.5</x:v>
      </x:c>
    </x:row>
    <x:row r="1281">
      <x:c r="A1281" s="66" t="n">
        <x:v>12</x:v>
      </x:c>
      <x:c r="B1281" s="44" t="str">
        <x:v>Canola/Rapeseed</x:v>
      </x:c>
      <x:c r="C1281" s="44" t="str">
        <x:v>DKTFLL 21 SC</x:v>
      </x:c>
      <x:c r="D1281" s="66" t="n">
        <x:v>2025</x:v>
      </x:c>
      <x:c r="E1281" s="67" t="n">
        <x:v>2132</x:v>
      </x:c>
      <x:c r="F1281" s="68" t="n">
        <x:v>27</x:v>
      </x:c>
      <x:c r="G1281" s="69" t="n">
        <x:f>IF(COUNT(E1281:F1281)=2,E1281*F1281,"")</x:f>
        <x:v>57564</x:v>
      </x:c>
    </x:row>
    <x:row r="1282">
      <x:c r="A1282" s="66" t="n">
        <x:v>12</x:v>
      </x:c>
      <x:c r="B1282" s="44" t="str">
        <x:v>Canola/Rapeseed</x:v>
      </x:c>
      <x:c r="C1282" s="44" t="str">
        <x:v>DK400TL</x:v>
      </x:c>
      <x:c r="D1282" s="66" t="n">
        <x:v>2021</x:v>
      </x:c>
      <x:c r="E1282" s="67"/>
      <x:c r="F1282" s="68"/>
      <x:c r="G1282" s="69" t="str">
        <x:f>IF(COUNT(E1282:F1282)=2,E1282*F1282,"")</x:f>
      </x:c>
    </x:row>
    <x:row r="1283">
      <x:c r="A1283" s="66" t="n">
        <x:v>12</x:v>
      </x:c>
      <x:c r="B1283" s="44" t="str">
        <x:v>Canola/Rapeseed</x:v>
      </x:c>
      <x:c r="C1283" s="44" t="str">
        <x:v>DK400TL</x:v>
      </x:c>
      <x:c r="D1283" s="66" t="n">
        <x:v>2022</x:v>
      </x:c>
      <x:c r="E1283" s="67"/>
      <x:c r="F1283" s="68"/>
      <x:c r="G1283" s="69" t="str">
        <x:f>IF(COUNT(E1283:F1283)=2,E1283*F1283,"")</x:f>
      </x:c>
    </x:row>
    <x:row r="1284">
      <x:c r="A1284" s="66" t="n">
        <x:v>12</x:v>
      </x:c>
      <x:c r="B1284" s="44" t="str">
        <x:v>Canola/Rapeseed</x:v>
      </x:c>
      <x:c r="C1284" s="44" t="str">
        <x:v>DK400TL</x:v>
      </x:c>
      <x:c r="D1284" s="66" t="n">
        <x:v>2023</x:v>
      </x:c>
      <x:c r="E1284" s="67"/>
      <x:c r="F1284" s="68"/>
      <x:c r="G1284" s="69" t="str">
        <x:f>IF(COUNT(E1284:F1284)=2,E1284*F1284,"")</x:f>
      </x:c>
    </x:row>
    <x:row r="1285">
      <x:c r="A1285" s="66" t="n">
        <x:v>12</x:v>
      </x:c>
      <x:c r="B1285" s="44" t="str">
        <x:v>Canola/Rapeseed</x:v>
      </x:c>
      <x:c r="C1285" s="44" t="str">
        <x:v>DK400TL</x:v>
      </x:c>
      <x:c r="D1285" s="66" t="n">
        <x:v>2024</x:v>
      </x:c>
      <x:c r="E1285" s="67" t="n">
        <x:v>7698</x:v>
      </x:c>
      <x:c r="F1285" s="68" t="n">
        <x:v>28.2</x:v>
      </x:c>
      <x:c r="G1285" s="69" t="n">
        <x:f>IF(COUNT(E1285:F1285)=2,E1285*F1285,"")</x:f>
        <x:v>217083.6</x:v>
      </x:c>
    </x:row>
    <x:row r="1286">
      <x:c r="A1286" s="66" t="n">
        <x:v>12</x:v>
      </x:c>
      <x:c r="B1286" s="44" t="str">
        <x:v>Canola/Rapeseed</x:v>
      </x:c>
      <x:c r="C1286" s="44" t="str">
        <x:v>DK400TL</x:v>
      </x:c>
      <x:c r="D1286" s="66" t="n">
        <x:v>2025</x:v>
      </x:c>
      <x:c r="E1286" s="67" t="n">
        <x:v>1585</x:v>
      </x:c>
      <x:c r="F1286" s="68" t="n">
        <x:v>34.3</x:v>
      </x:c>
      <x:c r="G1286" s="69" t="n">
        <x:f>IF(COUNT(E1286:F1286)=2,E1286*F1286,"")</x:f>
        <x:v>54365.49999999999</x:v>
      </x:c>
    </x:row>
    <x:row r="1287">
      <x:c r="A1287" s="66" t="n">
        <x:v>12</x:v>
      </x:c>
      <x:c r="B1287" s="44" t="str">
        <x:v>Canola/Rapeseed</x:v>
      </x:c>
      <x:c r="C1287" s="44" t="str">
        <x:v>DK401TK</x:v>
      </x:c>
      <x:c r="D1287" s="66" t="n">
        <x:v>2021</x:v>
      </x:c>
      <x:c r="E1287" s="67"/>
      <x:c r="F1287" s="68"/>
      <x:c r="G1287" s="69" t="str">
        <x:f>IF(COUNT(E1287:F1287)=2,E1287*F1287,"")</x:f>
      </x:c>
    </x:row>
    <x:row r="1288">
      <x:c r="A1288" s="66" t="n">
        <x:v>12</x:v>
      </x:c>
      <x:c r="B1288" s="44" t="str">
        <x:v>Canola/Rapeseed</x:v>
      </x:c>
      <x:c r="C1288" s="44" t="str">
        <x:v>DK401TK</x:v>
      </x:c>
      <x:c r="D1288" s="66" t="n">
        <x:v>2022</x:v>
      </x:c>
      <x:c r="E1288" s="67"/>
      <x:c r="F1288" s="68"/>
      <x:c r="G1288" s="69" t="str">
        <x:f>IF(COUNT(E1288:F1288)=2,E1288*F1288,"")</x:f>
      </x:c>
    </x:row>
    <x:row r="1289">
      <x:c r="A1289" s="66" t="n">
        <x:v>12</x:v>
      </x:c>
      <x:c r="B1289" s="44" t="str">
        <x:v>Canola/Rapeseed</x:v>
      </x:c>
      <x:c r="C1289" s="44" t="str">
        <x:v>DK401TK</x:v>
      </x:c>
      <x:c r="D1289" s="66" t="n">
        <x:v>2023</x:v>
      </x:c>
      <x:c r="E1289" s="67"/>
      <x:c r="F1289" s="68"/>
      <x:c r="G1289" s="69" t="str">
        <x:f>IF(COUNT(E1289:F1289)=2,E1289*F1289,"")</x:f>
      </x:c>
    </x:row>
    <x:row r="1290">
      <x:c r="A1290" s="66" t="n">
        <x:v>12</x:v>
      </x:c>
      <x:c r="B1290" s="44" t="str">
        <x:v>Canola/Rapeseed</x:v>
      </x:c>
      <x:c r="C1290" s="44" t="str">
        <x:v>DK401TK</x:v>
      </x:c>
      <x:c r="D1290" s="66" t="n">
        <x:v>2024</x:v>
      </x:c>
      <x:c r="E1290" s="67"/>
      <x:c r="F1290" s="68"/>
      <x:c r="G1290" s="69" t="str">
        <x:f>IF(COUNT(E1290:F1290)=2,E1290*F1290,"")</x:f>
      </x:c>
    </x:row>
    <x:row r="1291">
      <x:c r="A1291" s="66" t="n">
        <x:v>12</x:v>
      </x:c>
      <x:c r="B1291" s="44" t="str">
        <x:v>Canola/Rapeseed</x:v>
      </x:c>
      <x:c r="C1291" s="44" t="str">
        <x:v>DK401TK</x:v>
      </x:c>
      <x:c r="D1291" s="66" t="n">
        <x:v>2025</x:v>
      </x:c>
      <x:c r="E1291" s="67" t="n">
        <x:v>1006</x:v>
      </x:c>
      <x:c r="F1291" s="68" t="n">
        <x:v>30.3</x:v>
      </x:c>
      <x:c r="G1291" s="69" t="n">
        <x:f>IF(COUNT(E1291:F1291)=2,E1291*F1291,"")</x:f>
        <x:v>30481.8</x:v>
      </x:c>
    </x:row>
    <x:row r="1292">
      <x:c r="A1292" s="66" t="n">
        <x:v>12</x:v>
      </x:c>
      <x:c r="B1292" s="44" t="str">
        <x:v>Canola/Rapeseed</x:v>
      </x:c>
      <x:c r="C1292" s="44" t="str">
        <x:v>DK401TL</x:v>
      </x:c>
      <x:c r="D1292" s="66" t="n">
        <x:v>2021</x:v>
      </x:c>
      <x:c r="E1292" s="67"/>
      <x:c r="F1292" s="68"/>
      <x:c r="G1292" s="69" t="str">
        <x:f>IF(COUNT(E1292:F1292)=2,E1292*F1292,"")</x:f>
      </x:c>
    </x:row>
    <x:row r="1293">
      <x:c r="A1293" s="66" t="n">
        <x:v>12</x:v>
      </x:c>
      <x:c r="B1293" s="44" t="str">
        <x:v>Canola/Rapeseed</x:v>
      </x:c>
      <x:c r="C1293" s="44" t="str">
        <x:v>DK401TL</x:v>
      </x:c>
      <x:c r="D1293" s="66" t="n">
        <x:v>2022</x:v>
      </x:c>
      <x:c r="E1293" s="67"/>
      <x:c r="F1293" s="68"/>
      <x:c r="G1293" s="69" t="str">
        <x:f>IF(COUNT(E1293:F1293)=2,E1293*F1293,"")</x:f>
      </x:c>
    </x:row>
    <x:row r="1294">
      <x:c r="A1294" s="66" t="n">
        <x:v>12</x:v>
      </x:c>
      <x:c r="B1294" s="44" t="str">
        <x:v>Canola/Rapeseed</x:v>
      </x:c>
      <x:c r="C1294" s="44" t="str">
        <x:v>DK401TL</x:v>
      </x:c>
      <x:c r="D1294" s="66" t="n">
        <x:v>2023</x:v>
      </x:c>
      <x:c r="E1294" s="67"/>
      <x:c r="F1294" s="68"/>
      <x:c r="G1294" s="69" t="str">
        <x:f>IF(COUNT(E1294:F1294)=2,E1294*F1294,"")</x:f>
      </x:c>
    </x:row>
    <x:row r="1295">
      <x:c r="A1295" s="66" t="n">
        <x:v>12</x:v>
      </x:c>
      <x:c r="B1295" s="44" t="str">
        <x:v>Canola/Rapeseed</x:v>
      </x:c>
      <x:c r="C1295" s="44" t="str">
        <x:v>DK401TL</x:v>
      </x:c>
      <x:c r="D1295" s="66" t="n">
        <x:v>2024</x:v>
      </x:c>
      <x:c r="E1295" s="67"/>
      <x:c r="F1295" s="68"/>
      <x:c r="G1295" s="69" t="str">
        <x:f>IF(COUNT(E1295:F1295)=2,E1295*F1295,"")</x:f>
      </x:c>
    </x:row>
    <x:row r="1296">
      <x:c r="A1296" s="66" t="n">
        <x:v>12</x:v>
      </x:c>
      <x:c r="B1296" s="44" t="str">
        <x:v>Canola/Rapeseed</x:v>
      </x:c>
      <x:c r="C1296" s="44" t="str">
        <x:v>DK401TL</x:v>
      </x:c>
      <x:c r="D1296" s="66" t="n">
        <x:v>2025</x:v>
      </x:c>
      <x:c r="E1296" s="67" t="n">
        <x:v>2107</x:v>
      </x:c>
      <x:c r="F1296" s="68" t="n">
        <x:v>33.4</x:v>
      </x:c>
      <x:c r="G1296" s="69" t="n">
        <x:f>IF(COUNT(E1296:F1296)=2,E1296*F1296,"")</x:f>
        <x:v>70373.8</x:v>
      </x:c>
    </x:row>
    <x:row r="1297">
      <x:c r="A1297" s="66" t="n">
        <x:v>12</x:v>
      </x:c>
      <x:c r="B1297" s="44" t="str">
        <x:v>Canola/Rapeseed</x:v>
      </x:c>
      <x:c r="C1297" s="44" t="str">
        <x:v>DK800LL</x:v>
      </x:c>
      <x:c r="D1297" s="66" t="n">
        <x:v>2021</x:v>
      </x:c>
      <x:c r="E1297" s="67"/>
      <x:c r="F1297" s="68"/>
      <x:c r="G1297" s="69" t="str">
        <x:f>IF(COUNT(E1297:F1297)=2,E1297*F1297,"")</x:f>
      </x:c>
    </x:row>
    <x:row r="1298">
      <x:c r="A1298" s="66" t="n">
        <x:v>12</x:v>
      </x:c>
      <x:c r="B1298" s="44" t="str">
        <x:v>Canola/Rapeseed</x:v>
      </x:c>
      <x:c r="C1298" s="44" t="str">
        <x:v>DK800LL</x:v>
      </x:c>
      <x:c r="D1298" s="66" t="n">
        <x:v>2022</x:v>
      </x:c>
      <x:c r="E1298" s="67"/>
      <x:c r="F1298" s="68"/>
      <x:c r="G1298" s="69" t="str">
        <x:f>IF(COUNT(E1298:F1298)=2,E1298*F1298,"")</x:f>
      </x:c>
    </x:row>
    <x:row r="1299">
      <x:c r="A1299" s="66" t="n">
        <x:v>12</x:v>
      </x:c>
      <x:c r="B1299" s="44" t="str">
        <x:v>Canola/Rapeseed</x:v>
      </x:c>
      <x:c r="C1299" s="44" t="str">
        <x:v>DK800LL</x:v>
      </x:c>
      <x:c r="D1299" s="66" t="n">
        <x:v>2023</x:v>
      </x:c>
      <x:c r="E1299" s="67"/>
      <x:c r="F1299" s="68"/>
      <x:c r="G1299" s="69" t="str">
        <x:f>IF(COUNT(E1299:F1299)=2,E1299*F1299,"")</x:f>
      </x:c>
    </x:row>
    <x:row r="1300">
      <x:c r="A1300" s="66" t="n">
        <x:v>12</x:v>
      </x:c>
      <x:c r="B1300" s="44" t="str">
        <x:v>Canola/Rapeseed</x:v>
      </x:c>
      <x:c r="C1300" s="44" t="str">
        <x:v>DK800LL</x:v>
      </x:c>
      <x:c r="D1300" s="66" t="n">
        <x:v>2024</x:v>
      </x:c>
      <x:c r="E1300" s="67" t="n">
        <x:v>3094</x:v>
      </x:c>
      <x:c r="F1300" s="68" t="n">
        <x:v>24.2</x:v>
      </x:c>
      <x:c r="G1300" s="69" t="n">
        <x:f>IF(COUNT(E1300:F1300)=2,E1300*F1300,"")</x:f>
        <x:v>74874.8</x:v>
      </x:c>
    </x:row>
    <x:row r="1301">
      <x:c r="A1301" s="66" t="n">
        <x:v>12</x:v>
      </x:c>
      <x:c r="B1301" s="44" t="str">
        <x:v>Canola/Rapeseed</x:v>
      </x:c>
      <x:c r="C1301" s="44" t="str">
        <x:v>DK800LL</x:v>
      </x:c>
      <x:c r="D1301" s="66" t="n">
        <x:v>2025</x:v>
      </x:c>
      <x:c r="E1301" s="67" t="n">
        <x:v>1778</x:v>
      </x:c>
      <x:c r="F1301" s="68" t="n">
        <x:v>26.3</x:v>
      </x:c>
      <x:c r="G1301" s="69" t="n">
        <x:f>IF(COUNT(E1301:F1301)=2,E1301*F1301,"")</x:f>
        <x:v>46761.4</x:v>
      </x:c>
    </x:row>
    <x:row r="1302">
      <x:c r="A1302" s="66" t="n">
        <x:v>12</x:v>
      </x:c>
      <x:c r="B1302" s="44" t="str">
        <x:v>Canola/Rapeseed</x:v>
      </x:c>
      <x:c r="C1302" s="44" t="str">
        <x:v>DK801LL</x:v>
      </x:c>
      <x:c r="D1302" s="66" t="n">
        <x:v>2021</x:v>
      </x:c>
      <x:c r="E1302" s="67"/>
      <x:c r="F1302" s="68"/>
      <x:c r="G1302" s="69" t="str">
        <x:f>IF(COUNT(E1302:F1302)=2,E1302*F1302,"")</x:f>
      </x:c>
    </x:row>
    <x:row r="1303">
      <x:c r="A1303" s="66" t="n">
        <x:v>12</x:v>
      </x:c>
      <x:c r="B1303" s="44" t="str">
        <x:v>Canola/Rapeseed</x:v>
      </x:c>
      <x:c r="C1303" s="44" t="str">
        <x:v>DK801LL</x:v>
      </x:c>
      <x:c r="D1303" s="66" t="n">
        <x:v>2022</x:v>
      </x:c>
      <x:c r="E1303" s="67"/>
      <x:c r="F1303" s="68"/>
      <x:c r="G1303" s="69" t="str">
        <x:f>IF(COUNT(E1303:F1303)=2,E1303*F1303,"")</x:f>
      </x:c>
    </x:row>
    <x:row r="1304">
      <x:c r="A1304" s="66" t="n">
        <x:v>12</x:v>
      </x:c>
      <x:c r="B1304" s="44" t="str">
        <x:v>Canola/Rapeseed</x:v>
      </x:c>
      <x:c r="C1304" s="44" t="str">
        <x:v>DK801LL</x:v>
      </x:c>
      <x:c r="D1304" s="66" t="n">
        <x:v>2023</x:v>
      </x:c>
      <x:c r="E1304" s="67"/>
      <x:c r="F1304" s="68"/>
      <x:c r="G1304" s="69" t="str">
        <x:f>IF(COUNT(E1304:F1304)=2,E1304*F1304,"")</x:f>
      </x:c>
    </x:row>
    <x:row r="1305">
      <x:c r="A1305" s="66" t="n">
        <x:v>12</x:v>
      </x:c>
      <x:c r="B1305" s="44" t="str">
        <x:v>Canola/Rapeseed</x:v>
      </x:c>
      <x:c r="C1305" s="44" t="str">
        <x:v>DK801LL</x:v>
      </x:c>
      <x:c r="D1305" s="66" t="n">
        <x:v>2024</x:v>
      </x:c>
      <x:c r="E1305" s="67"/>
      <x:c r="F1305" s="68"/>
      <x:c r="G1305" s="69" t="str">
        <x:f>IF(COUNT(E1305:F1305)=2,E1305*F1305,"")</x:f>
      </x:c>
    </x:row>
    <x:row r="1306">
      <x:c r="A1306" s="66" t="n">
        <x:v>12</x:v>
      </x:c>
      <x:c r="B1306" s="44" t="str">
        <x:v>Canola/Rapeseed</x:v>
      </x:c>
      <x:c r="C1306" s="44" t="str">
        <x:v>DK801LL</x:v>
      </x:c>
      <x:c r="D1306" s="66" t="n">
        <x:v>2025</x:v>
      </x:c>
      <x:c r="E1306" s="67" t="n">
        <x:v>568</x:v>
      </x:c>
      <x:c r="F1306" s="68" t="n">
        <x:v>38.8</x:v>
      </x:c>
      <x:c r="G1306" s="69" t="n">
        <x:f>IF(COUNT(E1306:F1306)=2,E1306*F1306,"")</x:f>
        <x:v>22038.399999999998</x:v>
      </x:c>
    </x:row>
    <x:row r="1307">
      <x:c r="A1307" s="66" t="n">
        <x:v>12</x:v>
      </x:c>
      <x:c r="B1307" s="44" t="str">
        <x:v>Canola/Rapeseed</x:v>
      </x:c>
      <x:c r="C1307" s="44" t="str">
        <x:v>L233P</x:v>
      </x:c>
      <x:c r="D1307" s="66" t="n">
        <x:v>2021</x:v>
      </x:c>
      <x:c r="E1307" s="67" t="n">
        <x:v>123898</x:v>
      </x:c>
      <x:c r="F1307" s="68" t="n">
        <x:v>15.7</x:v>
      </x:c>
      <x:c r="G1307" s="69" t="n">
        <x:f>IF(COUNT(E1307:F1307)=2,E1307*F1307,"")</x:f>
        <x:v>1945198.5999999999</x:v>
      </x:c>
    </x:row>
    <x:row r="1308">
      <x:c r="A1308" s="66" t="n">
        <x:v>12</x:v>
      </x:c>
      <x:c r="B1308" s="44" t="str">
        <x:v>Canola/Rapeseed</x:v>
      </x:c>
      <x:c r="C1308" s="44" t="str">
        <x:v>L233P</x:v>
      </x:c>
      <x:c r="D1308" s="66" t="n">
        <x:v>2022</x:v>
      </x:c>
      <x:c r="E1308" s="67" t="n">
        <x:v>114241</x:v>
      </x:c>
      <x:c r="F1308" s="68" t="n">
        <x:v>26.5</x:v>
      </x:c>
      <x:c r="G1308" s="69" t="n">
        <x:f>IF(COUNT(E1308:F1308)=2,E1308*F1308,"")</x:f>
        <x:v>3027386.5</x:v>
      </x:c>
    </x:row>
    <x:row r="1309">
      <x:c r="A1309" s="66" t="n">
        <x:v>12</x:v>
      </x:c>
      <x:c r="B1309" s="44" t="str">
        <x:v>Canola/Rapeseed</x:v>
      </x:c>
      <x:c r="C1309" s="44" t="str">
        <x:v>L233P</x:v>
      </x:c>
      <x:c r="D1309" s="66" t="n">
        <x:v>2023</x:v>
      </x:c>
      <x:c r="E1309" s="67" t="n">
        <x:v>88286</x:v>
      </x:c>
      <x:c r="F1309" s="68" t="n">
        <x:v>21.9</x:v>
      </x:c>
      <x:c r="G1309" s="69" t="n">
        <x:f>IF(COUNT(E1309:F1309)=2,E1309*F1309,"")</x:f>
        <x:v>1933463.4</x:v>
      </x:c>
    </x:row>
    <x:row r="1310">
      <x:c r="A1310" s="66" t="n">
        <x:v>12</x:v>
      </x:c>
      <x:c r="B1310" s="44" t="str">
        <x:v>Canola/Rapeseed</x:v>
      </x:c>
      <x:c r="C1310" s="44" t="str">
        <x:v>L233P</x:v>
      </x:c>
      <x:c r="D1310" s="66" t="n">
        <x:v>2024</x:v>
      </x:c>
      <x:c r="E1310" s="67" t="n">
        <x:v>52388</x:v>
      </x:c>
      <x:c r="F1310" s="68" t="n">
        <x:v>30.3</x:v>
      </x:c>
      <x:c r="G1310" s="69" t="n">
        <x:f>IF(COUNT(E1310:F1310)=2,E1310*F1310,"")</x:f>
        <x:v>1587356.4000000001</x:v>
      </x:c>
    </x:row>
    <x:row r="1311">
      <x:c r="A1311" s="66" t="n">
        <x:v>12</x:v>
      </x:c>
      <x:c r="B1311" s="44" t="str">
        <x:v>Canola/Rapeseed</x:v>
      </x:c>
      <x:c r="C1311" s="44" t="str">
        <x:v>L233P</x:v>
      </x:c>
      <x:c r="D1311" s="66" t="n">
        <x:v>2025</x:v>
      </x:c>
      <x:c r="E1311" s="67" t="n">
        <x:v>12296</x:v>
      </x:c>
      <x:c r="F1311" s="68" t="n">
        <x:v>35.4</x:v>
      </x:c>
      <x:c r="G1311" s="69" t="n">
        <x:f>IF(COUNT(E1311:F1311)=2,E1311*F1311,"")</x:f>
        <x:v>435278.39999999997</x:v>
      </x:c>
    </x:row>
    <x:row r="1312">
      <x:c r="A1312" s="66" t="n">
        <x:v>12</x:v>
      </x:c>
      <x:c r="B1312" s="44" t="str">
        <x:v>Canola/Rapeseed</x:v>
      </x:c>
      <x:c r="C1312" s="44" t="str">
        <x:v>L330PC</x:v>
      </x:c>
      <x:c r="D1312" s="66" t="n">
        <x:v>2021</x:v>
      </x:c>
      <x:c r="E1312" s="67"/>
      <x:c r="F1312" s="68"/>
      <x:c r="G1312" s="69" t="str">
        <x:f>IF(COUNT(E1312:F1312)=2,E1312*F1312,"")</x:f>
      </x:c>
    </x:row>
    <x:row r="1313">
      <x:c r="A1313" s="66" t="n">
        <x:v>12</x:v>
      </x:c>
      <x:c r="B1313" s="44" t="str">
        <x:v>Canola/Rapeseed</x:v>
      </x:c>
      <x:c r="C1313" s="44" t="str">
        <x:v>L330PC</x:v>
      </x:c>
      <x:c r="D1313" s="66" t="n">
        <x:v>2022</x:v>
      </x:c>
      <x:c r="E1313" s="67"/>
      <x:c r="F1313" s="68"/>
      <x:c r="G1313" s="69" t="str">
        <x:f>IF(COUNT(E1313:F1313)=2,E1313*F1313,"")</x:f>
      </x:c>
    </x:row>
    <x:row r="1314">
      <x:c r="A1314" s="66" t="n">
        <x:v>12</x:v>
      </x:c>
      <x:c r="B1314" s="44" t="str">
        <x:v>Canola/Rapeseed</x:v>
      </x:c>
      <x:c r="C1314" s="44" t="str">
        <x:v>L330PC</x:v>
      </x:c>
      <x:c r="D1314" s="66" t="n">
        <x:v>2023</x:v>
      </x:c>
      <x:c r="E1314" s="67"/>
      <x:c r="F1314" s="68"/>
      <x:c r="G1314" s="69" t="str">
        <x:f>IF(COUNT(E1314:F1314)=2,E1314*F1314,"")</x:f>
      </x:c>
    </x:row>
    <x:row r="1315">
      <x:c r="A1315" s="66" t="n">
        <x:v>12</x:v>
      </x:c>
      <x:c r="B1315" s="44" t="str">
        <x:v>Canola/Rapeseed</x:v>
      </x:c>
      <x:c r="C1315" s="44" t="str">
        <x:v>L330PC</x:v>
      </x:c>
      <x:c r="D1315" s="66" t="n">
        <x:v>2024</x:v>
      </x:c>
      <x:c r="E1315" s="67"/>
      <x:c r="F1315" s="68"/>
      <x:c r="G1315" s="69" t="str">
        <x:f>IF(COUNT(E1315:F1315)=2,E1315*F1315,"")</x:f>
      </x:c>
    </x:row>
    <x:row r="1316">
      <x:c r="A1316" s="66" t="n">
        <x:v>12</x:v>
      </x:c>
      <x:c r="B1316" s="44" t="str">
        <x:v>Canola/Rapeseed</x:v>
      </x:c>
      <x:c r="C1316" s="44" t="str">
        <x:v>L330PC</x:v>
      </x:c>
      <x:c r="D1316" s="66" t="n">
        <x:v>2025</x:v>
      </x:c>
      <x:c r="E1316" s="67" t="n">
        <x:v>5902</x:v>
      </x:c>
      <x:c r="F1316" s="68" t="n">
        <x:v>40.5</x:v>
      </x:c>
      <x:c r="G1316" s="69" t="n">
        <x:f>IF(COUNT(E1316:F1316)=2,E1316*F1316,"")</x:f>
        <x:v>239031</x:v>
      </x:c>
    </x:row>
    <x:row r="1317">
      <x:c r="A1317" s="66" t="n">
        <x:v>12</x:v>
      </x:c>
      <x:c r="B1317" s="44" t="str">
        <x:v>Canola/Rapeseed</x:v>
      </x:c>
      <x:c r="C1317" s="44" t="str">
        <x:v>L333PC</x:v>
      </x:c>
      <x:c r="D1317" s="66" t="n">
        <x:v>2021</x:v>
      </x:c>
      <x:c r="E1317" s="67"/>
      <x:c r="F1317" s="68"/>
      <x:c r="G1317" s="69" t="str">
        <x:f>IF(COUNT(E1317:F1317)=2,E1317*F1317,"")</x:f>
      </x:c>
    </x:row>
    <x:row r="1318">
      <x:c r="A1318" s="66" t="n">
        <x:v>12</x:v>
      </x:c>
      <x:c r="B1318" s="44" t="str">
        <x:v>Canola/Rapeseed</x:v>
      </x:c>
      <x:c r="C1318" s="44" t="str">
        <x:v>L333PC</x:v>
      </x:c>
      <x:c r="D1318" s="66" t="n">
        <x:v>2022</x:v>
      </x:c>
      <x:c r="E1318" s="67"/>
      <x:c r="F1318" s="68"/>
      <x:c r="G1318" s="69" t="str">
        <x:f>IF(COUNT(E1318:F1318)=2,E1318*F1318,"")</x:f>
      </x:c>
    </x:row>
    <x:row r="1319">
      <x:c r="A1319" s="66" t="n">
        <x:v>12</x:v>
      </x:c>
      <x:c r="B1319" s="44" t="str">
        <x:v>Canola/Rapeseed</x:v>
      </x:c>
      <x:c r="C1319" s="44" t="str">
        <x:v>L333PC</x:v>
      </x:c>
      <x:c r="D1319" s="66" t="n">
        <x:v>2023</x:v>
      </x:c>
      <x:c r="E1319" s="67"/>
      <x:c r="F1319" s="68"/>
      <x:c r="G1319" s="69" t="str">
        <x:f>IF(COUNT(E1319:F1319)=2,E1319*F1319,"")</x:f>
      </x:c>
    </x:row>
    <x:row r="1320">
      <x:c r="A1320" s="66" t="n">
        <x:v>12</x:v>
      </x:c>
      <x:c r="B1320" s="44" t="str">
        <x:v>Canola/Rapeseed</x:v>
      </x:c>
      <x:c r="C1320" s="44" t="str">
        <x:v>L333PC</x:v>
      </x:c>
      <x:c r="D1320" s="66" t="n">
        <x:v>2024</x:v>
      </x:c>
      <x:c r="E1320" s="67"/>
      <x:c r="F1320" s="68"/>
      <x:c r="G1320" s="69" t="str">
        <x:f>IF(COUNT(E1320:F1320)=2,E1320*F1320,"")</x:f>
      </x:c>
    </x:row>
    <x:row r="1321">
      <x:c r="A1321" s="66" t="n">
        <x:v>12</x:v>
      </x:c>
      <x:c r="B1321" s="44" t="str">
        <x:v>Canola/Rapeseed</x:v>
      </x:c>
      <x:c r="C1321" s="44" t="str">
        <x:v>L333PC</x:v>
      </x:c>
      <x:c r="D1321" s="66" t="n">
        <x:v>2025</x:v>
      </x:c>
      <x:c r="E1321" s="67" t="n">
        <x:v>4281</x:v>
      </x:c>
      <x:c r="F1321" s="68" t="n">
        <x:v>41</x:v>
      </x:c>
      <x:c r="G1321" s="69" t="n">
        <x:f>IF(COUNT(E1321:F1321)=2,E1321*F1321,"")</x:f>
        <x:v>175521</x:v>
      </x:c>
    </x:row>
    <x:row r="1322">
      <x:c r="A1322" s="66" t="n">
        <x:v>12</x:v>
      </x:c>
      <x:c r="B1322" s="44" t="str">
        <x:v>Canola/Rapeseed</x:v>
      </x:c>
      <x:c r="C1322" s="44" t="str">
        <x:v>L340PC</x:v>
      </x:c>
      <x:c r="D1322" s="66" t="n">
        <x:v>2021</x:v>
      </x:c>
      <x:c r="E1322" s="67" t="n">
        <x:v>9166</x:v>
      </x:c>
      <x:c r="F1322" s="68" t="n">
        <x:v>16.3</x:v>
      </x:c>
      <x:c r="G1322" s="69" t="n">
        <x:f>IF(COUNT(E1322:F1322)=2,E1322*F1322,"")</x:f>
        <x:v>149405.80000000002</x:v>
      </x:c>
    </x:row>
    <x:row r="1323">
      <x:c r="A1323" s="66" t="n">
        <x:v>12</x:v>
      </x:c>
      <x:c r="B1323" s="44" t="str">
        <x:v>Canola/Rapeseed</x:v>
      </x:c>
      <x:c r="C1323" s="44" t="str">
        <x:v>L340PC</x:v>
      </x:c>
      <x:c r="D1323" s="66" t="n">
        <x:v>2022</x:v>
      </x:c>
      <x:c r="E1323" s="67" t="n">
        <x:v>61324</x:v>
      </x:c>
      <x:c r="F1323" s="68" t="n">
        <x:v>28.5</x:v>
      </x:c>
      <x:c r="G1323" s="69" t="n">
        <x:f>IF(COUNT(E1323:F1323)=2,E1323*F1323,"")</x:f>
        <x:v>1747734</x:v>
      </x:c>
    </x:row>
    <x:row r="1324">
      <x:c r="A1324" s="66" t="n">
        <x:v>12</x:v>
      </x:c>
      <x:c r="B1324" s="44" t="str">
        <x:v>Canola/Rapeseed</x:v>
      </x:c>
      <x:c r="C1324" s="44" t="str">
        <x:v>L340PC</x:v>
      </x:c>
      <x:c r="D1324" s="66" t="n">
        <x:v>2023</x:v>
      </x:c>
      <x:c r="E1324" s="67" t="n">
        <x:v>115045</x:v>
      </x:c>
      <x:c r="F1324" s="68" t="n">
        <x:v>21.1</x:v>
      </x:c>
      <x:c r="G1324" s="69" t="n">
        <x:f>IF(COUNT(E1324:F1324)=2,E1324*F1324,"")</x:f>
        <x:v>2427449.5</x:v>
      </x:c>
    </x:row>
    <x:row r="1325">
      <x:c r="A1325" s="66" t="n">
        <x:v>12</x:v>
      </x:c>
      <x:c r="B1325" s="44" t="str">
        <x:v>Canola/Rapeseed</x:v>
      </x:c>
      <x:c r="C1325" s="44" t="str">
        <x:v>L340PC</x:v>
      </x:c>
      <x:c r="D1325" s="66" t="n">
        <x:v>2024</x:v>
      </x:c>
      <x:c r="E1325" s="67" t="n">
        <x:v>153264</x:v>
      </x:c>
      <x:c r="F1325" s="68" t="n">
        <x:v>32.4</x:v>
      </x:c>
      <x:c r="G1325" s="69" t="n">
        <x:f>IF(COUNT(E1325:F1325)=2,E1325*F1325,"")</x:f>
        <x:v>4965753.6</x:v>
      </x:c>
    </x:row>
    <x:row r="1326">
      <x:c r="A1326" s="66" t="n">
        <x:v>12</x:v>
      </x:c>
      <x:c r="B1326" s="44" t="str">
        <x:v>Canola/Rapeseed</x:v>
      </x:c>
      <x:c r="C1326" s="44" t="str">
        <x:v>L340PC</x:v>
      </x:c>
      <x:c r="D1326" s="66" t="n">
        <x:v>2025</x:v>
      </x:c>
      <x:c r="E1326" s="67" t="n">
        <x:v>201147</x:v>
      </x:c>
      <x:c r="F1326" s="68" t="n">
        <x:v>36.6</x:v>
      </x:c>
      <x:c r="G1326" s="69" t="n">
        <x:f>IF(COUNT(E1326:F1326)=2,E1326*F1326,"")</x:f>
        <x:v>7361980.2</x:v>
      </x:c>
    </x:row>
    <x:row r="1327">
      <x:c r="A1327" s="66" t="n">
        <x:v>12</x:v>
      </x:c>
      <x:c r="B1327" s="44" t="str">
        <x:v>Canola/Rapeseed</x:v>
      </x:c>
      <x:c r="C1327" s="44" t="str">
        <x:v>L341PC</x:v>
      </x:c>
      <x:c r="D1327" s="66" t="n">
        <x:v>2021</x:v>
      </x:c>
      <x:c r="E1327" s="67"/>
      <x:c r="F1327" s="68"/>
      <x:c r="G1327" s="69" t="str">
        <x:f>IF(COUNT(E1327:F1327)=2,E1327*F1327,"")</x:f>
      </x:c>
    </x:row>
    <x:row r="1328">
      <x:c r="A1328" s="66" t="n">
        <x:v>12</x:v>
      </x:c>
      <x:c r="B1328" s="44" t="str">
        <x:v>Canola/Rapeseed</x:v>
      </x:c>
      <x:c r="C1328" s="44" t="str">
        <x:v>L341PC</x:v>
      </x:c>
      <x:c r="D1328" s="66" t="n">
        <x:v>2022</x:v>
      </x:c>
      <x:c r="E1328" s="67"/>
      <x:c r="F1328" s="68"/>
      <x:c r="G1328" s="69" t="str">
        <x:f>IF(COUNT(E1328:F1328)=2,E1328*F1328,"")</x:f>
      </x:c>
    </x:row>
    <x:row r="1329">
      <x:c r="A1329" s="66" t="n">
        <x:v>12</x:v>
      </x:c>
      <x:c r="B1329" s="44" t="str">
        <x:v>Canola/Rapeseed</x:v>
      </x:c>
      <x:c r="C1329" s="44" t="str">
        <x:v>L341PC</x:v>
      </x:c>
      <x:c r="D1329" s="66" t="n">
        <x:v>2023</x:v>
      </x:c>
      <x:c r="E1329" s="67"/>
      <x:c r="F1329" s="68"/>
      <x:c r="G1329" s="69" t="str">
        <x:f>IF(COUNT(E1329:F1329)=2,E1329*F1329,"")</x:f>
      </x:c>
    </x:row>
    <x:row r="1330">
      <x:c r="A1330" s="66" t="n">
        <x:v>12</x:v>
      </x:c>
      <x:c r="B1330" s="44" t="str">
        <x:v>Canola/Rapeseed</x:v>
      </x:c>
      <x:c r="C1330" s="44" t="str">
        <x:v>L341PC</x:v>
      </x:c>
      <x:c r="D1330" s="66" t="n">
        <x:v>2024</x:v>
      </x:c>
      <x:c r="E1330" s="67"/>
      <x:c r="F1330" s="68"/>
      <x:c r="G1330" s="69" t="str">
        <x:f>IF(COUNT(E1330:F1330)=2,E1330*F1330,"")</x:f>
      </x:c>
    </x:row>
    <x:row r="1331">
      <x:c r="A1331" s="66" t="n">
        <x:v>12</x:v>
      </x:c>
      <x:c r="B1331" s="44" t="str">
        <x:v>Canola/Rapeseed</x:v>
      </x:c>
      <x:c r="C1331" s="44" t="str">
        <x:v>L341PC</x:v>
      </x:c>
      <x:c r="D1331" s="66" t="n">
        <x:v>2025</x:v>
      </x:c>
      <x:c r="E1331" s="67" t="n">
        <x:v>3671</x:v>
      </x:c>
      <x:c r="F1331" s="68" t="n">
        <x:v>34.7</x:v>
      </x:c>
      <x:c r="G1331" s="69" t="n">
        <x:f>IF(COUNT(E1331:F1331)=2,E1331*F1331,"")</x:f>
        <x:v>127383.70000000001</x:v>
      </x:c>
    </x:row>
    <x:row r="1332">
      <x:c r="A1332" s="66" t="n">
        <x:v>12</x:v>
      </x:c>
      <x:c r="B1332" s="44" t="str">
        <x:v>Canola/Rapeseed</x:v>
      </x:c>
      <x:c r="C1332" s="44" t="str">
        <x:v>L343PC</x:v>
      </x:c>
      <x:c r="D1332" s="66" t="n">
        <x:v>2021</x:v>
      </x:c>
      <x:c r="E1332" s="67"/>
      <x:c r="F1332" s="68"/>
      <x:c r="G1332" s="69" t="str">
        <x:f>IF(COUNT(E1332:F1332)=2,E1332*F1332,"")</x:f>
      </x:c>
    </x:row>
    <x:row r="1333">
      <x:c r="A1333" s="66" t="n">
        <x:v>12</x:v>
      </x:c>
      <x:c r="B1333" s="44" t="str">
        <x:v>Canola/Rapeseed</x:v>
      </x:c>
      <x:c r="C1333" s="44" t="str">
        <x:v>L343PC</x:v>
      </x:c>
      <x:c r="D1333" s="66" t="n">
        <x:v>2022</x:v>
      </x:c>
      <x:c r="E1333" s="67"/>
      <x:c r="F1333" s="68"/>
      <x:c r="G1333" s="69" t="str">
        <x:f>IF(COUNT(E1333:F1333)=2,E1333*F1333,"")</x:f>
      </x:c>
    </x:row>
    <x:row r="1334">
      <x:c r="A1334" s="66" t="n">
        <x:v>12</x:v>
      </x:c>
      <x:c r="B1334" s="44" t="str">
        <x:v>Canola/Rapeseed</x:v>
      </x:c>
      <x:c r="C1334" s="44" t="str">
        <x:v>L343PC</x:v>
      </x:c>
      <x:c r="D1334" s="66" t="n">
        <x:v>2023</x:v>
      </x:c>
      <x:c r="E1334" s="67" t="n">
        <x:v>5212</x:v>
      </x:c>
      <x:c r="F1334" s="68" t="n">
        <x:v>18.6</x:v>
      </x:c>
      <x:c r="G1334" s="69" t="n">
        <x:f>IF(COUNT(E1334:F1334)=2,E1334*F1334,"")</x:f>
        <x:v>96943.20000000001</x:v>
      </x:c>
    </x:row>
    <x:row r="1335">
      <x:c r="A1335" s="66" t="n">
        <x:v>12</x:v>
      </x:c>
      <x:c r="B1335" s="44" t="str">
        <x:v>Canola/Rapeseed</x:v>
      </x:c>
      <x:c r="C1335" s="44" t="str">
        <x:v>L343PC</x:v>
      </x:c>
      <x:c r="D1335" s="66" t="n">
        <x:v>2024</x:v>
      </x:c>
      <x:c r="E1335" s="67" t="n">
        <x:v>1763</x:v>
      </x:c>
      <x:c r="F1335" s="68" t="n">
        <x:v>28.3</x:v>
      </x:c>
      <x:c r="G1335" s="69" t="n">
        <x:f>IF(COUNT(E1335:F1335)=2,E1335*F1335,"")</x:f>
        <x:v>49892.9</x:v>
      </x:c>
    </x:row>
    <x:row r="1336">
      <x:c r="A1336" s="66" t="n">
        <x:v>12</x:v>
      </x:c>
      <x:c r="B1336" s="44" t="str">
        <x:v>Canola/Rapeseed</x:v>
      </x:c>
      <x:c r="C1336" s="44" t="str">
        <x:v>L343PC</x:v>
      </x:c>
      <x:c r="D1336" s="66" t="n">
        <x:v>2025</x:v>
      </x:c>
      <x:c r="E1336" s="67" t="n">
        <x:v>2568</x:v>
      </x:c>
      <x:c r="F1336" s="68" t="n">
        <x:v>41.1</x:v>
      </x:c>
      <x:c r="G1336" s="69" t="n">
        <x:f>IF(COUNT(E1336:F1336)=2,E1336*F1336,"")</x:f>
        <x:v>105544.8</x:v>
      </x:c>
    </x:row>
    <x:row r="1337">
      <x:c r="A1337" s="66" t="n">
        <x:v>12</x:v>
      </x:c>
      <x:c r="B1337" s="44" t="str">
        <x:v>Canola/Rapeseed</x:v>
      </x:c>
      <x:c r="C1337" s="44" t="str">
        <x:v>L345PC</x:v>
      </x:c>
      <x:c r="D1337" s="66" t="n">
        <x:v>2021</x:v>
      </x:c>
      <x:c r="E1337" s="67" t="n">
        <x:v>46325</x:v>
      </x:c>
      <x:c r="F1337" s="68" t="n">
        <x:v>16.1</x:v>
      </x:c>
      <x:c r="G1337" s="69" t="n">
        <x:f>IF(COUNT(E1337:F1337)=2,E1337*F1337,"")</x:f>
        <x:v>745832.5000000001</x:v>
      </x:c>
    </x:row>
    <x:row r="1338">
      <x:c r="A1338" s="66" t="n">
        <x:v>12</x:v>
      </x:c>
      <x:c r="B1338" s="44" t="str">
        <x:v>Canola/Rapeseed</x:v>
      </x:c>
      <x:c r="C1338" s="44" t="str">
        <x:v>L345PC</x:v>
      </x:c>
      <x:c r="D1338" s="66" t="n">
        <x:v>2022</x:v>
      </x:c>
      <x:c r="E1338" s="67" t="n">
        <x:v>53613</x:v>
      </x:c>
      <x:c r="F1338" s="68" t="n">
        <x:v>29.5</x:v>
      </x:c>
      <x:c r="G1338" s="69" t="n">
        <x:f>IF(COUNT(E1338:F1338)=2,E1338*F1338,"")</x:f>
        <x:v>1581583.5</x:v>
      </x:c>
    </x:row>
    <x:row r="1339">
      <x:c r="A1339" s="66" t="n">
        <x:v>12</x:v>
      </x:c>
      <x:c r="B1339" s="44" t="str">
        <x:v>Canola/Rapeseed</x:v>
      </x:c>
      <x:c r="C1339" s="44" t="str">
        <x:v>L345PC</x:v>
      </x:c>
      <x:c r="D1339" s="66" t="n">
        <x:v>2023</x:v>
      </x:c>
      <x:c r="E1339" s="67" t="n">
        <x:v>32978</x:v>
      </x:c>
      <x:c r="F1339" s="68" t="n">
        <x:v>26.5</x:v>
      </x:c>
      <x:c r="G1339" s="69" t="n">
        <x:f>IF(COUNT(E1339:F1339)=2,E1339*F1339,"")</x:f>
        <x:v>873917</x:v>
      </x:c>
    </x:row>
    <x:row r="1340">
      <x:c r="A1340" s="66" t="n">
        <x:v>12</x:v>
      </x:c>
      <x:c r="B1340" s="44" t="str">
        <x:v>Canola/Rapeseed</x:v>
      </x:c>
      <x:c r="C1340" s="44" t="str">
        <x:v>L345PC</x:v>
      </x:c>
      <x:c r="D1340" s="66" t="n">
        <x:v>2024</x:v>
      </x:c>
      <x:c r="E1340" s="67" t="n">
        <x:v>57802</x:v>
      </x:c>
      <x:c r="F1340" s="68" t="n">
        <x:v>33.6</x:v>
      </x:c>
      <x:c r="G1340" s="69" t="n">
        <x:f>IF(COUNT(E1340:F1340)=2,E1340*F1340,"")</x:f>
        <x:v>1942147.2000000002</x:v>
      </x:c>
    </x:row>
    <x:row r="1341">
      <x:c r="A1341" s="66" t="n">
        <x:v>12</x:v>
      </x:c>
      <x:c r="B1341" s="44" t="str">
        <x:v>Canola/Rapeseed</x:v>
      </x:c>
      <x:c r="C1341" s="44" t="str">
        <x:v>L345PC</x:v>
      </x:c>
      <x:c r="D1341" s="66" t="n">
        <x:v>2025</x:v>
      </x:c>
      <x:c r="E1341" s="67" t="n">
        <x:v>26993</x:v>
      </x:c>
      <x:c r="F1341" s="68" t="n">
        <x:v>38.5</x:v>
      </x:c>
      <x:c r="G1341" s="69" t="n">
        <x:f>IF(COUNT(E1341:F1341)=2,E1341*F1341,"")</x:f>
        <x:v>1039230.5</x:v>
      </x:c>
    </x:row>
    <x:row r="1342">
      <x:c r="A1342" s="66" t="n">
        <x:v>12</x:v>
      </x:c>
      <x:c r="B1342" s="44" t="str">
        <x:v>Canola/Rapeseed</x:v>
      </x:c>
      <x:c r="C1342" s="44" t="str">
        <x:v>L350PC</x:v>
      </x:c>
      <x:c r="D1342" s="66" t="n">
        <x:v>2021</x:v>
      </x:c>
      <x:c r="E1342" s="67"/>
      <x:c r="F1342" s="68"/>
      <x:c r="G1342" s="69" t="str">
        <x:f>IF(COUNT(E1342:F1342)=2,E1342*F1342,"")</x:f>
      </x:c>
    </x:row>
    <x:row r="1343">
      <x:c r="A1343" s="66" t="n">
        <x:v>12</x:v>
      </x:c>
      <x:c r="B1343" s="44" t="str">
        <x:v>Canola/Rapeseed</x:v>
      </x:c>
      <x:c r="C1343" s="44" t="str">
        <x:v>L350PC</x:v>
      </x:c>
      <x:c r="D1343" s="66" t="n">
        <x:v>2022</x:v>
      </x:c>
      <x:c r="E1343" s="67"/>
      <x:c r="F1343" s="68"/>
      <x:c r="G1343" s="69" t="str">
        <x:f>IF(COUNT(E1343:F1343)=2,E1343*F1343,"")</x:f>
      </x:c>
    </x:row>
    <x:row r="1344">
      <x:c r="A1344" s="66" t="n">
        <x:v>12</x:v>
      </x:c>
      <x:c r="B1344" s="44" t="str">
        <x:v>Canola/Rapeseed</x:v>
      </x:c>
      <x:c r="C1344" s="44" t="str">
        <x:v>L350PC</x:v>
      </x:c>
      <x:c r="D1344" s="66" t="n">
        <x:v>2023</x:v>
      </x:c>
      <x:c r="E1344" s="67" t="n">
        <x:v>24186</x:v>
      </x:c>
      <x:c r="F1344" s="68" t="n">
        <x:v>24.3</x:v>
      </x:c>
      <x:c r="G1344" s="69" t="n">
        <x:f>IF(COUNT(E1344:F1344)=2,E1344*F1344,"")</x:f>
        <x:v>587719.8</x:v>
      </x:c>
    </x:row>
    <x:row r="1345">
      <x:c r="A1345" s="66" t="n">
        <x:v>12</x:v>
      </x:c>
      <x:c r="B1345" s="44" t="str">
        <x:v>Canola/Rapeseed</x:v>
      </x:c>
      <x:c r="C1345" s="44" t="str">
        <x:v>L350PC</x:v>
      </x:c>
      <x:c r="D1345" s="66" t="n">
        <x:v>2024</x:v>
      </x:c>
      <x:c r="E1345" s="67" t="n">
        <x:v>13174</x:v>
      </x:c>
      <x:c r="F1345" s="68" t="n">
        <x:v>33.5</x:v>
      </x:c>
      <x:c r="G1345" s="69" t="n">
        <x:f>IF(COUNT(E1345:F1345)=2,E1345*F1345,"")</x:f>
        <x:v>441329</x:v>
      </x:c>
    </x:row>
    <x:row r="1346">
      <x:c r="A1346" s="66" t="n">
        <x:v>12</x:v>
      </x:c>
      <x:c r="B1346" s="44" t="str">
        <x:v>Canola/Rapeseed</x:v>
      </x:c>
      <x:c r="C1346" s="44" t="str">
        <x:v>L350PC</x:v>
      </x:c>
      <x:c r="D1346" s="66" t="n">
        <x:v>2025</x:v>
      </x:c>
      <x:c r="E1346" s="67" t="n">
        <x:v>6114</x:v>
      </x:c>
      <x:c r="F1346" s="68" t="n">
        <x:v>33.5</x:v>
      </x:c>
      <x:c r="G1346" s="69" t="n">
        <x:f>IF(COUNT(E1346:F1346)=2,E1346*F1346,"")</x:f>
        <x:v>204819</x:v>
      </x:c>
    </x:row>
    <x:row r="1347">
      <x:c r="A1347" s="66" t="n">
        <x:v>12</x:v>
      </x:c>
      <x:c r="B1347" s="44" t="str">
        <x:v>Canola/Rapeseed</x:v>
      </x:c>
      <x:c r="C1347" s="44" t="str">
        <x:v>L356PC</x:v>
      </x:c>
      <x:c r="D1347" s="66" t="n">
        <x:v>2021</x:v>
      </x:c>
      <x:c r="E1347" s="67"/>
      <x:c r="F1347" s="68"/>
      <x:c r="G1347" s="69" t="str">
        <x:f>IF(COUNT(E1347:F1347)=2,E1347*F1347,"")</x:f>
      </x:c>
    </x:row>
    <x:row r="1348">
      <x:c r="A1348" s="66" t="n">
        <x:v>12</x:v>
      </x:c>
      <x:c r="B1348" s="44" t="str">
        <x:v>Canola/Rapeseed</x:v>
      </x:c>
      <x:c r="C1348" s="44" t="str">
        <x:v>L356PC</x:v>
      </x:c>
      <x:c r="D1348" s="66" t="n">
        <x:v>2022</x:v>
      </x:c>
      <x:c r="E1348" s="67" t="n">
        <x:v>5575</x:v>
      </x:c>
      <x:c r="F1348" s="68" t="n">
        <x:v>23.8</x:v>
      </x:c>
      <x:c r="G1348" s="69" t="n">
        <x:f>IF(COUNT(E1348:F1348)=2,E1348*F1348,"")</x:f>
        <x:v>132685</x:v>
      </x:c>
    </x:row>
    <x:row r="1349">
      <x:c r="A1349" s="66" t="n">
        <x:v>12</x:v>
      </x:c>
      <x:c r="B1349" s="44" t="str">
        <x:v>Canola/Rapeseed</x:v>
      </x:c>
      <x:c r="C1349" s="44" t="str">
        <x:v>L356PC</x:v>
      </x:c>
      <x:c r="D1349" s="66" t="n">
        <x:v>2023</x:v>
      </x:c>
      <x:c r="E1349" s="67" t="n">
        <x:v>13184</x:v>
      </x:c>
      <x:c r="F1349" s="68" t="n">
        <x:v>23.7</x:v>
      </x:c>
      <x:c r="G1349" s="69" t="n">
        <x:f>IF(COUNT(E1349:F1349)=2,E1349*F1349,"")</x:f>
        <x:v>312460.8</x:v>
      </x:c>
    </x:row>
    <x:row r="1350">
      <x:c r="A1350" s="66" t="n">
        <x:v>12</x:v>
      </x:c>
      <x:c r="B1350" s="44" t="str">
        <x:v>Canola/Rapeseed</x:v>
      </x:c>
      <x:c r="C1350" s="44" t="str">
        <x:v>L356PC</x:v>
      </x:c>
      <x:c r="D1350" s="66" t="n">
        <x:v>2024</x:v>
      </x:c>
      <x:c r="E1350" s="67" t="n">
        <x:v>16430</x:v>
      </x:c>
      <x:c r="F1350" s="68" t="n">
        <x:v>34.7</x:v>
      </x:c>
      <x:c r="G1350" s="69" t="n">
        <x:f>IF(COUNT(E1350:F1350)=2,E1350*F1350,"")</x:f>
        <x:v>570121</x:v>
      </x:c>
    </x:row>
    <x:row r="1351">
      <x:c r="A1351" s="66" t="n">
        <x:v>12</x:v>
      </x:c>
      <x:c r="B1351" s="44" t="str">
        <x:v>Canola/Rapeseed</x:v>
      </x:c>
      <x:c r="C1351" s="44" t="str">
        <x:v>L356PC</x:v>
      </x:c>
      <x:c r="D1351" s="66" t="n">
        <x:v>2025</x:v>
      </x:c>
      <x:c r="E1351" s="67" t="n">
        <x:v>13447</x:v>
      </x:c>
      <x:c r="F1351" s="68" t="n">
        <x:v>40.2</x:v>
      </x:c>
      <x:c r="G1351" s="69" t="n">
        <x:f>IF(COUNT(E1351:F1351)=2,E1351*F1351,"")</x:f>
        <x:v>540569.4</x:v>
      </x:c>
    </x:row>
    <x:row r="1352">
      <x:c r="A1352" s="66" t="n">
        <x:v>12</x:v>
      </x:c>
      <x:c r="B1352" s="44" t="str">
        <x:v>Canola/Rapeseed</x:v>
      </x:c>
      <x:c r="C1352" s="44" t="str">
        <x:v>PV 661 LCM</x:v>
      </x:c>
      <x:c r="D1352" s="66" t="n">
        <x:v>2021</x:v>
      </x:c>
      <x:c r="E1352" s="67"/>
      <x:c r="F1352" s="68"/>
      <x:c r="G1352" s="69" t="str">
        <x:f>IF(COUNT(E1352:F1352)=2,E1352*F1352,"")</x:f>
      </x:c>
    </x:row>
    <x:row r="1353">
      <x:c r="A1353" s="66" t="n">
        <x:v>12</x:v>
      </x:c>
      <x:c r="B1353" s="44" t="str">
        <x:v>Canola/Rapeseed</x:v>
      </x:c>
      <x:c r="C1353" s="44" t="str">
        <x:v>PV 661 LCM</x:v>
      </x:c>
      <x:c r="D1353" s="66" t="n">
        <x:v>2022</x:v>
      </x:c>
      <x:c r="E1353" s="67"/>
      <x:c r="F1353" s="68"/>
      <x:c r="G1353" s="69" t="str">
        <x:f>IF(COUNT(E1353:F1353)=2,E1353*F1353,"")</x:f>
      </x:c>
    </x:row>
    <x:row r="1354">
      <x:c r="A1354" s="66" t="n">
        <x:v>12</x:v>
      </x:c>
      <x:c r="B1354" s="44" t="str">
        <x:v>Canola/Rapeseed</x:v>
      </x:c>
      <x:c r="C1354" s="44" t="str">
        <x:v>PV 661 LCM</x:v>
      </x:c>
      <x:c r="D1354" s="66" t="n">
        <x:v>2023</x:v>
      </x:c>
      <x:c r="E1354" s="67"/>
      <x:c r="F1354" s="68"/>
      <x:c r="G1354" s="69" t="str">
        <x:f>IF(COUNT(E1354:F1354)=2,E1354*F1354,"")</x:f>
      </x:c>
    </x:row>
    <x:row r="1355">
      <x:c r="A1355" s="66" t="n">
        <x:v>12</x:v>
      </x:c>
      <x:c r="B1355" s="44" t="str">
        <x:v>Canola/Rapeseed</x:v>
      </x:c>
      <x:c r="C1355" s="44" t="str">
        <x:v>PV 661 LCM</x:v>
      </x:c>
      <x:c r="D1355" s="66" t="n">
        <x:v>2024</x:v>
      </x:c>
      <x:c r="E1355" s="67" t="n">
        <x:v>2166</x:v>
      </x:c>
      <x:c r="F1355" s="68" t="n">
        <x:v>26.4</x:v>
      </x:c>
      <x:c r="G1355" s="69" t="n">
        <x:f>IF(COUNT(E1355:F1355)=2,E1355*F1355,"")</x:f>
        <x:v>57182.399999999994</x:v>
      </x:c>
    </x:row>
    <x:row r="1356">
      <x:c r="A1356" s="66" t="n">
        <x:v>12</x:v>
      </x:c>
      <x:c r="B1356" s="44" t="str">
        <x:v>Canola/Rapeseed</x:v>
      </x:c>
      <x:c r="C1356" s="44" t="str">
        <x:v>PV 661 LCM</x:v>
      </x:c>
      <x:c r="D1356" s="66" t="n">
        <x:v>2025</x:v>
      </x:c>
      <x:c r="E1356" s="67" t="n">
        <x:v>1070</x:v>
      </x:c>
      <x:c r="F1356" s="68" t="n">
        <x:v>27.3</x:v>
      </x:c>
      <x:c r="G1356" s="69" t="n">
        <x:f>IF(COUNT(E1356:F1356)=2,E1356*F1356,"")</x:f>
        <x:v>29211</x:v>
      </x:c>
    </x:row>
    <x:row r="1357">
      <x:c r="A1357" s="66" t="n">
        <x:v>12</x:v>
      </x:c>
      <x:c r="B1357" s="44" t="str">
        <x:v>Canola/Rapeseed</x:v>
      </x:c>
      <x:c r="C1357" s="44" t="str">
        <x:v>PV661 LCM</x:v>
      </x:c>
      <x:c r="D1357" s="66" t="n">
        <x:v>2021</x:v>
      </x:c>
      <x:c r="E1357" s="67"/>
      <x:c r="F1357" s="68"/>
      <x:c r="G1357" s="69" t="str">
        <x:f>IF(COUNT(E1357:F1357)=2,E1357*F1357,"")</x:f>
      </x:c>
    </x:row>
    <x:row r="1358">
      <x:c r="A1358" s="66" t="n">
        <x:v>12</x:v>
      </x:c>
      <x:c r="B1358" s="44" t="str">
        <x:v>Canola/Rapeseed</x:v>
      </x:c>
      <x:c r="C1358" s="44" t="str">
        <x:v>PV661 LCM</x:v>
      </x:c>
      <x:c r="D1358" s="66" t="n">
        <x:v>2022</x:v>
      </x:c>
      <x:c r="E1358" s="67"/>
      <x:c r="F1358" s="68"/>
      <x:c r="G1358" s="69" t="str">
        <x:f>IF(COUNT(E1358:F1358)=2,E1358*F1358,"")</x:f>
      </x:c>
    </x:row>
    <x:row r="1359">
      <x:c r="A1359" s="66" t="n">
        <x:v>12</x:v>
      </x:c>
      <x:c r="B1359" s="44" t="str">
        <x:v>Canola/Rapeseed</x:v>
      </x:c>
      <x:c r="C1359" s="44" t="str">
        <x:v>PV661 LCM</x:v>
      </x:c>
      <x:c r="D1359" s="66" t="n">
        <x:v>2023</x:v>
      </x:c>
      <x:c r="E1359" s="67"/>
      <x:c r="F1359" s="68"/>
      <x:c r="G1359" s="69" t="str">
        <x:f>IF(COUNT(E1359:F1359)=2,E1359*F1359,"")</x:f>
      </x:c>
    </x:row>
    <x:row r="1360">
      <x:c r="A1360" s="66" t="n">
        <x:v>12</x:v>
      </x:c>
      <x:c r="B1360" s="44" t="str">
        <x:v>Canola/Rapeseed</x:v>
      </x:c>
      <x:c r="C1360" s="44" t="str">
        <x:v>PV661 LCM</x:v>
      </x:c>
      <x:c r="D1360" s="66" t="n">
        <x:v>2024</x:v>
      </x:c>
      <x:c r="E1360" s="67"/>
      <x:c r="F1360" s="68"/>
      <x:c r="G1360" s="69" t="str">
        <x:f>IF(COUNT(E1360:F1360)=2,E1360*F1360,"")</x:f>
      </x:c>
    </x:row>
    <x:row r="1361">
      <x:c r="A1361" s="66" t="n">
        <x:v>12</x:v>
      </x:c>
      <x:c r="B1361" s="44" t="str">
        <x:v>Canola/Rapeseed</x:v>
      </x:c>
      <x:c r="C1361" s="44" t="str">
        <x:v>PV661 LCM</x:v>
      </x:c>
      <x:c r="D1361" s="66" t="n">
        <x:v>2025</x:v>
      </x:c>
      <x:c r="E1361" s="67" t="n">
        <x:v>1238</x:v>
      </x:c>
      <x:c r="F1361" s="68" t="n">
        <x:v>32.9</x:v>
      </x:c>
      <x:c r="G1361" s="69" t="n">
        <x:f>IF(COUNT(E1361:F1361)=2,E1361*F1361,"")</x:f>
        <x:v>40730.2</x:v>
      </x:c>
    </x:row>
    <x:row r="1362">
      <x:c r="A1362" s="66" t="n">
        <x:v>12</x:v>
      </x:c>
      <x:c r="B1362" s="44" t="str">
        <x:v>Canola/Rapeseed</x:v>
      </x:c>
      <x:c r="C1362" s="44" t="str">
        <x:v>P505MSL</x:v>
      </x:c>
      <x:c r="D1362" s="66" t="n">
        <x:v>2021</x:v>
      </x:c>
      <x:c r="E1362" s="67" t="n">
        <x:v>5528</x:v>
      </x:c>
      <x:c r="F1362" s="68" t="n">
        <x:v>14.2</x:v>
      </x:c>
      <x:c r="G1362" s="69" t="n">
        <x:f>IF(COUNT(E1362:F1362)=2,E1362*F1362,"")</x:f>
        <x:v>78497.59999999999</x:v>
      </x:c>
    </x:row>
    <x:row r="1363">
      <x:c r="A1363" s="66" t="n">
        <x:v>12</x:v>
      </x:c>
      <x:c r="B1363" s="44" t="str">
        <x:v>Canola/Rapeseed</x:v>
      </x:c>
      <x:c r="C1363" s="44" t="str">
        <x:v>P505MSL</x:v>
      </x:c>
      <x:c r="D1363" s="66" t="n">
        <x:v>2022</x:v>
      </x:c>
      <x:c r="E1363" s="67" t="n">
        <x:v>810</x:v>
      </x:c>
      <x:c r="F1363" s="68" t="n">
        <x:v>18.7</x:v>
      </x:c>
      <x:c r="G1363" s="69" t="n">
        <x:f>IF(COUNT(E1363:F1363)=2,E1363*F1363,"")</x:f>
        <x:v>15147</x:v>
      </x:c>
    </x:row>
    <x:row r="1364">
      <x:c r="A1364" s="66" t="n">
        <x:v>12</x:v>
      </x:c>
      <x:c r="B1364" s="44" t="str">
        <x:v>Canola/Rapeseed</x:v>
      </x:c>
      <x:c r="C1364" s="44" t="str">
        <x:v>P505MSL</x:v>
      </x:c>
      <x:c r="D1364" s="66" t="n">
        <x:v>2023</x:v>
      </x:c>
      <x:c r="E1364" s="67" t="n">
        <x:v>1852</x:v>
      </x:c>
      <x:c r="F1364" s="68" t="n">
        <x:v>21.3</x:v>
      </x:c>
      <x:c r="G1364" s="69" t="n">
        <x:f>IF(COUNT(E1364:F1364)=2,E1364*F1364,"")</x:f>
        <x:v>39447.6</x:v>
      </x:c>
    </x:row>
    <x:row r="1365">
      <x:c r="A1365" s="66" t="n">
        <x:v>12</x:v>
      </x:c>
      <x:c r="B1365" s="44" t="str">
        <x:v>Canola/Rapeseed</x:v>
      </x:c>
      <x:c r="C1365" s="44" t="str">
        <x:v>P505MSL</x:v>
      </x:c>
      <x:c r="D1365" s="66" t="n">
        <x:v>2024</x:v>
      </x:c>
      <x:c r="E1365" s="67" t="n">
        <x:v>2698</x:v>
      </x:c>
      <x:c r="F1365" s="68" t="n">
        <x:v>27.6</x:v>
      </x:c>
      <x:c r="G1365" s="69" t="n">
        <x:f>IF(COUNT(E1365:F1365)=2,E1365*F1365,"")</x:f>
        <x:v>74464.8</x:v>
      </x:c>
    </x:row>
    <x:row r="1366">
      <x:c r="A1366" s="66" t="n">
        <x:v>12</x:v>
      </x:c>
      <x:c r="B1366" s="44" t="str">
        <x:v>Canola/Rapeseed</x:v>
      </x:c>
      <x:c r="C1366" s="44" t="str">
        <x:v>P505MSL</x:v>
      </x:c>
      <x:c r="D1366" s="66" t="n">
        <x:v>2025</x:v>
      </x:c>
      <x:c r="E1366" s="67" t="n">
        <x:v>1191</x:v>
      </x:c>
      <x:c r="F1366" s="68" t="n">
        <x:v>18</x:v>
      </x:c>
      <x:c r="G1366" s="69" t="n">
        <x:f>IF(COUNT(E1366:F1366)=2,E1366*F1366,"")</x:f>
        <x:v>21438</x:v>
      </x:c>
    </x:row>
    <x:row r="1367">
      <x:c r="A1367" s="66" t="n">
        <x:v>12</x:v>
      </x:c>
      <x:c r="B1367" s="44" t="str">
        <x:v>Canola/Rapeseed</x:v>
      </x:c>
      <x:c r="C1367" s="44" t="str">
        <x:v>P520L</x:v>
      </x:c>
      <x:c r="D1367" s="66" t="n">
        <x:v>2021</x:v>
      </x:c>
      <x:c r="E1367" s="67"/>
      <x:c r="F1367" s="68"/>
      <x:c r="G1367" s="69" t="str">
        <x:f>IF(COUNT(E1367:F1367)=2,E1367*F1367,"")</x:f>
      </x:c>
    </x:row>
    <x:row r="1368">
      <x:c r="A1368" s="66" t="n">
        <x:v>12</x:v>
      </x:c>
      <x:c r="B1368" s="44" t="str">
        <x:v>Canola/Rapeseed</x:v>
      </x:c>
      <x:c r="C1368" s="44" t="str">
        <x:v>P520L</x:v>
      </x:c>
      <x:c r="D1368" s="66" t="n">
        <x:v>2022</x:v>
      </x:c>
      <x:c r="E1368" s="67"/>
      <x:c r="F1368" s="68"/>
      <x:c r="G1368" s="69" t="str">
        <x:f>IF(COUNT(E1368:F1368)=2,E1368*F1368,"")</x:f>
      </x:c>
    </x:row>
    <x:row r="1369">
      <x:c r="A1369" s="66" t="n">
        <x:v>12</x:v>
      </x:c>
      <x:c r="B1369" s="44" t="str">
        <x:v>Canola/Rapeseed</x:v>
      </x:c>
      <x:c r="C1369" s="44" t="str">
        <x:v>P520L</x:v>
      </x:c>
      <x:c r="D1369" s="66" t="n">
        <x:v>2023</x:v>
      </x:c>
      <x:c r="E1369" s="67"/>
      <x:c r="F1369" s="68"/>
      <x:c r="G1369" s="69" t="str">
        <x:f>IF(COUNT(E1369:F1369)=2,E1369*F1369,"")</x:f>
      </x:c>
    </x:row>
    <x:row r="1370">
      <x:c r="A1370" s="66" t="n">
        <x:v>12</x:v>
      </x:c>
      <x:c r="B1370" s="44" t="str">
        <x:v>Canola/Rapeseed</x:v>
      </x:c>
      <x:c r="C1370" s="44" t="str">
        <x:v>P520L</x:v>
      </x:c>
      <x:c r="D1370" s="66" t="n">
        <x:v>2024</x:v>
      </x:c>
      <x:c r="E1370" s="67" t="n">
        <x:v>1249</x:v>
      </x:c>
      <x:c r="F1370" s="68" t="n">
        <x:v>33.4</x:v>
      </x:c>
      <x:c r="G1370" s="69" t="n">
        <x:f>IF(COUNT(E1370:F1370)=2,E1370*F1370,"")</x:f>
        <x:v>41716.6</x:v>
      </x:c>
    </x:row>
    <x:row r="1371">
      <x:c r="A1371" s="66" t="n">
        <x:v>12</x:v>
      </x:c>
      <x:c r="B1371" s="44" t="str">
        <x:v>Canola/Rapeseed</x:v>
      </x:c>
      <x:c r="C1371" s="44" t="str">
        <x:v>P520L</x:v>
      </x:c>
      <x:c r="D1371" s="66" t="n">
        <x:v>2025</x:v>
      </x:c>
      <x:c r="E1371" s="67" t="n">
        <x:v>7672</x:v>
      </x:c>
      <x:c r="F1371" s="68" t="n">
        <x:v>34.9</x:v>
      </x:c>
      <x:c r="G1371" s="69" t="n">
        <x:f>IF(COUNT(E1371:F1371)=2,E1371*F1371,"")</x:f>
        <x:v>267752.8</x:v>
      </x:c>
    </x:row>
    <x:row r="1372">
      <x:c r="A1372" s="66" t="n">
        <x:v>13</x:v>
      </x:c>
      <x:c r="B1372" s="44" t="str">
        <x:v>Canola/Rapeseed</x:v>
      </x:c>
      <x:c r="C1372" s="44" t="str">
        <x:v>BY 7204LL</x:v>
      </x:c>
      <x:c r="D1372" s="66" t="n">
        <x:v>2021</x:v>
      </x:c>
      <x:c r="E1372" s="67"/>
      <x:c r="F1372" s="68"/>
      <x:c r="G1372" s="69" t="str">
        <x:f>IF(COUNT(E1372:F1372)=2,E1372*F1372,"")</x:f>
      </x:c>
    </x:row>
    <x:row r="1373">
      <x:c r="A1373" s="66" t="n">
        <x:v>13</x:v>
      </x:c>
      <x:c r="B1373" s="44" t="str">
        <x:v>Canola/Rapeseed</x:v>
      </x:c>
      <x:c r="C1373" s="44" t="str">
        <x:v>BY 7204LL</x:v>
      </x:c>
      <x:c r="D1373" s="66" t="n">
        <x:v>2022</x:v>
      </x:c>
      <x:c r="E1373" s="67"/>
      <x:c r="F1373" s="68"/>
      <x:c r="G1373" s="69" t="str">
        <x:f>IF(COUNT(E1373:F1373)=2,E1373*F1373,"")</x:f>
      </x:c>
    </x:row>
    <x:row r="1374">
      <x:c r="A1374" s="66" t="n">
        <x:v>13</x:v>
      </x:c>
      <x:c r="B1374" s="44" t="str">
        <x:v>Canola/Rapeseed</x:v>
      </x:c>
      <x:c r="C1374" s="44" t="str">
        <x:v>BY 7204LL</x:v>
      </x:c>
      <x:c r="D1374" s="66" t="n">
        <x:v>2023</x:v>
      </x:c>
      <x:c r="E1374" s="67"/>
      <x:c r="F1374" s="68"/>
      <x:c r="G1374" s="69" t="str">
        <x:f>IF(COUNT(E1374:F1374)=2,E1374*F1374,"")</x:f>
      </x:c>
    </x:row>
    <x:row r="1375">
      <x:c r="A1375" s="66" t="n">
        <x:v>13</x:v>
      </x:c>
      <x:c r="B1375" s="44" t="str">
        <x:v>Canola/Rapeseed</x:v>
      </x:c>
      <x:c r="C1375" s="44" t="str">
        <x:v>BY 7204LL</x:v>
      </x:c>
      <x:c r="D1375" s="66" t="n">
        <x:v>2024</x:v>
      </x:c>
      <x:c r="E1375" s="67"/>
      <x:c r="F1375" s="68"/>
      <x:c r="G1375" s="69" t="str">
        <x:f>IF(COUNT(E1375:F1375)=2,E1375*F1375,"")</x:f>
      </x:c>
    </x:row>
    <x:row r="1376">
      <x:c r="A1376" s="66" t="n">
        <x:v>13</x:v>
      </x:c>
      <x:c r="B1376" s="44" t="str">
        <x:v>Canola/Rapeseed</x:v>
      </x:c>
      <x:c r="C1376" s="44" t="str">
        <x:v>BY 7204LL</x:v>
      </x:c>
      <x:c r="D1376" s="66" t="n">
        <x:v>2025</x:v>
      </x:c>
      <x:c r="E1376" s="67" t="n">
        <x:v>511</x:v>
      </x:c>
      <x:c r="F1376" s="68" t="n">
        <x:v>48.6</x:v>
      </x:c>
      <x:c r="G1376" s="69" t="n">
        <x:f>IF(COUNT(E1376:F1376)=2,E1376*F1376,"")</x:f>
        <x:v>24834.600000000002</x:v>
      </x:c>
    </x:row>
    <x:row r="1377">
      <x:c r="A1377" s="66" t="n">
        <x:v>13</x:v>
      </x:c>
      <x:c r="B1377" s="44" t="str">
        <x:v>Canola/Rapeseed</x:v>
      </x:c>
      <x:c r="C1377" s="44" t="str">
        <x:v>CS4100 LL</x:v>
      </x:c>
      <x:c r="D1377" s="66" t="n">
        <x:v>2021</x:v>
      </x:c>
      <x:c r="E1377" s="67"/>
      <x:c r="F1377" s="68"/>
      <x:c r="G1377" s="69" t="str">
        <x:f>IF(COUNT(E1377:F1377)=2,E1377*F1377,"")</x:f>
      </x:c>
    </x:row>
    <x:row r="1378">
      <x:c r="A1378" s="66" t="n">
        <x:v>13</x:v>
      </x:c>
      <x:c r="B1378" s="44" t="str">
        <x:v>Canola/Rapeseed</x:v>
      </x:c>
      <x:c r="C1378" s="44" t="str">
        <x:v>CS4100 LL</x:v>
      </x:c>
      <x:c r="D1378" s="66" t="n">
        <x:v>2022</x:v>
      </x:c>
      <x:c r="E1378" s="67"/>
      <x:c r="F1378" s="68"/>
      <x:c r="G1378" s="69" t="str">
        <x:f>IF(COUNT(E1378:F1378)=2,E1378*F1378,"")</x:f>
      </x:c>
    </x:row>
    <x:row r="1379">
      <x:c r="A1379" s="66" t="n">
        <x:v>13</x:v>
      </x:c>
      <x:c r="B1379" s="44" t="str">
        <x:v>Canola/Rapeseed</x:v>
      </x:c>
      <x:c r="C1379" s="44" t="str">
        <x:v>CS4100 LL</x:v>
      </x:c>
      <x:c r="D1379" s="66" t="n">
        <x:v>2023</x:v>
      </x:c>
      <x:c r="E1379" s="67"/>
      <x:c r="F1379" s="68"/>
      <x:c r="G1379" s="69" t="str">
        <x:f>IF(COUNT(E1379:F1379)=2,E1379*F1379,"")</x:f>
      </x:c>
    </x:row>
    <x:row r="1380">
      <x:c r="A1380" s="66" t="n">
        <x:v>13</x:v>
      </x:c>
      <x:c r="B1380" s="44" t="str">
        <x:v>Canola/Rapeseed</x:v>
      </x:c>
      <x:c r="C1380" s="44" t="str">
        <x:v>CS4100 LL</x:v>
      </x:c>
      <x:c r="D1380" s="66" t="n">
        <x:v>2024</x:v>
      </x:c>
      <x:c r="E1380" s="67"/>
      <x:c r="F1380" s="68"/>
      <x:c r="G1380" s="69" t="str">
        <x:f>IF(COUNT(E1380:F1380)=2,E1380*F1380,"")</x:f>
      </x:c>
    </x:row>
    <x:row r="1381">
      <x:c r="A1381" s="66" t="n">
        <x:v>13</x:v>
      </x:c>
      <x:c r="B1381" s="44" t="str">
        <x:v>Canola/Rapeseed</x:v>
      </x:c>
      <x:c r="C1381" s="44" t="str">
        <x:v>CS4100 LL</x:v>
      </x:c>
      <x:c r="D1381" s="66" t="n">
        <x:v>2025</x:v>
      </x:c>
      <x:c r="E1381" s="67" t="n">
        <x:v>2210</x:v>
      </x:c>
      <x:c r="F1381" s="68" t="n">
        <x:v>38.6</x:v>
      </x:c>
      <x:c r="G1381" s="69" t="n">
        <x:f>IF(COUNT(E1381:F1381)=2,E1381*F1381,"")</x:f>
        <x:v>85306</x:v>
      </x:c>
    </x:row>
    <x:row r="1382">
      <x:c r="A1382" s="66" t="n">
        <x:v>13</x:v>
      </x:c>
      <x:c r="B1382" s="44" t="str">
        <x:v>Canola/Rapeseed</x:v>
      </x:c>
      <x:c r="C1382" s="44" t="str">
        <x:v>DKLL 83 SC</x:v>
      </x:c>
      <x:c r="D1382" s="66" t="n">
        <x:v>2021</x:v>
      </x:c>
      <x:c r="E1382" s="67"/>
      <x:c r="F1382" s="68"/>
      <x:c r="G1382" s="69" t="str">
        <x:f>IF(COUNT(E1382:F1382)=2,E1382*F1382,"")</x:f>
      </x:c>
    </x:row>
    <x:row r="1383">
      <x:c r="A1383" s="66" t="n">
        <x:v>13</x:v>
      </x:c>
      <x:c r="B1383" s="44" t="str">
        <x:v>Canola/Rapeseed</x:v>
      </x:c>
      <x:c r="C1383" s="44" t="str">
        <x:v>DKLL 83 SC</x:v>
      </x:c>
      <x:c r="D1383" s="66" t="n">
        <x:v>2022</x:v>
      </x:c>
      <x:c r="E1383" s="67"/>
      <x:c r="F1383" s="68"/>
      <x:c r="G1383" s="69" t="str">
        <x:f>IF(COUNT(E1383:F1383)=2,E1383*F1383,"")</x:f>
      </x:c>
    </x:row>
    <x:row r="1384">
      <x:c r="A1384" s="66" t="n">
        <x:v>13</x:v>
      </x:c>
      <x:c r="B1384" s="44" t="str">
        <x:v>Canola/Rapeseed</x:v>
      </x:c>
      <x:c r="C1384" s="44" t="str">
        <x:v>DKLL 83 SC</x:v>
      </x:c>
      <x:c r="D1384" s="66" t="n">
        <x:v>2023</x:v>
      </x:c>
      <x:c r="E1384" s="67" t="n">
        <x:v>1885</x:v>
      </x:c>
      <x:c r="F1384" s="68" t="n">
        <x:v>16</x:v>
      </x:c>
      <x:c r="G1384" s="69" t="n">
        <x:f>IF(COUNT(E1384:F1384)=2,E1384*F1384,"")</x:f>
        <x:v>30160</x:v>
      </x:c>
    </x:row>
    <x:row r="1385">
      <x:c r="A1385" s="66" t="n">
        <x:v>13</x:v>
      </x:c>
      <x:c r="B1385" s="44" t="str">
        <x:v>Canola/Rapeseed</x:v>
      </x:c>
      <x:c r="C1385" s="44" t="str">
        <x:v>DKLL 83 SC</x:v>
      </x:c>
      <x:c r="D1385" s="66" t="n">
        <x:v>2024</x:v>
      </x:c>
      <x:c r="E1385" s="67" t="n">
        <x:v>5029</x:v>
      </x:c>
      <x:c r="F1385" s="68" t="n">
        <x:v>25.9</x:v>
      </x:c>
      <x:c r="G1385" s="69" t="n">
        <x:f>IF(COUNT(E1385:F1385)=2,E1385*F1385,"")</x:f>
        <x:v>130251.09999999999</x:v>
      </x:c>
    </x:row>
    <x:row r="1386">
      <x:c r="A1386" s="66" t="n">
        <x:v>13</x:v>
      </x:c>
      <x:c r="B1386" s="44" t="str">
        <x:v>Canola/Rapeseed</x:v>
      </x:c>
      <x:c r="C1386" s="44" t="str">
        <x:v>DKLL 83 SC</x:v>
      </x:c>
      <x:c r="D1386" s="66" t="n">
        <x:v>2025</x:v>
      </x:c>
      <x:c r="E1386" s="67" t="n">
        <x:v>752</x:v>
      </x:c>
      <x:c r="F1386" s="68" t="n">
        <x:v>45</x:v>
      </x:c>
      <x:c r="G1386" s="69" t="n">
        <x:f>IF(COUNT(E1386:F1386)=2,E1386*F1386,"")</x:f>
        <x:v>33840</x:v>
      </x:c>
    </x:row>
    <x:row r="1387">
      <x:c r="A1387" s="66" t="n">
        <x:v>13</x:v>
      </x:c>
      <x:c r="B1387" s="44" t="str">
        <x:v>Canola/Rapeseed</x:v>
      </x:c>
      <x:c r="C1387" s="44" t="str">
        <x:v>DK400TL</x:v>
      </x:c>
      <x:c r="D1387" s="66" t="n">
        <x:v>2021</x:v>
      </x:c>
      <x:c r="E1387" s="67"/>
      <x:c r="F1387" s="68"/>
      <x:c r="G1387" s="69" t="str">
        <x:f>IF(COUNT(E1387:F1387)=2,E1387*F1387,"")</x:f>
      </x:c>
    </x:row>
    <x:row r="1388">
      <x:c r="A1388" s="66" t="n">
        <x:v>13</x:v>
      </x:c>
      <x:c r="B1388" s="44" t="str">
        <x:v>Canola/Rapeseed</x:v>
      </x:c>
      <x:c r="C1388" s="44" t="str">
        <x:v>DK400TL</x:v>
      </x:c>
      <x:c r="D1388" s="66" t="n">
        <x:v>2022</x:v>
      </x:c>
      <x:c r="E1388" s="67"/>
      <x:c r="F1388" s="68"/>
      <x:c r="G1388" s="69" t="str">
        <x:f>IF(COUNT(E1388:F1388)=2,E1388*F1388,"")</x:f>
      </x:c>
    </x:row>
    <x:row r="1389">
      <x:c r="A1389" s="66" t="n">
        <x:v>13</x:v>
      </x:c>
      <x:c r="B1389" s="44" t="str">
        <x:v>Canola/Rapeseed</x:v>
      </x:c>
      <x:c r="C1389" s="44" t="str">
        <x:v>DK400TL</x:v>
      </x:c>
      <x:c r="D1389" s="66" t="n">
        <x:v>2023</x:v>
      </x:c>
      <x:c r="E1389" s="67"/>
      <x:c r="F1389" s="68"/>
      <x:c r="G1389" s="69" t="str">
        <x:f>IF(COUNT(E1389:F1389)=2,E1389*F1389,"")</x:f>
      </x:c>
    </x:row>
    <x:row r="1390">
      <x:c r="A1390" s="66" t="n">
        <x:v>13</x:v>
      </x:c>
      <x:c r="B1390" s="44" t="str">
        <x:v>Canola/Rapeseed</x:v>
      </x:c>
      <x:c r="C1390" s="44" t="str">
        <x:v>DK400TL</x:v>
      </x:c>
      <x:c r="D1390" s="66" t="n">
        <x:v>2024</x:v>
      </x:c>
      <x:c r="E1390" s="67" t="n">
        <x:v>4470</x:v>
      </x:c>
      <x:c r="F1390" s="68" t="n">
        <x:v>27</x:v>
      </x:c>
      <x:c r="G1390" s="69" t="n">
        <x:f>IF(COUNT(E1390:F1390)=2,E1390*F1390,"")</x:f>
        <x:v>120690</x:v>
      </x:c>
    </x:row>
    <x:row r="1391">
      <x:c r="A1391" s="66" t="n">
        <x:v>13</x:v>
      </x:c>
      <x:c r="B1391" s="44" t="str">
        <x:v>Canola/Rapeseed</x:v>
      </x:c>
      <x:c r="C1391" s="44" t="str">
        <x:v>DK400TL</x:v>
      </x:c>
      <x:c r="D1391" s="66" t="n">
        <x:v>2025</x:v>
      </x:c>
      <x:c r="E1391" s="67" t="n">
        <x:v>1782</x:v>
      </x:c>
      <x:c r="F1391" s="68" t="n">
        <x:v>48.2</x:v>
      </x:c>
      <x:c r="G1391" s="69" t="n">
        <x:f>IF(COUNT(E1391:F1391)=2,E1391*F1391,"")</x:f>
        <x:v>85892.40000000001</x:v>
      </x:c>
    </x:row>
    <x:row r="1392">
      <x:c r="A1392" s="66" t="n">
        <x:v>13</x:v>
      </x:c>
      <x:c r="B1392" s="44" t="str">
        <x:v>Canola/Rapeseed</x:v>
      </x:c>
      <x:c r="C1392" s="44" t="str">
        <x:v>DK801LL</x:v>
      </x:c>
      <x:c r="D1392" s="66" t="n">
        <x:v>2021</x:v>
      </x:c>
      <x:c r="E1392" s="67"/>
      <x:c r="F1392" s="68"/>
      <x:c r="G1392" s="69" t="str">
        <x:f>IF(COUNT(E1392:F1392)=2,E1392*F1392,"")</x:f>
      </x:c>
    </x:row>
    <x:row r="1393">
      <x:c r="A1393" s="66" t="n">
        <x:v>13</x:v>
      </x:c>
      <x:c r="B1393" s="44" t="str">
        <x:v>Canola/Rapeseed</x:v>
      </x:c>
      <x:c r="C1393" s="44" t="str">
        <x:v>DK801LL</x:v>
      </x:c>
      <x:c r="D1393" s="66" t="n">
        <x:v>2022</x:v>
      </x:c>
      <x:c r="E1393" s="67"/>
      <x:c r="F1393" s="68"/>
      <x:c r="G1393" s="69" t="str">
        <x:f>IF(COUNT(E1393:F1393)=2,E1393*F1393,"")</x:f>
      </x:c>
    </x:row>
    <x:row r="1394">
      <x:c r="A1394" s="66" t="n">
        <x:v>13</x:v>
      </x:c>
      <x:c r="B1394" s="44" t="str">
        <x:v>Canola/Rapeseed</x:v>
      </x:c>
      <x:c r="C1394" s="44" t="str">
        <x:v>DK801LL</x:v>
      </x:c>
      <x:c r="D1394" s="66" t="n">
        <x:v>2023</x:v>
      </x:c>
      <x:c r="E1394" s="67"/>
      <x:c r="F1394" s="68"/>
      <x:c r="G1394" s="69" t="str">
        <x:f>IF(COUNT(E1394:F1394)=2,E1394*F1394,"")</x:f>
      </x:c>
    </x:row>
    <x:row r="1395">
      <x:c r="A1395" s="66" t="n">
        <x:v>13</x:v>
      </x:c>
      <x:c r="B1395" s="44" t="str">
        <x:v>Canola/Rapeseed</x:v>
      </x:c>
      <x:c r="C1395" s="44" t="str">
        <x:v>DK801LL</x:v>
      </x:c>
      <x:c r="D1395" s="66" t="n">
        <x:v>2024</x:v>
      </x:c>
      <x:c r="E1395" s="67"/>
      <x:c r="F1395" s="68"/>
      <x:c r="G1395" s="69" t="str">
        <x:f>IF(COUNT(E1395:F1395)=2,E1395*F1395,"")</x:f>
      </x:c>
    </x:row>
    <x:row r="1396">
      <x:c r="A1396" s="66" t="n">
        <x:v>13</x:v>
      </x:c>
      <x:c r="B1396" s="44" t="str">
        <x:v>Canola/Rapeseed</x:v>
      </x:c>
      <x:c r="C1396" s="44" t="str">
        <x:v>DK801LL</x:v>
      </x:c>
      <x:c r="D1396" s="66" t="n">
        <x:v>2025</x:v>
      </x:c>
      <x:c r="E1396" s="67" t="n">
        <x:v>2508</x:v>
      </x:c>
      <x:c r="F1396" s="68" t="n">
        <x:v>69</x:v>
      </x:c>
      <x:c r="G1396" s="69" t="n">
        <x:f>IF(COUNT(E1396:F1396)=2,E1396*F1396,"")</x:f>
        <x:v>173052</x:v>
      </x:c>
    </x:row>
    <x:row r="1397">
      <x:c r="A1397" s="66" t="n">
        <x:v>13</x:v>
      </x:c>
      <x:c r="B1397" s="44" t="str">
        <x:v>Canola/Rapeseed</x:v>
      </x:c>
      <x:c r="C1397" s="44" t="str">
        <x:v>L233P</x:v>
      </x:c>
      <x:c r="D1397" s="66" t="n">
        <x:v>2021</x:v>
      </x:c>
      <x:c r="E1397" s="67" t="n">
        <x:v>28470</x:v>
      </x:c>
      <x:c r="F1397" s="68" t="n">
        <x:v>13.2</x:v>
      </x:c>
      <x:c r="G1397" s="69" t="n">
        <x:f>IF(COUNT(E1397:F1397)=2,E1397*F1397,"")</x:f>
        <x:v>375804</x:v>
      </x:c>
    </x:row>
    <x:row r="1398">
      <x:c r="A1398" s="66" t="n">
        <x:v>13</x:v>
      </x:c>
      <x:c r="B1398" s="44" t="str">
        <x:v>Canola/Rapeseed</x:v>
      </x:c>
      <x:c r="C1398" s="44" t="str">
        <x:v>L233P</x:v>
      </x:c>
      <x:c r="D1398" s="66" t="n">
        <x:v>2022</x:v>
      </x:c>
      <x:c r="E1398" s="67" t="n">
        <x:v>22989</x:v>
      </x:c>
      <x:c r="F1398" s="68" t="n">
        <x:v>13.6</x:v>
      </x:c>
      <x:c r="G1398" s="69" t="n">
        <x:f>IF(COUNT(E1398:F1398)=2,E1398*F1398,"")</x:f>
        <x:v>312650.39999999997</x:v>
      </x:c>
    </x:row>
    <x:row r="1399">
      <x:c r="A1399" s="66" t="n">
        <x:v>13</x:v>
      </x:c>
      <x:c r="B1399" s="44" t="str">
        <x:v>Canola/Rapeseed</x:v>
      </x:c>
      <x:c r="C1399" s="44" t="str">
        <x:v>L233P</x:v>
      </x:c>
      <x:c r="D1399" s="66" t="n">
        <x:v>2023</x:v>
      </x:c>
      <x:c r="E1399" s="67" t="n">
        <x:v>13169</x:v>
      </x:c>
      <x:c r="F1399" s="68" t="n">
        <x:v>13.4</x:v>
      </x:c>
      <x:c r="G1399" s="69" t="n">
        <x:f>IF(COUNT(E1399:F1399)=2,E1399*F1399,"")</x:f>
        <x:v>176464.6</x:v>
      </x:c>
    </x:row>
    <x:row r="1400">
      <x:c r="A1400" s="66" t="n">
        <x:v>13</x:v>
      </x:c>
      <x:c r="B1400" s="44" t="str">
        <x:v>Canola/Rapeseed</x:v>
      </x:c>
      <x:c r="C1400" s="44" t="str">
        <x:v>L233P</x:v>
      </x:c>
      <x:c r="D1400" s="66" t="n">
        <x:v>2024</x:v>
      </x:c>
      <x:c r="E1400" s="67" t="n">
        <x:v>10103</x:v>
      </x:c>
      <x:c r="F1400" s="68" t="n">
        <x:v>26.6</x:v>
      </x:c>
      <x:c r="G1400" s="69" t="n">
        <x:f>IF(COUNT(E1400:F1400)=2,E1400*F1400,"")</x:f>
        <x:v>268739.8</x:v>
      </x:c>
    </x:row>
    <x:row r="1401">
      <x:c r="A1401" s="66" t="n">
        <x:v>13</x:v>
      </x:c>
      <x:c r="B1401" s="44" t="str">
        <x:v>Canola/Rapeseed</x:v>
      </x:c>
      <x:c r="C1401" s="44" t="str">
        <x:v>L233P</x:v>
      </x:c>
      <x:c r="D1401" s="66" t="n">
        <x:v>2025</x:v>
      </x:c>
      <x:c r="E1401" s="67" t="n">
        <x:v>2613</x:v>
      </x:c>
      <x:c r="F1401" s="68" t="n">
        <x:v>44.3</x:v>
      </x:c>
      <x:c r="G1401" s="69" t="n">
        <x:f>IF(COUNT(E1401:F1401)=2,E1401*F1401,"")</x:f>
        <x:v>115755.9</x:v>
      </x:c>
    </x:row>
    <x:row r="1402">
      <x:c r="A1402" s="66" t="n">
        <x:v>13</x:v>
      </x:c>
      <x:c r="B1402" s="44" t="str">
        <x:v>Canola/Rapeseed</x:v>
      </x:c>
      <x:c r="C1402" s="44" t="str">
        <x:v>L330PC</x:v>
      </x:c>
      <x:c r="D1402" s="66" t="n">
        <x:v>2021</x:v>
      </x:c>
      <x:c r="E1402" s="67"/>
      <x:c r="F1402" s="68"/>
      <x:c r="G1402" s="69" t="str">
        <x:f>IF(COUNT(E1402:F1402)=2,E1402*F1402,"")</x:f>
      </x:c>
    </x:row>
    <x:row r="1403">
      <x:c r="A1403" s="66" t="n">
        <x:v>13</x:v>
      </x:c>
      <x:c r="B1403" s="44" t="str">
        <x:v>Canola/Rapeseed</x:v>
      </x:c>
      <x:c r="C1403" s="44" t="str">
        <x:v>L330PC</x:v>
      </x:c>
      <x:c r="D1403" s="66" t="n">
        <x:v>2022</x:v>
      </x:c>
      <x:c r="E1403" s="67"/>
      <x:c r="F1403" s="68"/>
      <x:c r="G1403" s="69" t="str">
        <x:f>IF(COUNT(E1403:F1403)=2,E1403*F1403,"")</x:f>
      </x:c>
    </x:row>
    <x:row r="1404">
      <x:c r="A1404" s="66" t="n">
        <x:v>13</x:v>
      </x:c>
      <x:c r="B1404" s="44" t="str">
        <x:v>Canola/Rapeseed</x:v>
      </x:c>
      <x:c r="C1404" s="44" t="str">
        <x:v>L330PC</x:v>
      </x:c>
      <x:c r="D1404" s="66" t="n">
        <x:v>2023</x:v>
      </x:c>
      <x:c r="E1404" s="67"/>
      <x:c r="F1404" s="68"/>
      <x:c r="G1404" s="69" t="str">
        <x:f>IF(COUNT(E1404:F1404)=2,E1404*F1404,"")</x:f>
      </x:c>
    </x:row>
    <x:row r="1405">
      <x:c r="A1405" s="66" t="n">
        <x:v>13</x:v>
      </x:c>
      <x:c r="B1405" s="44" t="str">
        <x:v>Canola/Rapeseed</x:v>
      </x:c>
      <x:c r="C1405" s="44" t="str">
        <x:v>L330PC</x:v>
      </x:c>
      <x:c r="D1405" s="66" t="n">
        <x:v>2024</x:v>
      </x:c>
      <x:c r="E1405" s="67"/>
      <x:c r="F1405" s="68"/>
      <x:c r="G1405" s="69" t="str">
        <x:f>IF(COUNT(E1405:F1405)=2,E1405*F1405,"")</x:f>
      </x:c>
    </x:row>
    <x:row r="1406">
      <x:c r="A1406" s="66" t="n">
        <x:v>13</x:v>
      </x:c>
      <x:c r="B1406" s="44" t="str">
        <x:v>Canola/Rapeseed</x:v>
      </x:c>
      <x:c r="C1406" s="44" t="str">
        <x:v>L330PC</x:v>
      </x:c>
      <x:c r="D1406" s="66" t="n">
        <x:v>2025</x:v>
      </x:c>
      <x:c r="E1406" s="67" t="n">
        <x:v>2767</x:v>
      </x:c>
      <x:c r="F1406" s="68" t="n">
        <x:v>58.9</x:v>
      </x:c>
      <x:c r="G1406" s="69" t="n">
        <x:f>IF(COUNT(E1406:F1406)=2,E1406*F1406,"")</x:f>
        <x:v>162976.3</x:v>
      </x:c>
    </x:row>
    <x:row r="1407">
      <x:c r="A1407" s="66" t="n">
        <x:v>13</x:v>
      </x:c>
      <x:c r="B1407" s="44" t="str">
        <x:v>Canola/Rapeseed</x:v>
      </x:c>
      <x:c r="C1407" s="44" t="str">
        <x:v>L333PC</x:v>
      </x:c>
      <x:c r="D1407" s="66" t="n">
        <x:v>2021</x:v>
      </x:c>
      <x:c r="E1407" s="67"/>
      <x:c r="F1407" s="68"/>
      <x:c r="G1407" s="69" t="str">
        <x:f>IF(COUNT(E1407:F1407)=2,E1407*F1407,"")</x:f>
      </x:c>
    </x:row>
    <x:row r="1408">
      <x:c r="A1408" s="66" t="n">
        <x:v>13</x:v>
      </x:c>
      <x:c r="B1408" s="44" t="str">
        <x:v>Canola/Rapeseed</x:v>
      </x:c>
      <x:c r="C1408" s="44" t="str">
        <x:v>L333PC</x:v>
      </x:c>
      <x:c r="D1408" s="66" t="n">
        <x:v>2022</x:v>
      </x:c>
      <x:c r="E1408" s="67"/>
      <x:c r="F1408" s="68"/>
      <x:c r="G1408" s="69" t="str">
        <x:f>IF(COUNT(E1408:F1408)=2,E1408*F1408,"")</x:f>
      </x:c>
    </x:row>
    <x:row r="1409">
      <x:c r="A1409" s="66" t="n">
        <x:v>13</x:v>
      </x:c>
      <x:c r="B1409" s="44" t="str">
        <x:v>Canola/Rapeseed</x:v>
      </x:c>
      <x:c r="C1409" s="44" t="str">
        <x:v>L333PC</x:v>
      </x:c>
      <x:c r="D1409" s="66" t="n">
        <x:v>2023</x:v>
      </x:c>
      <x:c r="E1409" s="67"/>
      <x:c r="F1409" s="68"/>
      <x:c r="G1409" s="69" t="str">
        <x:f>IF(COUNT(E1409:F1409)=2,E1409*F1409,"")</x:f>
      </x:c>
    </x:row>
    <x:row r="1410">
      <x:c r="A1410" s="66" t="n">
        <x:v>13</x:v>
      </x:c>
      <x:c r="B1410" s="44" t="str">
        <x:v>Canola/Rapeseed</x:v>
      </x:c>
      <x:c r="C1410" s="44" t="str">
        <x:v>L333PC</x:v>
      </x:c>
      <x:c r="D1410" s="66" t="n">
        <x:v>2024</x:v>
      </x:c>
      <x:c r="E1410" s="67"/>
      <x:c r="F1410" s="68"/>
      <x:c r="G1410" s="69" t="str">
        <x:f>IF(COUNT(E1410:F1410)=2,E1410*F1410,"")</x:f>
      </x:c>
    </x:row>
    <x:row r="1411">
      <x:c r="A1411" s="66" t="n">
        <x:v>13</x:v>
      </x:c>
      <x:c r="B1411" s="44" t="str">
        <x:v>Canola/Rapeseed</x:v>
      </x:c>
      <x:c r="C1411" s="44" t="str">
        <x:v>L333PC</x:v>
      </x:c>
      <x:c r="D1411" s="66" t="n">
        <x:v>2025</x:v>
      </x:c>
      <x:c r="E1411" s="67" t="n">
        <x:v>2236</x:v>
      </x:c>
      <x:c r="F1411" s="68" t="n">
        <x:v>52.8</x:v>
      </x:c>
      <x:c r="G1411" s="69" t="n">
        <x:f>IF(COUNT(E1411:F1411)=2,E1411*F1411,"")</x:f>
        <x:v>118060.79999999999</x:v>
      </x:c>
    </x:row>
    <x:row r="1412">
      <x:c r="A1412" s="66" t="n">
        <x:v>13</x:v>
      </x:c>
      <x:c r="B1412" s="44" t="str">
        <x:v>Canola/Rapeseed</x:v>
      </x:c>
      <x:c r="C1412" s="44" t="str">
        <x:v>L340PC</x:v>
      </x:c>
      <x:c r="D1412" s="66" t="n">
        <x:v>2021</x:v>
      </x:c>
      <x:c r="E1412" s="67" t="n">
        <x:v>2367</x:v>
      </x:c>
      <x:c r="F1412" s="68" t="n">
        <x:v>14.4</x:v>
      </x:c>
      <x:c r="G1412" s="69" t="n">
        <x:f>IF(COUNT(E1412:F1412)=2,E1412*F1412,"")</x:f>
        <x:v>34084.8</x:v>
      </x:c>
    </x:row>
    <x:row r="1413">
      <x:c r="A1413" s="66" t="n">
        <x:v>13</x:v>
      </x:c>
      <x:c r="B1413" s="44" t="str">
        <x:v>Canola/Rapeseed</x:v>
      </x:c>
      <x:c r="C1413" s="44" t="str">
        <x:v>L340PC</x:v>
      </x:c>
      <x:c r="D1413" s="66" t="n">
        <x:v>2022</x:v>
      </x:c>
      <x:c r="E1413" s="67" t="n">
        <x:v>12391</x:v>
      </x:c>
      <x:c r="F1413" s="68" t="n">
        <x:v>16.5</x:v>
      </x:c>
      <x:c r="G1413" s="69" t="n">
        <x:f>IF(COUNT(E1413:F1413)=2,E1413*F1413,"")</x:f>
        <x:v>204451.5</x:v>
      </x:c>
    </x:row>
    <x:row r="1414">
      <x:c r="A1414" s="66" t="n">
        <x:v>13</x:v>
      </x:c>
      <x:c r="B1414" s="44" t="str">
        <x:v>Canola/Rapeseed</x:v>
      </x:c>
      <x:c r="C1414" s="44" t="str">
        <x:v>L340PC</x:v>
      </x:c>
      <x:c r="D1414" s="66" t="n">
        <x:v>2023</x:v>
      </x:c>
      <x:c r="E1414" s="67" t="n">
        <x:v>22860</x:v>
      </x:c>
      <x:c r="F1414" s="68" t="n">
        <x:v>13.5</x:v>
      </x:c>
      <x:c r="G1414" s="69" t="n">
        <x:f>IF(COUNT(E1414:F1414)=2,E1414*F1414,"")</x:f>
        <x:v>308610</x:v>
      </x:c>
    </x:row>
    <x:row r="1415">
      <x:c r="A1415" s="66" t="n">
        <x:v>13</x:v>
      </x:c>
      <x:c r="B1415" s="44" t="str">
        <x:v>Canola/Rapeseed</x:v>
      </x:c>
      <x:c r="C1415" s="44" t="str">
        <x:v>L340PC</x:v>
      </x:c>
      <x:c r="D1415" s="66" t="n">
        <x:v>2024</x:v>
      </x:c>
      <x:c r="E1415" s="67" t="n">
        <x:v>28279</x:v>
      </x:c>
      <x:c r="F1415" s="68" t="n">
        <x:v>29.5</x:v>
      </x:c>
      <x:c r="G1415" s="69" t="n">
        <x:f>IF(COUNT(E1415:F1415)=2,E1415*F1415,"")</x:f>
        <x:v>834230.5</x:v>
      </x:c>
    </x:row>
    <x:row r="1416">
      <x:c r="A1416" s="66" t="n">
        <x:v>13</x:v>
      </x:c>
      <x:c r="B1416" s="44" t="str">
        <x:v>Canola/Rapeseed</x:v>
      </x:c>
      <x:c r="C1416" s="44" t="str">
        <x:v>L340PC</x:v>
      </x:c>
      <x:c r="D1416" s="66" t="n">
        <x:v>2025</x:v>
      </x:c>
      <x:c r="E1416" s="67" t="n">
        <x:v>28087</x:v>
      </x:c>
      <x:c r="F1416" s="68" t="n">
        <x:v>48.8</x:v>
      </x:c>
      <x:c r="G1416" s="69" t="n">
        <x:f>IF(COUNT(E1416:F1416)=2,E1416*F1416,"")</x:f>
        <x:v>1370645.5999999999</x:v>
      </x:c>
    </x:row>
    <x:row r="1417">
      <x:c r="A1417" s="66" t="n">
        <x:v>13</x:v>
      </x:c>
      <x:c r="B1417" s="44" t="str">
        <x:v>Canola/Rapeseed</x:v>
      </x:c>
      <x:c r="C1417" s="44" t="str">
        <x:v>L341PC</x:v>
      </x:c>
      <x:c r="D1417" s="66" t="n">
        <x:v>2021</x:v>
      </x:c>
      <x:c r="E1417" s="67"/>
      <x:c r="F1417" s="68"/>
      <x:c r="G1417" s="69" t="str">
        <x:f>IF(COUNT(E1417:F1417)=2,E1417*F1417,"")</x:f>
      </x:c>
    </x:row>
    <x:row r="1418">
      <x:c r="A1418" s="66" t="n">
        <x:v>13</x:v>
      </x:c>
      <x:c r="B1418" s="44" t="str">
        <x:v>Canola/Rapeseed</x:v>
      </x:c>
      <x:c r="C1418" s="44" t="str">
        <x:v>L341PC</x:v>
      </x:c>
      <x:c r="D1418" s="66" t="n">
        <x:v>2022</x:v>
      </x:c>
      <x:c r="E1418" s="67"/>
      <x:c r="F1418" s="68"/>
      <x:c r="G1418" s="69" t="str">
        <x:f>IF(COUNT(E1418:F1418)=2,E1418*F1418,"")</x:f>
      </x:c>
    </x:row>
    <x:row r="1419">
      <x:c r="A1419" s="66" t="n">
        <x:v>13</x:v>
      </x:c>
      <x:c r="B1419" s="44" t="str">
        <x:v>Canola/Rapeseed</x:v>
      </x:c>
      <x:c r="C1419" s="44" t="str">
        <x:v>L341PC</x:v>
      </x:c>
      <x:c r="D1419" s="66" t="n">
        <x:v>2023</x:v>
      </x:c>
      <x:c r="E1419" s="67"/>
      <x:c r="F1419" s="68"/>
      <x:c r="G1419" s="69" t="str">
        <x:f>IF(COUNT(E1419:F1419)=2,E1419*F1419,"")</x:f>
      </x:c>
    </x:row>
    <x:row r="1420">
      <x:c r="A1420" s="66" t="n">
        <x:v>13</x:v>
      </x:c>
      <x:c r="B1420" s="44" t="str">
        <x:v>Canola/Rapeseed</x:v>
      </x:c>
      <x:c r="C1420" s="44" t="str">
        <x:v>L341PC</x:v>
      </x:c>
      <x:c r="D1420" s="66" t="n">
        <x:v>2024</x:v>
      </x:c>
      <x:c r="E1420" s="67"/>
      <x:c r="F1420" s="68"/>
      <x:c r="G1420" s="69" t="str">
        <x:f>IF(COUNT(E1420:F1420)=2,E1420*F1420,"")</x:f>
      </x:c>
    </x:row>
    <x:row r="1421">
      <x:c r="A1421" s="66" t="n">
        <x:v>13</x:v>
      </x:c>
      <x:c r="B1421" s="44" t="str">
        <x:v>Canola/Rapeseed</x:v>
      </x:c>
      <x:c r="C1421" s="44" t="str">
        <x:v>L341PC</x:v>
      </x:c>
      <x:c r="D1421" s="66" t="n">
        <x:v>2025</x:v>
      </x:c>
      <x:c r="E1421" s="67" t="n">
        <x:v>2928</x:v>
      </x:c>
      <x:c r="F1421" s="68" t="n">
        <x:v>55.5</x:v>
      </x:c>
      <x:c r="G1421" s="69" t="n">
        <x:f>IF(COUNT(E1421:F1421)=2,E1421*F1421,"")</x:f>
        <x:v>162504</x:v>
      </x:c>
    </x:row>
    <x:row r="1422">
      <x:c r="A1422" s="66" t="n">
        <x:v>13</x:v>
      </x:c>
      <x:c r="B1422" s="44" t="str">
        <x:v>Canola/Rapeseed</x:v>
      </x:c>
      <x:c r="C1422" s="44" t="str">
        <x:v>L345PC</x:v>
      </x:c>
      <x:c r="D1422" s="66" t="n">
        <x:v>2021</x:v>
      </x:c>
      <x:c r="E1422" s="67" t="n">
        <x:v>17041</x:v>
      </x:c>
      <x:c r="F1422" s="68" t="n">
        <x:v>15.4</x:v>
      </x:c>
      <x:c r="G1422" s="69" t="n">
        <x:f>IF(COUNT(E1422:F1422)=2,E1422*F1422,"")</x:f>
        <x:v>262431.4</x:v>
      </x:c>
    </x:row>
    <x:row r="1423">
      <x:c r="A1423" s="66" t="n">
        <x:v>13</x:v>
      </x:c>
      <x:c r="B1423" s="44" t="str">
        <x:v>Canola/Rapeseed</x:v>
      </x:c>
      <x:c r="C1423" s="44" t="str">
        <x:v>L345PC</x:v>
      </x:c>
      <x:c r="D1423" s="66" t="n">
        <x:v>2022</x:v>
      </x:c>
      <x:c r="E1423" s="67" t="n">
        <x:v>11146</x:v>
      </x:c>
      <x:c r="F1423" s="68" t="n">
        <x:v>15.7</x:v>
      </x:c>
      <x:c r="G1423" s="69" t="n">
        <x:f>IF(COUNT(E1423:F1423)=2,E1423*F1423,"")</x:f>
        <x:v>174992.19999999998</x:v>
      </x:c>
    </x:row>
    <x:row r="1424">
      <x:c r="A1424" s="66" t="n">
        <x:v>13</x:v>
      </x:c>
      <x:c r="B1424" s="44" t="str">
        <x:v>Canola/Rapeseed</x:v>
      </x:c>
      <x:c r="C1424" s="44" t="str">
        <x:v>L345PC</x:v>
      </x:c>
      <x:c r="D1424" s="66" t="n">
        <x:v>2023</x:v>
      </x:c>
      <x:c r="E1424" s="67" t="n">
        <x:v>11094</x:v>
      </x:c>
      <x:c r="F1424" s="68" t="n">
        <x:v>13.1</x:v>
      </x:c>
      <x:c r="G1424" s="69" t="n">
        <x:f>IF(COUNT(E1424:F1424)=2,E1424*F1424,"")</x:f>
        <x:v>145331.4</x:v>
      </x:c>
    </x:row>
    <x:row r="1425">
      <x:c r="A1425" s="66" t="n">
        <x:v>13</x:v>
      </x:c>
      <x:c r="B1425" s="44" t="str">
        <x:v>Canola/Rapeseed</x:v>
      </x:c>
      <x:c r="C1425" s="44" t="str">
        <x:v>L345PC</x:v>
      </x:c>
      <x:c r="D1425" s="66" t="n">
        <x:v>2024</x:v>
      </x:c>
      <x:c r="E1425" s="67" t="n">
        <x:v>8353</x:v>
      </x:c>
      <x:c r="F1425" s="68" t="n">
        <x:v>34.1</x:v>
      </x:c>
      <x:c r="G1425" s="69" t="n">
        <x:f>IF(COUNT(E1425:F1425)=2,E1425*F1425,"")</x:f>
        <x:v>284837.3</x:v>
      </x:c>
    </x:row>
    <x:row r="1426">
      <x:c r="A1426" s="66" t="n">
        <x:v>13</x:v>
      </x:c>
      <x:c r="B1426" s="44" t="str">
        <x:v>Canola/Rapeseed</x:v>
      </x:c>
      <x:c r="C1426" s="44" t="str">
        <x:v>L345PC</x:v>
      </x:c>
      <x:c r="D1426" s="66" t="n">
        <x:v>2025</x:v>
      </x:c>
      <x:c r="E1426" s="67" t="n">
        <x:v>1823</x:v>
      </x:c>
      <x:c r="F1426" s="68" t="n">
        <x:v>47.4</x:v>
      </x:c>
      <x:c r="G1426" s="69" t="n">
        <x:f>IF(COUNT(E1426:F1426)=2,E1426*F1426,"")</x:f>
        <x:v>86410.2</x:v>
      </x:c>
    </x:row>
    <x:row r="1427">
      <x:c r="A1427" s="66" t="n">
        <x:v>13</x:v>
      </x:c>
      <x:c r="B1427" s="44" t="str">
        <x:v>Canola/Rapeseed</x:v>
      </x:c>
      <x:c r="C1427" s="44" t="str">
        <x:v>L356PC</x:v>
      </x:c>
      <x:c r="D1427" s="66" t="n">
        <x:v>2021</x:v>
      </x:c>
      <x:c r="E1427" s="67"/>
      <x:c r="F1427" s="68"/>
      <x:c r="G1427" s="69" t="str">
        <x:f>IF(COUNT(E1427:F1427)=2,E1427*F1427,"")</x:f>
      </x:c>
    </x:row>
    <x:row r="1428">
      <x:c r="A1428" s="66" t="n">
        <x:v>13</x:v>
      </x:c>
      <x:c r="B1428" s="44" t="str">
        <x:v>Canola/Rapeseed</x:v>
      </x:c>
      <x:c r="C1428" s="44" t="str">
        <x:v>L356PC</x:v>
      </x:c>
      <x:c r="D1428" s="66" t="n">
        <x:v>2022</x:v>
      </x:c>
      <x:c r="E1428" s="67" t="n">
        <x:v>2621</x:v>
      </x:c>
      <x:c r="F1428" s="68" t="n">
        <x:v>15.5</x:v>
      </x:c>
      <x:c r="G1428" s="69" t="n">
        <x:f>IF(COUNT(E1428:F1428)=2,E1428*F1428,"")</x:f>
        <x:v>40625.5</x:v>
      </x:c>
    </x:row>
    <x:row r="1429">
      <x:c r="A1429" s="66" t="n">
        <x:v>13</x:v>
      </x:c>
      <x:c r="B1429" s="44" t="str">
        <x:v>Canola/Rapeseed</x:v>
      </x:c>
      <x:c r="C1429" s="44" t="str">
        <x:v>L356PC</x:v>
      </x:c>
      <x:c r="D1429" s="66" t="n">
        <x:v>2023</x:v>
      </x:c>
      <x:c r="E1429" s="67" t="n">
        <x:v>3205</x:v>
      </x:c>
      <x:c r="F1429" s="68" t="n">
        <x:v>17</x:v>
      </x:c>
      <x:c r="G1429" s="69" t="n">
        <x:f>IF(COUNT(E1429:F1429)=2,E1429*F1429,"")</x:f>
        <x:v>54485</x:v>
      </x:c>
    </x:row>
    <x:row r="1430">
      <x:c r="A1430" s="66" t="n">
        <x:v>13</x:v>
      </x:c>
      <x:c r="B1430" s="44" t="str">
        <x:v>Canola/Rapeseed</x:v>
      </x:c>
      <x:c r="C1430" s="44" t="str">
        <x:v>L356PC</x:v>
      </x:c>
      <x:c r="D1430" s="66" t="n">
        <x:v>2024</x:v>
      </x:c>
      <x:c r="E1430" s="67" t="n">
        <x:v>3050</x:v>
      </x:c>
      <x:c r="F1430" s="68" t="n">
        <x:v>28.1</x:v>
      </x:c>
      <x:c r="G1430" s="69" t="n">
        <x:f>IF(COUNT(E1430:F1430)=2,E1430*F1430,"")</x:f>
        <x:v>85705</x:v>
      </x:c>
    </x:row>
    <x:row r="1431">
      <x:c r="A1431" s="66" t="n">
        <x:v>13</x:v>
      </x:c>
      <x:c r="B1431" s="44" t="str">
        <x:v>Canola/Rapeseed</x:v>
      </x:c>
      <x:c r="C1431" s="44" t="str">
        <x:v>L356PC</x:v>
      </x:c>
      <x:c r="D1431" s="66" t="n">
        <x:v>2025</x:v>
      </x:c>
      <x:c r="E1431" s="67" t="n">
        <x:v>1630</x:v>
      </x:c>
      <x:c r="F1431" s="68" t="n">
        <x:v>52.9</x:v>
      </x:c>
      <x:c r="G1431" s="69" t="n">
        <x:f>IF(COUNT(E1431:F1431)=2,E1431*F1431,"")</x:f>
        <x:v>86227</x:v>
      </x:c>
    </x:row>
    <x:row r="1432">
      <x:c r="A1432" s="66" t="n">
        <x:v>14</x:v>
      </x:c>
      <x:c r="B1432" s="44" t="str">
        <x:v>Canola/Rapeseed</x:v>
      </x:c>
      <x:c r="C1432" s="44" t="str">
        <x:v>BY 5125CL</x:v>
      </x:c>
      <x:c r="D1432" s="66" t="n">
        <x:v>2021</x:v>
      </x:c>
      <x:c r="E1432" s="67" t="n">
        <x:v>981</x:v>
      </x:c>
      <x:c r="F1432" s="68" t="n">
        <x:v>35.7</x:v>
      </x:c>
      <x:c r="G1432" s="69" t="n">
        <x:f>IF(COUNT(E1432:F1432)=2,E1432*F1432,"")</x:f>
        <x:v>35021.700000000004</x:v>
      </x:c>
    </x:row>
    <x:row r="1433">
      <x:c r="A1433" s="66" t="n">
        <x:v>14</x:v>
      </x:c>
      <x:c r="B1433" s="44" t="str">
        <x:v>Canola/Rapeseed</x:v>
      </x:c>
      <x:c r="C1433" s="44" t="str">
        <x:v>BY 5125CL</x:v>
      </x:c>
      <x:c r="D1433" s="66" t="n">
        <x:v>2022</x:v>
      </x:c>
      <x:c r="E1433" s="67" t="n">
        <x:v>1540</x:v>
      </x:c>
      <x:c r="F1433" s="68" t="n">
        <x:v>45</x:v>
      </x:c>
      <x:c r="G1433" s="69" t="n">
        <x:f>IF(COUNT(E1433:F1433)=2,E1433*F1433,"")</x:f>
        <x:v>69300</x:v>
      </x:c>
    </x:row>
    <x:row r="1434">
      <x:c r="A1434" s="66" t="n">
        <x:v>14</x:v>
      </x:c>
      <x:c r="B1434" s="44" t="str">
        <x:v>Canola/Rapeseed</x:v>
      </x:c>
      <x:c r="C1434" s="44" t="str">
        <x:v>BY 5125CL</x:v>
      </x:c>
      <x:c r="D1434" s="66" t="n">
        <x:v>2023</x:v>
      </x:c>
      <x:c r="E1434" s="67" t="n">
        <x:v>2039</x:v>
      </x:c>
      <x:c r="F1434" s="68" t="n">
        <x:v>35.9</x:v>
      </x:c>
      <x:c r="G1434" s="69" t="n">
        <x:f>IF(COUNT(E1434:F1434)=2,E1434*F1434,"")</x:f>
        <x:v>73200.09999999999</x:v>
      </x:c>
    </x:row>
    <x:row r="1435">
      <x:c r="A1435" s="66" t="n">
        <x:v>14</x:v>
      </x:c>
      <x:c r="B1435" s="44" t="str">
        <x:v>Canola/Rapeseed</x:v>
      </x:c>
      <x:c r="C1435" s="44" t="str">
        <x:v>BY 5125CL</x:v>
      </x:c>
      <x:c r="D1435" s="66" t="n">
        <x:v>2024</x:v>
      </x:c>
      <x:c r="E1435" s="67" t="n">
        <x:v>410</x:v>
      </x:c>
      <x:c r="F1435" s="68" t="n">
        <x:v>34.3</x:v>
      </x:c>
      <x:c r="G1435" s="69" t="n">
        <x:f>IF(COUNT(E1435:F1435)=2,E1435*F1435,"")</x:f>
        <x:v>14062.999999999998</x:v>
      </x:c>
    </x:row>
    <x:row r="1436">
      <x:c r="A1436" s="66" t="n">
        <x:v>14</x:v>
      </x:c>
      <x:c r="B1436" s="44" t="str">
        <x:v>Canola/Rapeseed</x:v>
      </x:c>
      <x:c r="C1436" s="44" t="str">
        <x:v>BY 5125CL</x:v>
      </x:c>
      <x:c r="D1436" s="66" t="n">
        <x:v>2025</x:v>
      </x:c>
      <x:c r="E1436" s="67" t="n">
        <x:v>809</x:v>
      </x:c>
      <x:c r="F1436" s="68" t="n">
        <x:v>34.4</x:v>
      </x:c>
      <x:c r="G1436" s="69" t="n">
        <x:f>IF(COUNT(E1436:F1436)=2,E1436*F1436,"")</x:f>
        <x:v>27829.6</x:v>
      </x:c>
    </x:row>
    <x:row r="1437">
      <x:c r="A1437" s="66" t="n">
        <x:v>14</x:v>
      </x:c>
      <x:c r="B1437" s="44" t="str">
        <x:v>Canola/Rapeseed</x:v>
      </x:c>
      <x:c r="C1437" s="44" t="str">
        <x:v>BY 6204TF</x:v>
      </x:c>
      <x:c r="D1437" s="66" t="n">
        <x:v>2021</x:v>
      </x:c>
      <x:c r="E1437" s="67" t="n">
        <x:v>3184</x:v>
      </x:c>
      <x:c r="F1437" s="68" t="n">
        <x:v>33.5</x:v>
      </x:c>
      <x:c r="G1437" s="69" t="n">
        <x:f>IF(COUNT(E1437:F1437)=2,E1437*F1437,"")</x:f>
        <x:v>106664</x:v>
      </x:c>
    </x:row>
    <x:row r="1438">
      <x:c r="A1438" s="66" t="n">
        <x:v>14</x:v>
      </x:c>
      <x:c r="B1438" s="44" t="str">
        <x:v>Canola/Rapeseed</x:v>
      </x:c>
      <x:c r="C1438" s="44" t="str">
        <x:v>BY 6204TF</x:v>
      </x:c>
      <x:c r="D1438" s="66" t="n">
        <x:v>2022</x:v>
      </x:c>
      <x:c r="E1438" s="67" t="n">
        <x:v>13168</x:v>
      </x:c>
      <x:c r="F1438" s="68" t="n">
        <x:v>42.9</x:v>
      </x:c>
      <x:c r="G1438" s="69" t="n">
        <x:f>IF(COUNT(E1438:F1438)=2,E1438*F1438,"")</x:f>
        <x:v>564907.2</x:v>
      </x:c>
    </x:row>
    <x:row r="1439">
      <x:c r="A1439" s="66" t="n">
        <x:v>14</x:v>
      </x:c>
      <x:c r="B1439" s="44" t="str">
        <x:v>Canola/Rapeseed</x:v>
      </x:c>
      <x:c r="C1439" s="44" t="str">
        <x:v>BY 6204TF</x:v>
      </x:c>
      <x:c r="D1439" s="66" t="n">
        <x:v>2023</x:v>
      </x:c>
      <x:c r="E1439" s="67" t="n">
        <x:v>7715</x:v>
      </x:c>
      <x:c r="F1439" s="68" t="n">
        <x:v>49.2</x:v>
      </x:c>
      <x:c r="G1439" s="69" t="n">
        <x:f>IF(COUNT(E1439:F1439)=2,E1439*F1439,"")</x:f>
        <x:v>379578</x:v>
      </x:c>
    </x:row>
    <x:row r="1440">
      <x:c r="A1440" s="66" t="n">
        <x:v>14</x:v>
      </x:c>
      <x:c r="B1440" s="44" t="str">
        <x:v>Canola/Rapeseed</x:v>
      </x:c>
      <x:c r="C1440" s="44" t="str">
        <x:v>BY 6204TF</x:v>
      </x:c>
      <x:c r="D1440" s="66" t="n">
        <x:v>2024</x:v>
      </x:c>
      <x:c r="E1440" s="67" t="n">
        <x:v>1560</x:v>
      </x:c>
      <x:c r="F1440" s="68" t="n">
        <x:v>34.7</x:v>
      </x:c>
      <x:c r="G1440" s="69" t="n">
        <x:f>IF(COUNT(E1440:F1440)=2,E1440*F1440,"")</x:f>
        <x:v>54132.00000000001</x:v>
      </x:c>
    </x:row>
    <x:row r="1441">
      <x:c r="A1441" s="66" t="n">
        <x:v>14</x:v>
      </x:c>
      <x:c r="B1441" s="44" t="str">
        <x:v>Canola/Rapeseed</x:v>
      </x:c>
      <x:c r="C1441" s="44" t="str">
        <x:v>BY 6204TF</x:v>
      </x:c>
      <x:c r="D1441" s="66" t="n">
        <x:v>2025</x:v>
      </x:c>
      <x:c r="E1441" s="67" t="n">
        <x:v>952</x:v>
      </x:c>
      <x:c r="F1441" s="68" t="n">
        <x:v>41.4</x:v>
      </x:c>
      <x:c r="G1441" s="69" t="n">
        <x:f>IF(COUNT(E1441:F1441)=2,E1441*F1441,"")</x:f>
        <x:v>39412.799999999996</x:v>
      </x:c>
    </x:row>
    <x:row r="1442">
      <x:c r="A1442" s="66" t="n">
        <x:v>14</x:v>
      </x:c>
      <x:c r="B1442" s="44" t="str">
        <x:v>Canola/Rapeseed</x:v>
      </x:c>
      <x:c r="C1442" s="44" t="str">
        <x:v>BY 6211TF</x:v>
      </x:c>
      <x:c r="D1442" s="66" t="n">
        <x:v>2021</x:v>
      </x:c>
      <x:c r="E1442" s="67"/>
      <x:c r="F1442" s="68"/>
      <x:c r="G1442" s="69" t="str">
        <x:f>IF(COUNT(E1442:F1442)=2,E1442*F1442,"")</x:f>
      </x:c>
    </x:row>
    <x:row r="1443">
      <x:c r="A1443" s="66" t="n">
        <x:v>14</x:v>
      </x:c>
      <x:c r="B1443" s="44" t="str">
        <x:v>Canola/Rapeseed</x:v>
      </x:c>
      <x:c r="C1443" s="44" t="str">
        <x:v>BY 6211TF</x:v>
      </x:c>
      <x:c r="D1443" s="66" t="n">
        <x:v>2022</x:v>
      </x:c>
      <x:c r="E1443" s="67" t="n">
        <x:v>2045</x:v>
      </x:c>
      <x:c r="F1443" s="68" t="n">
        <x:v>44.2</x:v>
      </x:c>
      <x:c r="G1443" s="69" t="n">
        <x:f>IF(COUNT(E1443:F1443)=2,E1443*F1443,"")</x:f>
        <x:v>90389</x:v>
      </x:c>
    </x:row>
    <x:row r="1444">
      <x:c r="A1444" s="66" t="n">
        <x:v>14</x:v>
      </x:c>
      <x:c r="B1444" s="44" t="str">
        <x:v>Canola/Rapeseed</x:v>
      </x:c>
      <x:c r="C1444" s="44" t="str">
        <x:v>BY 6211TF</x:v>
      </x:c>
      <x:c r="D1444" s="66" t="n">
        <x:v>2023</x:v>
      </x:c>
      <x:c r="E1444" s="67" t="n">
        <x:v>13860</x:v>
      </x:c>
      <x:c r="F1444" s="68" t="n">
        <x:v>49.6</x:v>
      </x:c>
      <x:c r="G1444" s="69" t="n">
        <x:f>IF(COUNT(E1444:F1444)=2,E1444*F1444,"")</x:f>
        <x:v>687456</x:v>
      </x:c>
    </x:row>
    <x:row r="1445">
      <x:c r="A1445" s="66" t="n">
        <x:v>14</x:v>
      </x:c>
      <x:c r="B1445" s="44" t="str">
        <x:v>Canola/Rapeseed</x:v>
      </x:c>
      <x:c r="C1445" s="44" t="str">
        <x:v>BY 6211TF</x:v>
      </x:c>
      <x:c r="D1445" s="66" t="n">
        <x:v>2024</x:v>
      </x:c>
      <x:c r="E1445" s="67" t="n">
        <x:v>5395</x:v>
      </x:c>
      <x:c r="F1445" s="68" t="n">
        <x:v>34.9</x:v>
      </x:c>
      <x:c r="G1445" s="69" t="n">
        <x:f>IF(COUNT(E1445:F1445)=2,E1445*F1445,"")</x:f>
        <x:v>188285.5</x:v>
      </x:c>
    </x:row>
    <x:row r="1446">
      <x:c r="A1446" s="66" t="n">
        <x:v>14</x:v>
      </x:c>
      <x:c r="B1446" s="44" t="str">
        <x:v>Canola/Rapeseed</x:v>
      </x:c>
      <x:c r="C1446" s="44" t="str">
        <x:v>BY 6211TF</x:v>
      </x:c>
      <x:c r="D1446" s="66" t="n">
        <x:v>2025</x:v>
      </x:c>
      <x:c r="E1446" s="67" t="n">
        <x:v>6753</x:v>
      </x:c>
      <x:c r="F1446" s="68" t="n">
        <x:v>40.4</x:v>
      </x:c>
      <x:c r="G1446" s="69" t="n">
        <x:f>IF(COUNT(E1446:F1446)=2,E1446*F1446,"")</x:f>
        <x:v>272821.2</x:v>
      </x:c>
    </x:row>
    <x:row r="1447">
      <x:c r="A1447" s="66" t="n">
        <x:v>14</x:v>
      </x:c>
      <x:c r="B1447" s="44" t="str">
        <x:v>Canola/Rapeseed</x:v>
      </x:c>
      <x:c r="C1447" s="44" t="str">
        <x:v>BY 6214TF</x:v>
      </x:c>
      <x:c r="D1447" s="66" t="n">
        <x:v>2021</x:v>
      </x:c>
      <x:c r="E1447" s="67"/>
      <x:c r="F1447" s="68"/>
      <x:c r="G1447" s="69" t="str">
        <x:f>IF(COUNT(E1447:F1447)=2,E1447*F1447,"")</x:f>
      </x:c>
    </x:row>
    <x:row r="1448">
      <x:c r="A1448" s="66" t="n">
        <x:v>14</x:v>
      </x:c>
      <x:c r="B1448" s="44" t="str">
        <x:v>Canola/Rapeseed</x:v>
      </x:c>
      <x:c r="C1448" s="44" t="str">
        <x:v>BY 6214TF</x:v>
      </x:c>
      <x:c r="D1448" s="66" t="n">
        <x:v>2022</x:v>
      </x:c>
      <x:c r="E1448" s="67"/>
      <x:c r="F1448" s="68"/>
      <x:c r="G1448" s="69" t="str">
        <x:f>IF(COUNT(E1448:F1448)=2,E1448*F1448,"")</x:f>
      </x:c>
    </x:row>
    <x:row r="1449">
      <x:c r="A1449" s="66" t="n">
        <x:v>14</x:v>
      </x:c>
      <x:c r="B1449" s="44" t="str">
        <x:v>Canola/Rapeseed</x:v>
      </x:c>
      <x:c r="C1449" s="44" t="str">
        <x:v>BY 6214TF</x:v>
      </x:c>
      <x:c r="D1449" s="66" t="n">
        <x:v>2023</x:v>
      </x:c>
      <x:c r="E1449" s="67"/>
      <x:c r="F1449" s="68"/>
      <x:c r="G1449" s="69" t="str">
        <x:f>IF(COUNT(E1449:F1449)=2,E1449*F1449,"")</x:f>
      </x:c>
    </x:row>
    <x:row r="1450">
      <x:c r="A1450" s="66" t="n">
        <x:v>14</x:v>
      </x:c>
      <x:c r="B1450" s="44" t="str">
        <x:v>Canola/Rapeseed</x:v>
      </x:c>
      <x:c r="C1450" s="44" t="str">
        <x:v>BY 6214TF</x:v>
      </x:c>
      <x:c r="D1450" s="66" t="n">
        <x:v>2024</x:v>
      </x:c>
      <x:c r="E1450" s="67" t="n">
        <x:v>2774</x:v>
      </x:c>
      <x:c r="F1450" s="68" t="n">
        <x:v>32.5</x:v>
      </x:c>
      <x:c r="G1450" s="69" t="n">
        <x:f>IF(COUNT(E1450:F1450)=2,E1450*F1450,"")</x:f>
        <x:v>90155</x:v>
      </x:c>
    </x:row>
    <x:row r="1451">
      <x:c r="A1451" s="66" t="n">
        <x:v>14</x:v>
      </x:c>
      <x:c r="B1451" s="44" t="str">
        <x:v>Canola/Rapeseed</x:v>
      </x:c>
      <x:c r="C1451" s="44" t="str">
        <x:v>BY 6214TF</x:v>
      </x:c>
      <x:c r="D1451" s="66" t="n">
        <x:v>2025</x:v>
      </x:c>
      <x:c r="E1451" s="67" t="n">
        <x:v>1625</x:v>
      </x:c>
      <x:c r="F1451" s="68" t="n">
        <x:v>46.7</x:v>
      </x:c>
      <x:c r="G1451" s="69" t="n">
        <x:f>IF(COUNT(E1451:F1451)=2,E1451*F1451,"")</x:f>
        <x:v>75887.5</x:v>
      </x:c>
    </x:row>
    <x:row r="1452">
      <x:c r="A1452" s="66" t="n">
        <x:v>14</x:v>
      </x:c>
      <x:c r="B1452" s="44" t="str">
        <x:v>Canola/Rapeseed</x:v>
      </x:c>
      <x:c r="C1452" s="44" t="str">
        <x:v>BY 6217TF</x:v>
      </x:c>
      <x:c r="D1452" s="66" t="n">
        <x:v>2021</x:v>
      </x:c>
      <x:c r="E1452" s="67"/>
      <x:c r="F1452" s="68"/>
      <x:c r="G1452" s="69" t="str">
        <x:f>IF(COUNT(E1452:F1452)=2,E1452*F1452,"")</x:f>
      </x:c>
    </x:row>
    <x:row r="1453">
      <x:c r="A1453" s="66" t="n">
        <x:v>14</x:v>
      </x:c>
      <x:c r="B1453" s="44" t="str">
        <x:v>Canola/Rapeseed</x:v>
      </x:c>
      <x:c r="C1453" s="44" t="str">
        <x:v>BY 6217TF</x:v>
      </x:c>
      <x:c r="D1453" s="66" t="n">
        <x:v>2022</x:v>
      </x:c>
      <x:c r="E1453" s="67"/>
      <x:c r="F1453" s="68"/>
      <x:c r="G1453" s="69" t="str">
        <x:f>IF(COUNT(E1453:F1453)=2,E1453*F1453,"")</x:f>
      </x:c>
    </x:row>
    <x:row r="1454">
      <x:c r="A1454" s="66" t="n">
        <x:v>14</x:v>
      </x:c>
      <x:c r="B1454" s="44" t="str">
        <x:v>Canola/Rapeseed</x:v>
      </x:c>
      <x:c r="C1454" s="44" t="str">
        <x:v>BY 6217TF</x:v>
      </x:c>
      <x:c r="D1454" s="66" t="n">
        <x:v>2023</x:v>
      </x:c>
      <x:c r="E1454" s="67" t="n">
        <x:v>8281</x:v>
      </x:c>
      <x:c r="F1454" s="68" t="n">
        <x:v>51.8</x:v>
      </x:c>
      <x:c r="G1454" s="69" t="n">
        <x:f>IF(COUNT(E1454:F1454)=2,E1454*F1454,"")</x:f>
        <x:v>428955.8</x:v>
      </x:c>
    </x:row>
    <x:row r="1455">
      <x:c r="A1455" s="66" t="n">
        <x:v>14</x:v>
      </x:c>
      <x:c r="B1455" s="44" t="str">
        <x:v>Canola/Rapeseed</x:v>
      </x:c>
      <x:c r="C1455" s="44" t="str">
        <x:v>BY 6217TF</x:v>
      </x:c>
      <x:c r="D1455" s="66" t="n">
        <x:v>2024</x:v>
      </x:c>
      <x:c r="E1455" s="67" t="n">
        <x:v>7978</x:v>
      </x:c>
      <x:c r="F1455" s="68" t="n">
        <x:v>32.7</x:v>
      </x:c>
      <x:c r="G1455" s="69" t="n">
        <x:f>IF(COUNT(E1455:F1455)=2,E1455*F1455,"")</x:f>
        <x:v>260880.60000000003</x:v>
      </x:c>
    </x:row>
    <x:row r="1456">
      <x:c r="A1456" s="66" t="n">
        <x:v>14</x:v>
      </x:c>
      <x:c r="B1456" s="44" t="str">
        <x:v>Canola/Rapeseed</x:v>
      </x:c>
      <x:c r="C1456" s="44" t="str">
        <x:v>BY 6217TF</x:v>
      </x:c>
      <x:c r="D1456" s="66" t="n">
        <x:v>2025</x:v>
      </x:c>
      <x:c r="E1456" s="67" t="n">
        <x:v>8918</x:v>
      </x:c>
      <x:c r="F1456" s="68" t="n">
        <x:v>38.1</x:v>
      </x:c>
      <x:c r="G1456" s="69" t="n">
        <x:f>IF(COUNT(E1456:F1456)=2,E1456*F1456,"")</x:f>
        <x:v>339775.8</x:v>
      </x:c>
    </x:row>
    <x:row r="1457">
      <x:c r="A1457" s="66" t="n">
        <x:v>14</x:v>
      </x:c>
      <x:c r="B1457" s="44" t="str">
        <x:v>Canola/Rapeseed</x:v>
      </x:c>
      <x:c r="C1457" s="44" t="str">
        <x:v>BY 7204LL</x:v>
      </x:c>
      <x:c r="D1457" s="66" t="n">
        <x:v>2021</x:v>
      </x:c>
      <x:c r="E1457" s="67"/>
      <x:c r="F1457" s="68"/>
      <x:c r="G1457" s="69" t="str">
        <x:f>IF(COUNT(E1457:F1457)=2,E1457*F1457,"")</x:f>
      </x:c>
    </x:row>
    <x:row r="1458">
      <x:c r="A1458" s="66" t="n">
        <x:v>14</x:v>
      </x:c>
      <x:c r="B1458" s="44" t="str">
        <x:v>Canola/Rapeseed</x:v>
      </x:c>
      <x:c r="C1458" s="44" t="str">
        <x:v>BY 7204LL</x:v>
      </x:c>
      <x:c r="D1458" s="66" t="n">
        <x:v>2022</x:v>
      </x:c>
      <x:c r="E1458" s="67"/>
      <x:c r="F1458" s="68"/>
      <x:c r="G1458" s="69" t="str">
        <x:f>IF(COUNT(E1458:F1458)=2,E1458*F1458,"")</x:f>
      </x:c>
    </x:row>
    <x:row r="1459">
      <x:c r="A1459" s="66" t="n">
        <x:v>14</x:v>
      </x:c>
      <x:c r="B1459" s="44" t="str">
        <x:v>Canola/Rapeseed</x:v>
      </x:c>
      <x:c r="C1459" s="44" t="str">
        <x:v>BY 7204LL</x:v>
      </x:c>
      <x:c r="D1459" s="66" t="n">
        <x:v>2023</x:v>
      </x:c>
      <x:c r="E1459" s="67"/>
      <x:c r="F1459" s="68"/>
      <x:c r="G1459" s="69" t="str">
        <x:f>IF(COUNT(E1459:F1459)=2,E1459*F1459,"")</x:f>
      </x:c>
    </x:row>
    <x:row r="1460">
      <x:c r="A1460" s="66" t="n">
        <x:v>14</x:v>
      </x:c>
      <x:c r="B1460" s="44" t="str">
        <x:v>Canola/Rapeseed</x:v>
      </x:c>
      <x:c r="C1460" s="44" t="str">
        <x:v>BY 7204LL</x:v>
      </x:c>
      <x:c r="D1460" s="66" t="n">
        <x:v>2024</x:v>
      </x:c>
      <x:c r="E1460" s="67" t="n">
        <x:v>3125</x:v>
      </x:c>
      <x:c r="F1460" s="68" t="n">
        <x:v>35</x:v>
      </x:c>
      <x:c r="G1460" s="69" t="n">
        <x:f>IF(COUNT(E1460:F1460)=2,E1460*F1460,"")</x:f>
        <x:v>109375</x:v>
      </x:c>
    </x:row>
    <x:row r="1461">
      <x:c r="A1461" s="66" t="n">
        <x:v>14</x:v>
      </x:c>
      <x:c r="B1461" s="44" t="str">
        <x:v>Canola/Rapeseed</x:v>
      </x:c>
      <x:c r="C1461" s="44" t="str">
        <x:v>BY 7204LL</x:v>
      </x:c>
      <x:c r="D1461" s="66" t="n">
        <x:v>2025</x:v>
      </x:c>
      <x:c r="E1461" s="67" t="n">
        <x:v>8995</x:v>
      </x:c>
      <x:c r="F1461" s="68" t="n">
        <x:v>48.4</x:v>
      </x:c>
      <x:c r="G1461" s="69" t="n">
        <x:f>IF(COUNT(E1461:F1461)=2,E1461*F1461,"")</x:f>
        <x:v>435358</x:v>
      </x:c>
    </x:row>
    <x:row r="1462">
      <x:c r="A1462" s="66" t="n">
        <x:v>14</x:v>
      </x:c>
      <x:c r="B1462" s="44" t="str">
        <x:v>Canola/Rapeseed</x:v>
      </x:c>
      <x:c r="C1462" s="44" t="str">
        <x:v>B3019</x:v>
      </x:c>
      <x:c r="D1462" s="66" t="n">
        <x:v>2021</x:v>
      </x:c>
      <x:c r="E1462" s="67"/>
      <x:c r="F1462" s="68"/>
      <x:c r="G1462" s="69" t="str">
        <x:f>IF(COUNT(E1462:F1462)=2,E1462*F1462,"")</x:f>
      </x:c>
    </x:row>
    <x:row r="1463">
      <x:c r="A1463" s="66" t="n">
        <x:v>14</x:v>
      </x:c>
      <x:c r="B1463" s="44" t="str">
        <x:v>Canola/Rapeseed</x:v>
      </x:c>
      <x:c r="C1463" s="44" t="str">
        <x:v>B3019</x:v>
      </x:c>
      <x:c r="D1463" s="66" t="n">
        <x:v>2022</x:v>
      </x:c>
      <x:c r="E1463" s="67"/>
      <x:c r="F1463" s="68"/>
      <x:c r="G1463" s="69" t="str">
        <x:f>IF(COUNT(E1463:F1463)=2,E1463*F1463,"")</x:f>
      </x:c>
    </x:row>
    <x:row r="1464">
      <x:c r="A1464" s="66" t="n">
        <x:v>14</x:v>
      </x:c>
      <x:c r="B1464" s="44" t="str">
        <x:v>Canola/Rapeseed</x:v>
      </x:c>
      <x:c r="C1464" s="44" t="str">
        <x:v>B3019</x:v>
      </x:c>
      <x:c r="D1464" s="66" t="n">
        <x:v>2023</x:v>
      </x:c>
      <x:c r="E1464" s="67"/>
      <x:c r="F1464" s="68"/>
      <x:c r="G1464" s="69" t="str">
        <x:f>IF(COUNT(E1464:F1464)=2,E1464*F1464,"")</x:f>
      </x:c>
    </x:row>
    <x:row r="1465">
      <x:c r="A1465" s="66" t="n">
        <x:v>14</x:v>
      </x:c>
      <x:c r="B1465" s="44" t="str">
        <x:v>Canola/Rapeseed</x:v>
      </x:c>
      <x:c r="C1465" s="44" t="str">
        <x:v>B3019</x:v>
      </x:c>
      <x:c r="D1465" s="66" t="n">
        <x:v>2024</x:v>
      </x:c>
      <x:c r="E1465" s="67" t="n">
        <x:v>532</x:v>
      </x:c>
      <x:c r="F1465" s="68" t="n">
        <x:v>39</x:v>
      </x:c>
      <x:c r="G1465" s="69" t="n">
        <x:f>IF(COUNT(E1465:F1465)=2,E1465*F1465,"")</x:f>
        <x:v>20748</x:v>
      </x:c>
    </x:row>
    <x:row r="1466">
      <x:c r="A1466" s="66" t="n">
        <x:v>14</x:v>
      </x:c>
      <x:c r="B1466" s="44" t="str">
        <x:v>Canola/Rapeseed</x:v>
      </x:c>
      <x:c r="C1466" s="44" t="str">
        <x:v>B3019</x:v>
      </x:c>
      <x:c r="D1466" s="66" t="n">
        <x:v>2025</x:v>
      </x:c>
      <x:c r="E1466" s="67" t="n">
        <x:v>1456</x:v>
      </x:c>
      <x:c r="F1466" s="68" t="n">
        <x:v>50.1</x:v>
      </x:c>
      <x:c r="G1466" s="69" t="n">
        <x:f>IF(COUNT(E1466:F1466)=2,E1466*F1466,"")</x:f>
        <x:v>72945.6</x:v>
      </x:c>
    </x:row>
    <x:row r="1467">
      <x:c r="A1467" s="66" t="n">
        <x:v>14</x:v>
      </x:c>
      <x:c r="B1467" s="44" t="str">
        <x:v>Canola/Rapeseed</x:v>
      </x:c>
      <x:c r="C1467" s="44" t="str">
        <x:v>B3020</x:v>
      </x:c>
      <x:c r="D1467" s="66" t="n">
        <x:v>2021</x:v>
      </x:c>
      <x:c r="E1467" s="67"/>
      <x:c r="F1467" s="68"/>
      <x:c r="G1467" s="69" t="str">
        <x:f>IF(COUNT(E1467:F1467)=2,E1467*F1467,"")</x:f>
      </x:c>
    </x:row>
    <x:row r="1468">
      <x:c r="A1468" s="66" t="n">
        <x:v>14</x:v>
      </x:c>
      <x:c r="B1468" s="44" t="str">
        <x:v>Canola/Rapeseed</x:v>
      </x:c>
      <x:c r="C1468" s="44" t="str">
        <x:v>B3020</x:v>
      </x:c>
      <x:c r="D1468" s="66" t="n">
        <x:v>2022</x:v>
      </x:c>
      <x:c r="E1468" s="67"/>
      <x:c r="F1468" s="68"/>
      <x:c r="G1468" s="69" t="str">
        <x:f>IF(COUNT(E1468:F1468)=2,E1468*F1468,"")</x:f>
      </x:c>
    </x:row>
    <x:row r="1469">
      <x:c r="A1469" s="66" t="n">
        <x:v>14</x:v>
      </x:c>
      <x:c r="B1469" s="44" t="str">
        <x:v>Canola/Rapeseed</x:v>
      </x:c>
      <x:c r="C1469" s="44" t="str">
        <x:v>B3020</x:v>
      </x:c>
      <x:c r="D1469" s="66" t="n">
        <x:v>2023</x:v>
      </x:c>
      <x:c r="E1469" s="67"/>
      <x:c r="F1469" s="68"/>
      <x:c r="G1469" s="69" t="str">
        <x:f>IF(COUNT(E1469:F1469)=2,E1469*F1469,"")</x:f>
      </x:c>
    </x:row>
    <x:row r="1470">
      <x:c r="A1470" s="66" t="n">
        <x:v>14</x:v>
      </x:c>
      <x:c r="B1470" s="44" t="str">
        <x:v>Canola/Rapeseed</x:v>
      </x:c>
      <x:c r="C1470" s="44" t="str">
        <x:v>B3020</x:v>
      </x:c>
      <x:c r="D1470" s="66" t="n">
        <x:v>2024</x:v>
      </x:c>
      <x:c r="E1470" s="67"/>
      <x:c r="F1470" s="68"/>
      <x:c r="G1470" s="69" t="str">
        <x:f>IF(COUNT(E1470:F1470)=2,E1470*F1470,"")</x:f>
      </x:c>
    </x:row>
    <x:row r="1471">
      <x:c r="A1471" s="66" t="n">
        <x:v>14</x:v>
      </x:c>
      <x:c r="B1471" s="44" t="str">
        <x:v>Canola/Rapeseed</x:v>
      </x:c>
      <x:c r="C1471" s="44" t="str">
        <x:v>B3020</x:v>
      </x:c>
      <x:c r="D1471" s="66" t="n">
        <x:v>2025</x:v>
      </x:c>
      <x:c r="E1471" s="67" t="n">
        <x:v>1290</x:v>
      </x:c>
      <x:c r="F1471" s="68" t="n">
        <x:v>39.2</x:v>
      </x:c>
      <x:c r="G1471" s="69" t="n">
        <x:f>IF(COUNT(E1471:F1471)=2,E1471*F1471,"")</x:f>
        <x:v>50568.00000000001</x:v>
      </x:c>
    </x:row>
    <x:row r="1472">
      <x:c r="A1472" s="66" t="n">
        <x:v>14</x:v>
      </x:c>
      <x:c r="B1472" s="44" t="str">
        <x:v>Canola/Rapeseed</x:v>
      </x:c>
      <x:c r="C1472" s="44" t="str">
        <x:v>B4015</x:v>
      </x:c>
      <x:c r="D1472" s="66" t="n">
        <x:v>2021</x:v>
      </x:c>
      <x:c r="E1472" s="67"/>
      <x:c r="F1472" s="68"/>
      <x:c r="G1472" s="69" t="str">
        <x:f>IF(COUNT(E1472:F1472)=2,E1472*F1472,"")</x:f>
      </x:c>
    </x:row>
    <x:row r="1473">
      <x:c r="A1473" s="66" t="n">
        <x:v>14</x:v>
      </x:c>
      <x:c r="B1473" s="44" t="str">
        <x:v>Canola/Rapeseed</x:v>
      </x:c>
      <x:c r="C1473" s="44" t="str">
        <x:v>B4015</x:v>
      </x:c>
      <x:c r="D1473" s="66" t="n">
        <x:v>2022</x:v>
      </x:c>
      <x:c r="E1473" s="67"/>
      <x:c r="F1473" s="68"/>
      <x:c r="G1473" s="69" t="str">
        <x:f>IF(COUNT(E1473:F1473)=2,E1473*F1473,"")</x:f>
      </x:c>
    </x:row>
    <x:row r="1474">
      <x:c r="A1474" s="66" t="n">
        <x:v>14</x:v>
      </x:c>
      <x:c r="B1474" s="44" t="str">
        <x:v>Canola/Rapeseed</x:v>
      </x:c>
      <x:c r="C1474" s="44" t="str">
        <x:v>B4015</x:v>
      </x:c>
      <x:c r="D1474" s="66" t="n">
        <x:v>2023</x:v>
      </x:c>
      <x:c r="E1474" s="67" t="n">
        <x:v>784</x:v>
      </x:c>
      <x:c r="F1474" s="68" t="n">
        <x:v>34.3</x:v>
      </x:c>
      <x:c r="G1474" s="69" t="n">
        <x:f>IF(COUNT(E1474:F1474)=2,E1474*F1474,"")</x:f>
        <x:v>26891.199999999997</x:v>
      </x:c>
    </x:row>
    <x:row r="1475">
      <x:c r="A1475" s="66" t="n">
        <x:v>14</x:v>
      </x:c>
      <x:c r="B1475" s="44" t="str">
        <x:v>Canola/Rapeseed</x:v>
      </x:c>
      <x:c r="C1475" s="44" t="str">
        <x:v>B4015</x:v>
      </x:c>
      <x:c r="D1475" s="66" t="n">
        <x:v>2024</x:v>
      </x:c>
      <x:c r="E1475" s="67" t="n">
        <x:v>1744</x:v>
      </x:c>
      <x:c r="F1475" s="68" t="n">
        <x:v>29.6</x:v>
      </x:c>
      <x:c r="G1475" s="69" t="n">
        <x:f>IF(COUNT(E1475:F1475)=2,E1475*F1475,"")</x:f>
        <x:v>51622.4</x:v>
      </x:c>
    </x:row>
    <x:row r="1476">
      <x:c r="A1476" s="66" t="n">
        <x:v>14</x:v>
      </x:c>
      <x:c r="B1476" s="44" t="str">
        <x:v>Canola/Rapeseed</x:v>
      </x:c>
      <x:c r="C1476" s="44" t="str">
        <x:v>B4015</x:v>
      </x:c>
      <x:c r="D1476" s="66" t="n">
        <x:v>2025</x:v>
      </x:c>
      <x:c r="E1476" s="67" t="n">
        <x:v>2287</x:v>
      </x:c>
      <x:c r="F1476" s="68" t="n">
        <x:v>49.6</x:v>
      </x:c>
      <x:c r="G1476" s="69" t="n">
        <x:f>IF(COUNT(E1476:F1476)=2,E1476*F1476,"")</x:f>
        <x:v>113435.2</x:v>
      </x:c>
    </x:row>
    <x:row r="1477">
      <x:c r="A1477" s="66" t="n">
        <x:v>14</x:v>
      </x:c>
      <x:c r="B1477" s="44" t="str">
        <x:v>Canola/Rapeseed</x:v>
      </x:c>
      <x:c r="C1477" s="44" t="str">
        <x:v>CP24L3C</x:v>
      </x:c>
      <x:c r="D1477" s="66" t="n">
        <x:v>2021</x:v>
      </x:c>
      <x:c r="E1477" s="67"/>
      <x:c r="F1477" s="68"/>
      <x:c r="G1477" s="69" t="str">
        <x:f>IF(COUNT(E1477:F1477)=2,E1477*F1477,"")</x:f>
      </x:c>
    </x:row>
    <x:row r="1478">
      <x:c r="A1478" s="66" t="n">
        <x:v>14</x:v>
      </x:c>
      <x:c r="B1478" s="44" t="str">
        <x:v>Canola/Rapeseed</x:v>
      </x:c>
      <x:c r="C1478" s="44" t="str">
        <x:v>CP24L3C</x:v>
      </x:c>
      <x:c r="D1478" s="66" t="n">
        <x:v>2022</x:v>
      </x:c>
      <x:c r="E1478" s="67"/>
      <x:c r="F1478" s="68"/>
      <x:c r="G1478" s="69" t="str">
        <x:f>IF(COUNT(E1478:F1478)=2,E1478*F1478,"")</x:f>
      </x:c>
    </x:row>
    <x:row r="1479">
      <x:c r="A1479" s="66" t="n">
        <x:v>14</x:v>
      </x:c>
      <x:c r="B1479" s="44" t="str">
        <x:v>Canola/Rapeseed</x:v>
      </x:c>
      <x:c r="C1479" s="44" t="str">
        <x:v>CP24L3C</x:v>
      </x:c>
      <x:c r="D1479" s="66" t="n">
        <x:v>2023</x:v>
      </x:c>
      <x:c r="E1479" s="67"/>
      <x:c r="F1479" s="68"/>
      <x:c r="G1479" s="69" t="str">
        <x:f>IF(COUNT(E1479:F1479)=2,E1479*F1479,"")</x:f>
      </x:c>
    </x:row>
    <x:row r="1480">
      <x:c r="A1480" s="66" t="n">
        <x:v>14</x:v>
      </x:c>
      <x:c r="B1480" s="44" t="str">
        <x:v>Canola/Rapeseed</x:v>
      </x:c>
      <x:c r="C1480" s="44" t="str">
        <x:v>CP24L3C</x:v>
      </x:c>
      <x:c r="D1480" s="66" t="n">
        <x:v>2024</x:v>
      </x:c>
      <x:c r="E1480" s="67"/>
      <x:c r="F1480" s="68"/>
      <x:c r="G1480" s="69" t="str">
        <x:f>IF(COUNT(E1480:F1480)=2,E1480*F1480,"")</x:f>
      </x:c>
    </x:row>
    <x:row r="1481">
      <x:c r="A1481" s="66" t="n">
        <x:v>14</x:v>
      </x:c>
      <x:c r="B1481" s="44" t="str">
        <x:v>Canola/Rapeseed</x:v>
      </x:c>
      <x:c r="C1481" s="44" t="str">
        <x:v>CP24L3C</x:v>
      </x:c>
      <x:c r="D1481" s="66" t="n">
        <x:v>2025</x:v>
      </x:c>
      <x:c r="E1481" s="67" t="n">
        <x:v>706</x:v>
      </x:c>
      <x:c r="F1481" s="68" t="n">
        <x:v>48.6</x:v>
      </x:c>
      <x:c r="G1481" s="69" t="n">
        <x:f>IF(COUNT(E1481:F1481)=2,E1481*F1481,"")</x:f>
        <x:v>34311.6</x:v>
      </x:c>
    </x:row>
    <x:row r="1482">
      <x:c r="A1482" s="66" t="n">
        <x:v>14</x:v>
      </x:c>
      <x:c r="B1482" s="44" t="str">
        <x:v>Canola/Rapeseed</x:v>
      </x:c>
      <x:c r="C1482" s="44" t="str">
        <x:v>CS3000 TF</x:v>
      </x:c>
      <x:c r="D1482" s="66" t="n">
        <x:v>2021</x:v>
      </x:c>
      <x:c r="E1482" s="67"/>
      <x:c r="F1482" s="68"/>
      <x:c r="G1482" s="69" t="str">
        <x:f>IF(COUNT(E1482:F1482)=2,E1482*F1482,"")</x:f>
      </x:c>
    </x:row>
    <x:row r="1483">
      <x:c r="A1483" s="66" t="n">
        <x:v>14</x:v>
      </x:c>
      <x:c r="B1483" s="44" t="str">
        <x:v>Canola/Rapeseed</x:v>
      </x:c>
      <x:c r="C1483" s="44" t="str">
        <x:v>CS3000 TF</x:v>
      </x:c>
      <x:c r="D1483" s="66" t="n">
        <x:v>2022</x:v>
      </x:c>
      <x:c r="E1483" s="67" t="n">
        <x:v>498</x:v>
      </x:c>
      <x:c r="F1483" s="68" t="n">
        <x:v>47.2</x:v>
      </x:c>
      <x:c r="G1483" s="69" t="n">
        <x:f>IF(COUNT(E1483:F1483)=2,E1483*F1483,"")</x:f>
        <x:v>23505.600000000002</x:v>
      </x:c>
    </x:row>
    <x:row r="1484">
      <x:c r="A1484" s="66" t="n">
        <x:v>14</x:v>
      </x:c>
      <x:c r="B1484" s="44" t="str">
        <x:v>Canola/Rapeseed</x:v>
      </x:c>
      <x:c r="C1484" s="44" t="str">
        <x:v>CS3000 TF</x:v>
      </x:c>
      <x:c r="D1484" s="66" t="n">
        <x:v>2023</x:v>
      </x:c>
      <x:c r="E1484" s="67" t="n">
        <x:v>1060</x:v>
      </x:c>
      <x:c r="F1484" s="68" t="n">
        <x:v>51.7</x:v>
      </x:c>
      <x:c r="G1484" s="69" t="n">
        <x:f>IF(COUNT(E1484:F1484)=2,E1484*F1484,"")</x:f>
        <x:v>54802</x:v>
      </x:c>
    </x:row>
    <x:row r="1485">
      <x:c r="A1485" s="66" t="n">
        <x:v>14</x:v>
      </x:c>
      <x:c r="B1485" s="44" t="str">
        <x:v>Canola/Rapeseed</x:v>
      </x:c>
      <x:c r="C1485" s="44" t="str">
        <x:v>CS3000 TF</x:v>
      </x:c>
      <x:c r="D1485" s="66" t="n">
        <x:v>2024</x:v>
      </x:c>
      <x:c r="E1485" s="67" t="n">
        <x:v>2371</x:v>
      </x:c>
      <x:c r="F1485" s="68" t="n">
        <x:v>42.4</x:v>
      </x:c>
      <x:c r="G1485" s="69" t="n">
        <x:f>IF(COUNT(E1485:F1485)=2,E1485*F1485,"")</x:f>
        <x:v>100530.4</x:v>
      </x:c>
    </x:row>
    <x:row r="1486">
      <x:c r="A1486" s="66" t="n">
        <x:v>14</x:v>
      </x:c>
      <x:c r="B1486" s="44" t="str">
        <x:v>Canola/Rapeseed</x:v>
      </x:c>
      <x:c r="C1486" s="44" t="str">
        <x:v>CS3000 TF</x:v>
      </x:c>
      <x:c r="D1486" s="66" t="n">
        <x:v>2025</x:v>
      </x:c>
      <x:c r="E1486" s="67" t="n">
        <x:v>486</x:v>
      </x:c>
      <x:c r="F1486" s="68" t="n">
        <x:v>46</x:v>
      </x:c>
      <x:c r="G1486" s="69" t="n">
        <x:f>IF(COUNT(E1486:F1486)=2,E1486*F1486,"")</x:f>
        <x:v>22356</x:v>
      </x:c>
    </x:row>
    <x:row r="1487">
      <x:c r="A1487" s="66" t="n">
        <x:v>14</x:v>
      </x:c>
      <x:c r="B1487" s="44" t="str">
        <x:v>Canola/Rapeseed</x:v>
      </x:c>
      <x:c r="C1487" s="44" t="str">
        <x:v>CS3100 TF</x:v>
      </x:c>
      <x:c r="D1487" s="66" t="n">
        <x:v>2021</x:v>
      </x:c>
      <x:c r="E1487" s="67"/>
      <x:c r="F1487" s="68"/>
      <x:c r="G1487" s="69" t="str">
        <x:f>IF(COUNT(E1487:F1487)=2,E1487*F1487,"")</x:f>
      </x:c>
    </x:row>
    <x:row r="1488">
      <x:c r="A1488" s="66" t="n">
        <x:v>14</x:v>
      </x:c>
      <x:c r="B1488" s="44" t="str">
        <x:v>Canola/Rapeseed</x:v>
      </x:c>
      <x:c r="C1488" s="44" t="str">
        <x:v>CS3100 TF</x:v>
      </x:c>
      <x:c r="D1488" s="66" t="n">
        <x:v>2022</x:v>
      </x:c>
      <x:c r="E1488" s="67"/>
      <x:c r="F1488" s="68"/>
      <x:c r="G1488" s="69" t="str">
        <x:f>IF(COUNT(E1488:F1488)=2,E1488*F1488,"")</x:f>
      </x:c>
    </x:row>
    <x:row r="1489">
      <x:c r="A1489" s="66" t="n">
        <x:v>14</x:v>
      </x:c>
      <x:c r="B1489" s="44" t="str">
        <x:v>Canola/Rapeseed</x:v>
      </x:c>
      <x:c r="C1489" s="44" t="str">
        <x:v>CS3100 TF</x:v>
      </x:c>
      <x:c r="D1489" s="66" t="n">
        <x:v>2023</x:v>
      </x:c>
      <x:c r="E1489" s="67"/>
      <x:c r="F1489" s="68"/>
      <x:c r="G1489" s="69" t="str">
        <x:f>IF(COUNT(E1489:F1489)=2,E1489*F1489,"")</x:f>
      </x:c>
    </x:row>
    <x:row r="1490">
      <x:c r="A1490" s="66" t="n">
        <x:v>14</x:v>
      </x:c>
      <x:c r="B1490" s="44" t="str">
        <x:v>Canola/Rapeseed</x:v>
      </x:c>
      <x:c r="C1490" s="44" t="str">
        <x:v>CS3100 TF</x:v>
      </x:c>
      <x:c r="D1490" s="66" t="n">
        <x:v>2024</x:v>
      </x:c>
      <x:c r="E1490" s="67" t="n">
        <x:v>871</x:v>
      </x:c>
      <x:c r="F1490" s="68" t="n">
        <x:v>33.2</x:v>
      </x:c>
      <x:c r="G1490" s="69" t="n">
        <x:f>IF(COUNT(E1490:F1490)=2,E1490*F1490,"")</x:f>
        <x:v>28917.2</x:v>
      </x:c>
    </x:row>
    <x:row r="1491">
      <x:c r="A1491" s="66" t="n">
        <x:v>14</x:v>
      </x:c>
      <x:c r="B1491" s="44" t="str">
        <x:v>Canola/Rapeseed</x:v>
      </x:c>
      <x:c r="C1491" s="44" t="str">
        <x:v>CS3100 TF</x:v>
      </x:c>
      <x:c r="D1491" s="66" t="n">
        <x:v>2025</x:v>
      </x:c>
      <x:c r="E1491" s="67" t="n">
        <x:v>1096</x:v>
      </x:c>
      <x:c r="F1491" s="68" t="n">
        <x:v>31</x:v>
      </x:c>
      <x:c r="G1491" s="69" t="n">
        <x:f>IF(COUNT(E1491:F1491)=2,E1491*F1491,"")</x:f>
        <x:v>33976</x:v>
      </x:c>
    </x:row>
    <x:row r="1492">
      <x:c r="A1492" s="66" t="n">
        <x:v>14</x:v>
      </x:c>
      <x:c r="B1492" s="44" t="str">
        <x:v>Canola/Rapeseed</x:v>
      </x:c>
      <x:c r="C1492" s="44" t="str">
        <x:v>CS3200 TF</x:v>
      </x:c>
      <x:c r="D1492" s="66" t="n">
        <x:v>2021</x:v>
      </x:c>
      <x:c r="E1492" s="67"/>
      <x:c r="F1492" s="68"/>
      <x:c r="G1492" s="69" t="str">
        <x:f>IF(COUNT(E1492:F1492)=2,E1492*F1492,"")</x:f>
      </x:c>
    </x:row>
    <x:row r="1493">
      <x:c r="A1493" s="66" t="n">
        <x:v>14</x:v>
      </x:c>
      <x:c r="B1493" s="44" t="str">
        <x:v>Canola/Rapeseed</x:v>
      </x:c>
      <x:c r="C1493" s="44" t="str">
        <x:v>CS3200 TF</x:v>
      </x:c>
      <x:c r="D1493" s="66" t="n">
        <x:v>2022</x:v>
      </x:c>
      <x:c r="E1493" s="67"/>
      <x:c r="F1493" s="68"/>
      <x:c r="G1493" s="69" t="str">
        <x:f>IF(COUNT(E1493:F1493)=2,E1493*F1493,"")</x:f>
      </x:c>
    </x:row>
    <x:row r="1494">
      <x:c r="A1494" s="66" t="n">
        <x:v>14</x:v>
      </x:c>
      <x:c r="B1494" s="44" t="str">
        <x:v>Canola/Rapeseed</x:v>
      </x:c>
      <x:c r="C1494" s="44" t="str">
        <x:v>CS3200 TF</x:v>
      </x:c>
      <x:c r="D1494" s="66" t="n">
        <x:v>2023</x:v>
      </x:c>
      <x:c r="E1494" s="67"/>
      <x:c r="F1494" s="68"/>
      <x:c r="G1494" s="69" t="str">
        <x:f>IF(COUNT(E1494:F1494)=2,E1494*F1494,"")</x:f>
      </x:c>
    </x:row>
    <x:row r="1495">
      <x:c r="A1495" s="66" t="n">
        <x:v>14</x:v>
      </x:c>
      <x:c r="B1495" s="44" t="str">
        <x:v>Canola/Rapeseed</x:v>
      </x:c>
      <x:c r="C1495" s="44" t="str">
        <x:v>CS3200 TF</x:v>
      </x:c>
      <x:c r="D1495" s="66" t="n">
        <x:v>2024</x:v>
      </x:c>
      <x:c r="E1495" s="67"/>
      <x:c r="F1495" s="68"/>
      <x:c r="G1495" s="69" t="str">
        <x:f>IF(COUNT(E1495:F1495)=2,E1495*F1495,"")</x:f>
      </x:c>
    </x:row>
    <x:row r="1496">
      <x:c r="A1496" s="66" t="n">
        <x:v>14</x:v>
      </x:c>
      <x:c r="B1496" s="44" t="str">
        <x:v>Canola/Rapeseed</x:v>
      </x:c>
      <x:c r="C1496" s="44" t="str">
        <x:v>CS3200 TF</x:v>
      </x:c>
      <x:c r="D1496" s="66" t="n">
        <x:v>2025</x:v>
      </x:c>
      <x:c r="E1496" s="67" t="n">
        <x:v>1118</x:v>
      </x:c>
      <x:c r="F1496" s="68" t="n">
        <x:v>35.9</x:v>
      </x:c>
      <x:c r="G1496" s="69" t="n">
        <x:f>IF(COUNT(E1496:F1496)=2,E1496*F1496,"")</x:f>
        <x:v>40136.2</x:v>
      </x:c>
    </x:row>
    <x:row r="1497">
      <x:c r="A1497" s="66" t="n">
        <x:v>14</x:v>
      </x:c>
      <x:c r="B1497" s="44" t="str">
        <x:v>Canola/Rapeseed</x:v>
      </x:c>
      <x:c r="C1497" s="44" t="str">
        <x:v>CS3300 TF</x:v>
      </x:c>
      <x:c r="D1497" s="66" t="n">
        <x:v>2021</x:v>
      </x:c>
      <x:c r="E1497" s="67"/>
      <x:c r="F1497" s="68"/>
      <x:c r="G1497" s="69" t="str">
        <x:f>IF(COUNT(E1497:F1497)=2,E1497*F1497,"")</x:f>
      </x:c>
    </x:row>
    <x:row r="1498">
      <x:c r="A1498" s="66" t="n">
        <x:v>14</x:v>
      </x:c>
      <x:c r="B1498" s="44" t="str">
        <x:v>Canola/Rapeseed</x:v>
      </x:c>
      <x:c r="C1498" s="44" t="str">
        <x:v>CS3300 TF</x:v>
      </x:c>
      <x:c r="D1498" s="66" t="n">
        <x:v>2022</x:v>
      </x:c>
      <x:c r="E1498" s="67"/>
      <x:c r="F1498" s="68"/>
      <x:c r="G1498" s="69" t="str">
        <x:f>IF(COUNT(E1498:F1498)=2,E1498*F1498,"")</x:f>
      </x:c>
    </x:row>
    <x:row r="1499">
      <x:c r="A1499" s="66" t="n">
        <x:v>14</x:v>
      </x:c>
      <x:c r="B1499" s="44" t="str">
        <x:v>Canola/Rapeseed</x:v>
      </x:c>
      <x:c r="C1499" s="44" t="str">
        <x:v>CS3300 TF</x:v>
      </x:c>
      <x:c r="D1499" s="66" t="n">
        <x:v>2023</x:v>
      </x:c>
      <x:c r="E1499" s="67"/>
      <x:c r="F1499" s="68"/>
      <x:c r="G1499" s="69" t="str">
        <x:f>IF(COUNT(E1499:F1499)=2,E1499*F1499,"")</x:f>
      </x:c>
    </x:row>
    <x:row r="1500">
      <x:c r="A1500" s="66" t="n">
        <x:v>14</x:v>
      </x:c>
      <x:c r="B1500" s="44" t="str">
        <x:v>Canola/Rapeseed</x:v>
      </x:c>
      <x:c r="C1500" s="44" t="str">
        <x:v>CS3300 TF</x:v>
      </x:c>
      <x:c r="D1500" s="66" t="n">
        <x:v>2024</x:v>
      </x:c>
      <x:c r="E1500" s="67"/>
      <x:c r="F1500" s="68"/>
      <x:c r="G1500" s="69" t="str">
        <x:f>IF(COUNT(E1500:F1500)=2,E1500*F1500,"")</x:f>
      </x:c>
    </x:row>
    <x:row r="1501">
      <x:c r="A1501" s="66" t="n">
        <x:v>14</x:v>
      </x:c>
      <x:c r="B1501" s="44" t="str">
        <x:v>Canola/Rapeseed</x:v>
      </x:c>
      <x:c r="C1501" s="44" t="str">
        <x:v>CS3300 TF</x:v>
      </x:c>
      <x:c r="D1501" s="66" t="n">
        <x:v>2025</x:v>
      </x:c>
      <x:c r="E1501" s="67" t="n">
        <x:v>2240</x:v>
      </x:c>
      <x:c r="F1501" s="68" t="n">
        <x:v>51.6</x:v>
      </x:c>
      <x:c r="G1501" s="69" t="n">
        <x:f>IF(COUNT(E1501:F1501)=2,E1501*F1501,"")</x:f>
        <x:v>115584</x:v>
      </x:c>
    </x:row>
    <x:row r="1502">
      <x:c r="A1502" s="66" t="n">
        <x:v>14</x:v>
      </x:c>
      <x:c r="B1502" s="44" t="str">
        <x:v>Canola/Rapeseed</x:v>
      </x:c>
      <x:c r="C1502" s="44" t="str">
        <x:v>CS4000 LL</x:v>
      </x:c>
      <x:c r="D1502" s="66" t="n">
        <x:v>2021</x:v>
      </x:c>
      <x:c r="E1502" s="67" t="n">
        <x:v>693</x:v>
      </x:c>
      <x:c r="F1502" s="68" t="n">
        <x:v>38</x:v>
      </x:c>
      <x:c r="G1502" s="69" t="n">
        <x:f>IF(COUNT(E1502:F1502)=2,E1502*F1502,"")</x:f>
        <x:v>26334</x:v>
      </x:c>
    </x:row>
    <x:row r="1503">
      <x:c r="A1503" s="66" t="n">
        <x:v>14</x:v>
      </x:c>
      <x:c r="B1503" s="44" t="str">
        <x:v>Canola/Rapeseed</x:v>
      </x:c>
      <x:c r="C1503" s="44" t="str">
        <x:v>CS4000 LL</x:v>
      </x:c>
      <x:c r="D1503" s="66" t="n">
        <x:v>2022</x:v>
      </x:c>
      <x:c r="E1503" s="67" t="n">
        <x:v>2234</x:v>
      </x:c>
      <x:c r="F1503" s="68" t="n">
        <x:v>49.1</x:v>
      </x:c>
      <x:c r="G1503" s="69" t="n">
        <x:f>IF(COUNT(E1503:F1503)=2,E1503*F1503,"")</x:f>
        <x:v>109689.40000000001</x:v>
      </x:c>
    </x:row>
    <x:row r="1504">
      <x:c r="A1504" s="66" t="n">
        <x:v>14</x:v>
      </x:c>
      <x:c r="B1504" s="44" t="str">
        <x:v>Canola/Rapeseed</x:v>
      </x:c>
      <x:c r="C1504" s="44" t="str">
        <x:v>CS4000 LL</x:v>
      </x:c>
      <x:c r="D1504" s="66" t="n">
        <x:v>2023</x:v>
      </x:c>
      <x:c r="E1504" s="67" t="n">
        <x:v>5504</x:v>
      </x:c>
      <x:c r="F1504" s="68" t="n">
        <x:v>47.7</x:v>
      </x:c>
      <x:c r="G1504" s="69" t="n">
        <x:f>IF(COUNT(E1504:F1504)=2,E1504*F1504,"")</x:f>
        <x:v>262540.8</x:v>
      </x:c>
    </x:row>
    <x:row r="1505">
      <x:c r="A1505" s="66" t="n">
        <x:v>14</x:v>
      </x:c>
      <x:c r="B1505" s="44" t="str">
        <x:v>Canola/Rapeseed</x:v>
      </x:c>
      <x:c r="C1505" s="44" t="str">
        <x:v>CS4000 LL</x:v>
      </x:c>
      <x:c r="D1505" s="66" t="n">
        <x:v>2024</x:v>
      </x:c>
      <x:c r="E1505" s="67" t="n">
        <x:v>6104</x:v>
      </x:c>
      <x:c r="F1505" s="68" t="n">
        <x:v>41.3</x:v>
      </x:c>
      <x:c r="G1505" s="69" t="n">
        <x:f>IF(COUNT(E1505:F1505)=2,E1505*F1505,"")</x:f>
        <x:v>252095.19999999998</x:v>
      </x:c>
    </x:row>
    <x:row r="1506">
      <x:c r="A1506" s="66" t="n">
        <x:v>14</x:v>
      </x:c>
      <x:c r="B1506" s="44" t="str">
        <x:v>Canola/Rapeseed</x:v>
      </x:c>
      <x:c r="C1506" s="44" t="str">
        <x:v>CS4000 LL</x:v>
      </x:c>
      <x:c r="D1506" s="66" t="n">
        <x:v>2025</x:v>
      </x:c>
      <x:c r="E1506" s="67" t="n">
        <x:v>7858</x:v>
      </x:c>
      <x:c r="F1506" s="68" t="n">
        <x:v>39.7</x:v>
      </x:c>
      <x:c r="G1506" s="69" t="n">
        <x:f>IF(COUNT(E1506:F1506)=2,E1506*F1506,"")</x:f>
        <x:v>311962.60000000003</x:v>
      </x:c>
    </x:row>
    <x:row r="1507">
      <x:c r="A1507" s="66" t="n">
        <x:v>14</x:v>
      </x:c>
      <x:c r="B1507" s="44" t="str">
        <x:v>Canola/Rapeseed</x:v>
      </x:c>
      <x:c r="C1507" s="44" t="str">
        <x:v>CS4100 LL</x:v>
      </x:c>
      <x:c r="D1507" s="66" t="n">
        <x:v>2021</x:v>
      </x:c>
      <x:c r="E1507" s="67"/>
      <x:c r="F1507" s="68"/>
      <x:c r="G1507" s="69" t="str">
        <x:f>IF(COUNT(E1507:F1507)=2,E1507*F1507,"")</x:f>
      </x:c>
    </x:row>
    <x:row r="1508">
      <x:c r="A1508" s="66" t="n">
        <x:v>14</x:v>
      </x:c>
      <x:c r="B1508" s="44" t="str">
        <x:v>Canola/Rapeseed</x:v>
      </x:c>
      <x:c r="C1508" s="44" t="str">
        <x:v>CS4100 LL</x:v>
      </x:c>
      <x:c r="D1508" s="66" t="n">
        <x:v>2022</x:v>
      </x:c>
      <x:c r="E1508" s="67"/>
      <x:c r="F1508" s="68"/>
      <x:c r="G1508" s="69" t="str">
        <x:f>IF(COUNT(E1508:F1508)=2,E1508*F1508,"")</x:f>
      </x:c>
    </x:row>
    <x:row r="1509">
      <x:c r="A1509" s="66" t="n">
        <x:v>14</x:v>
      </x:c>
      <x:c r="B1509" s="44" t="str">
        <x:v>Canola/Rapeseed</x:v>
      </x:c>
      <x:c r="C1509" s="44" t="str">
        <x:v>CS4100 LL</x:v>
      </x:c>
      <x:c r="D1509" s="66" t="n">
        <x:v>2023</x:v>
      </x:c>
      <x:c r="E1509" s="67"/>
      <x:c r="F1509" s="68"/>
      <x:c r="G1509" s="69" t="str">
        <x:f>IF(COUNT(E1509:F1509)=2,E1509*F1509,"")</x:f>
      </x:c>
    </x:row>
    <x:row r="1510">
      <x:c r="A1510" s="66" t="n">
        <x:v>14</x:v>
      </x:c>
      <x:c r="B1510" s="44" t="str">
        <x:v>Canola/Rapeseed</x:v>
      </x:c>
      <x:c r="C1510" s="44" t="str">
        <x:v>CS4100 LL</x:v>
      </x:c>
      <x:c r="D1510" s="66" t="n">
        <x:v>2024</x:v>
      </x:c>
      <x:c r="E1510" s="67"/>
      <x:c r="F1510" s="68"/>
      <x:c r="G1510" s="69" t="str">
        <x:f>IF(COUNT(E1510:F1510)=2,E1510*F1510,"")</x:f>
      </x:c>
    </x:row>
    <x:row r="1511">
      <x:c r="A1511" s="66" t="n">
        <x:v>14</x:v>
      </x:c>
      <x:c r="B1511" s="44" t="str">
        <x:v>Canola/Rapeseed</x:v>
      </x:c>
      <x:c r="C1511" s="44" t="str">
        <x:v>CS4100 LL</x:v>
      </x:c>
      <x:c r="D1511" s="66" t="n">
        <x:v>2025</x:v>
      </x:c>
      <x:c r="E1511" s="67" t="n">
        <x:v>3095</x:v>
      </x:c>
      <x:c r="F1511" s="68" t="n">
        <x:v>49.6</x:v>
      </x:c>
      <x:c r="G1511" s="69" t="n">
        <x:f>IF(COUNT(E1511:F1511)=2,E1511*F1511,"")</x:f>
        <x:v>153512</x:v>
      </x:c>
    </x:row>
    <x:row r="1512">
      <x:c r="A1512" s="66" t="n">
        <x:v>14</x:v>
      </x:c>
      <x:c r="B1512" s="44" t="str">
        <x:v>Canola/Rapeseed</x:v>
      </x:c>
      <x:c r="C1512" s="44" t="str">
        <x:v>DK 801 LL</x:v>
      </x:c>
      <x:c r="D1512" s="66" t="n">
        <x:v>2021</x:v>
      </x:c>
      <x:c r="E1512" s="67"/>
      <x:c r="F1512" s="68"/>
      <x:c r="G1512" s="69" t="str">
        <x:f>IF(COUNT(E1512:F1512)=2,E1512*F1512,"")</x:f>
      </x:c>
    </x:row>
    <x:row r="1513">
      <x:c r="A1513" s="66" t="n">
        <x:v>14</x:v>
      </x:c>
      <x:c r="B1513" s="44" t="str">
        <x:v>Canola/Rapeseed</x:v>
      </x:c>
      <x:c r="C1513" s="44" t="str">
        <x:v>DK 801 LL</x:v>
      </x:c>
      <x:c r="D1513" s="66" t="n">
        <x:v>2022</x:v>
      </x:c>
      <x:c r="E1513" s="67"/>
      <x:c r="F1513" s="68"/>
      <x:c r="G1513" s="69" t="str">
        <x:f>IF(COUNT(E1513:F1513)=2,E1513*F1513,"")</x:f>
      </x:c>
    </x:row>
    <x:row r="1514">
      <x:c r="A1514" s="66" t="n">
        <x:v>14</x:v>
      </x:c>
      <x:c r="B1514" s="44" t="str">
        <x:v>Canola/Rapeseed</x:v>
      </x:c>
      <x:c r="C1514" s="44" t="str">
        <x:v>DK 801 LL</x:v>
      </x:c>
      <x:c r="D1514" s="66" t="n">
        <x:v>2023</x:v>
      </x:c>
      <x:c r="E1514" s="67"/>
      <x:c r="F1514" s="68"/>
      <x:c r="G1514" s="69" t="str">
        <x:f>IF(COUNT(E1514:F1514)=2,E1514*F1514,"")</x:f>
      </x:c>
    </x:row>
    <x:row r="1515">
      <x:c r="A1515" s="66" t="n">
        <x:v>14</x:v>
      </x:c>
      <x:c r="B1515" s="44" t="str">
        <x:v>Canola/Rapeseed</x:v>
      </x:c>
      <x:c r="C1515" s="44" t="str">
        <x:v>DK 801 LL</x:v>
      </x:c>
      <x:c r="D1515" s="66" t="n">
        <x:v>2024</x:v>
      </x:c>
      <x:c r="E1515" s="67" t="n">
        <x:v>992</x:v>
      </x:c>
      <x:c r="F1515" s="68" t="n">
        <x:v>34.9</x:v>
      </x:c>
      <x:c r="G1515" s="69" t="n">
        <x:f>IF(COUNT(E1515:F1515)=2,E1515*F1515,"")</x:f>
        <x:v>34620.799999999996</x:v>
      </x:c>
    </x:row>
    <x:row r="1516">
      <x:c r="A1516" s="66" t="n">
        <x:v>14</x:v>
      </x:c>
      <x:c r="B1516" s="44" t="str">
        <x:v>Canola/Rapeseed</x:v>
      </x:c>
      <x:c r="C1516" s="44" t="str">
        <x:v>DK 801 LL</x:v>
      </x:c>
      <x:c r="D1516" s="66" t="n">
        <x:v>2025</x:v>
      </x:c>
      <x:c r="E1516" s="67" t="n">
        <x:v>6132</x:v>
      </x:c>
      <x:c r="F1516" s="68" t="n">
        <x:v>50</x:v>
      </x:c>
      <x:c r="G1516" s="69" t="n">
        <x:f>IF(COUNT(E1516:F1516)=2,E1516*F1516,"")</x:f>
        <x:v>306600</x:v>
      </x:c>
    </x:row>
    <x:row r="1517">
      <x:c r="A1517" s="66" t="n">
        <x:v>14</x:v>
      </x:c>
      <x:c r="B1517" s="44" t="str">
        <x:v>Canola/Rapeseed</x:v>
      </x:c>
      <x:c r="C1517" s="44" t="str">
        <x:v>DK400TL</x:v>
      </x:c>
      <x:c r="D1517" s="66" t="n">
        <x:v>2021</x:v>
      </x:c>
      <x:c r="E1517" s="67"/>
      <x:c r="F1517" s="68"/>
      <x:c r="G1517" s="69" t="str">
        <x:f>IF(COUNT(E1517:F1517)=2,E1517*F1517,"")</x:f>
      </x:c>
    </x:row>
    <x:row r="1518">
      <x:c r="A1518" s="66" t="n">
        <x:v>14</x:v>
      </x:c>
      <x:c r="B1518" s="44" t="str">
        <x:v>Canola/Rapeseed</x:v>
      </x:c>
      <x:c r="C1518" s="44" t="str">
        <x:v>DK400TL</x:v>
      </x:c>
      <x:c r="D1518" s="66" t="n">
        <x:v>2022</x:v>
      </x:c>
      <x:c r="E1518" s="67"/>
      <x:c r="F1518" s="68"/>
      <x:c r="G1518" s="69" t="str">
        <x:f>IF(COUNT(E1518:F1518)=2,E1518*F1518,"")</x:f>
      </x:c>
    </x:row>
    <x:row r="1519">
      <x:c r="A1519" s="66" t="n">
        <x:v>14</x:v>
      </x:c>
      <x:c r="B1519" s="44" t="str">
        <x:v>Canola/Rapeseed</x:v>
      </x:c>
      <x:c r="C1519" s="44" t="str">
        <x:v>DK400TL</x:v>
      </x:c>
      <x:c r="D1519" s="66" t="n">
        <x:v>2023</x:v>
      </x:c>
      <x:c r="E1519" s="67"/>
      <x:c r="F1519" s="68"/>
      <x:c r="G1519" s="69" t="str">
        <x:f>IF(COUNT(E1519:F1519)=2,E1519*F1519,"")</x:f>
      </x:c>
    </x:row>
    <x:row r="1520">
      <x:c r="A1520" s="66" t="n">
        <x:v>14</x:v>
      </x:c>
      <x:c r="B1520" s="44" t="str">
        <x:v>Canola/Rapeseed</x:v>
      </x:c>
      <x:c r="C1520" s="44" t="str">
        <x:v>DK400TL</x:v>
      </x:c>
      <x:c r="D1520" s="66" t="n">
        <x:v>2024</x:v>
      </x:c>
      <x:c r="E1520" s="67" t="n">
        <x:v>2218</x:v>
      </x:c>
      <x:c r="F1520" s="68" t="n">
        <x:v>33.6</x:v>
      </x:c>
      <x:c r="G1520" s="69" t="n">
        <x:f>IF(COUNT(E1520:F1520)=2,E1520*F1520,"")</x:f>
        <x:v>74524.8</x:v>
      </x:c>
    </x:row>
    <x:row r="1521">
      <x:c r="A1521" s="66" t="n">
        <x:v>14</x:v>
      </x:c>
      <x:c r="B1521" s="44" t="str">
        <x:v>Canola/Rapeseed</x:v>
      </x:c>
      <x:c r="C1521" s="44" t="str">
        <x:v>DK400TL</x:v>
      </x:c>
      <x:c r="D1521" s="66" t="n">
        <x:v>2025</x:v>
      </x:c>
      <x:c r="E1521" s="67" t="n">
        <x:v>1507</x:v>
      </x:c>
      <x:c r="F1521" s="68" t="n">
        <x:v>44.1</x:v>
      </x:c>
      <x:c r="G1521" s="69" t="n">
        <x:f>IF(COUNT(E1521:F1521)=2,E1521*F1521,"")</x:f>
        <x:v>66458.7</x:v>
      </x:c>
    </x:row>
    <x:row r="1522">
      <x:c r="A1522" s="66" t="n">
        <x:v>14</x:v>
      </x:c>
      <x:c r="B1522" s="44" t="str">
        <x:v>Canola/Rapeseed</x:v>
      </x:c>
      <x:c r="C1522" s="44" t="str">
        <x:v>DK401TK</x:v>
      </x:c>
      <x:c r="D1522" s="66" t="n">
        <x:v>2021</x:v>
      </x:c>
      <x:c r="E1522" s="67"/>
      <x:c r="F1522" s="68"/>
      <x:c r="G1522" s="69" t="str">
        <x:f>IF(COUNT(E1522:F1522)=2,E1522*F1522,"")</x:f>
      </x:c>
    </x:row>
    <x:row r="1523">
      <x:c r="A1523" s="66" t="n">
        <x:v>14</x:v>
      </x:c>
      <x:c r="B1523" s="44" t="str">
        <x:v>Canola/Rapeseed</x:v>
      </x:c>
      <x:c r="C1523" s="44" t="str">
        <x:v>DK401TK</x:v>
      </x:c>
      <x:c r="D1523" s="66" t="n">
        <x:v>2022</x:v>
      </x:c>
      <x:c r="E1523" s="67"/>
      <x:c r="F1523" s="68"/>
      <x:c r="G1523" s="69" t="str">
        <x:f>IF(COUNT(E1523:F1523)=2,E1523*F1523,"")</x:f>
      </x:c>
    </x:row>
    <x:row r="1524">
      <x:c r="A1524" s="66" t="n">
        <x:v>14</x:v>
      </x:c>
      <x:c r="B1524" s="44" t="str">
        <x:v>Canola/Rapeseed</x:v>
      </x:c>
      <x:c r="C1524" s="44" t="str">
        <x:v>DK401TK</x:v>
      </x:c>
      <x:c r="D1524" s="66" t="n">
        <x:v>2023</x:v>
      </x:c>
      <x:c r="E1524" s="67"/>
      <x:c r="F1524" s="68"/>
      <x:c r="G1524" s="69" t="str">
        <x:f>IF(COUNT(E1524:F1524)=2,E1524*F1524,"")</x:f>
      </x:c>
    </x:row>
    <x:row r="1525">
      <x:c r="A1525" s="66" t="n">
        <x:v>14</x:v>
      </x:c>
      <x:c r="B1525" s="44" t="str">
        <x:v>Canola/Rapeseed</x:v>
      </x:c>
      <x:c r="C1525" s="44" t="str">
        <x:v>DK401TK</x:v>
      </x:c>
      <x:c r="D1525" s="66" t="n">
        <x:v>2024</x:v>
      </x:c>
      <x:c r="E1525" s="67"/>
      <x:c r="F1525" s="68"/>
      <x:c r="G1525" s="69" t="str">
        <x:f>IF(COUNT(E1525:F1525)=2,E1525*F1525,"")</x:f>
      </x:c>
    </x:row>
    <x:row r="1526">
      <x:c r="A1526" s="66" t="n">
        <x:v>14</x:v>
      </x:c>
      <x:c r="B1526" s="44" t="str">
        <x:v>Canola/Rapeseed</x:v>
      </x:c>
      <x:c r="C1526" s="44" t="str">
        <x:v>DK401TK</x:v>
      </x:c>
      <x:c r="D1526" s="66" t="n">
        <x:v>2025</x:v>
      </x:c>
      <x:c r="E1526" s="67" t="n">
        <x:v>4146</x:v>
      </x:c>
      <x:c r="F1526" s="68" t="n">
        <x:v>41.5</x:v>
      </x:c>
      <x:c r="G1526" s="69" t="n">
        <x:f>IF(COUNT(E1526:F1526)=2,E1526*F1526,"")</x:f>
        <x:v>172059</x:v>
      </x:c>
    </x:row>
    <x:row r="1527">
      <x:c r="A1527" s="66" t="n">
        <x:v>14</x:v>
      </x:c>
      <x:c r="B1527" s="44" t="str">
        <x:v>Canola/Rapeseed</x:v>
      </x:c>
      <x:c r="C1527" s="44" t="str">
        <x:v>DK401TL</x:v>
      </x:c>
      <x:c r="D1527" s="66" t="n">
        <x:v>2021</x:v>
      </x:c>
      <x:c r="E1527" s="67"/>
      <x:c r="F1527" s="68"/>
      <x:c r="G1527" s="69" t="str">
        <x:f>IF(COUNT(E1527:F1527)=2,E1527*F1527,"")</x:f>
      </x:c>
    </x:row>
    <x:row r="1528">
      <x:c r="A1528" s="66" t="n">
        <x:v>14</x:v>
      </x:c>
      <x:c r="B1528" s="44" t="str">
        <x:v>Canola/Rapeseed</x:v>
      </x:c>
      <x:c r="C1528" s="44" t="str">
        <x:v>DK401TL</x:v>
      </x:c>
      <x:c r="D1528" s="66" t="n">
        <x:v>2022</x:v>
      </x:c>
      <x:c r="E1528" s="67"/>
      <x:c r="F1528" s="68"/>
      <x:c r="G1528" s="69" t="str">
        <x:f>IF(COUNT(E1528:F1528)=2,E1528*F1528,"")</x:f>
      </x:c>
    </x:row>
    <x:row r="1529">
      <x:c r="A1529" s="66" t="n">
        <x:v>14</x:v>
      </x:c>
      <x:c r="B1529" s="44" t="str">
        <x:v>Canola/Rapeseed</x:v>
      </x:c>
      <x:c r="C1529" s="44" t="str">
        <x:v>DK401TL</x:v>
      </x:c>
      <x:c r="D1529" s="66" t="n">
        <x:v>2023</x:v>
      </x:c>
      <x:c r="E1529" s="67"/>
      <x:c r="F1529" s="68"/>
      <x:c r="G1529" s="69" t="str">
        <x:f>IF(COUNT(E1529:F1529)=2,E1529*F1529,"")</x:f>
      </x:c>
    </x:row>
    <x:row r="1530">
      <x:c r="A1530" s="66" t="n">
        <x:v>14</x:v>
      </x:c>
      <x:c r="B1530" s="44" t="str">
        <x:v>Canola/Rapeseed</x:v>
      </x:c>
      <x:c r="C1530" s="44" t="str">
        <x:v>DK401TL</x:v>
      </x:c>
      <x:c r="D1530" s="66" t="n">
        <x:v>2024</x:v>
      </x:c>
      <x:c r="E1530" s="67"/>
      <x:c r="F1530" s="68"/>
      <x:c r="G1530" s="69" t="str">
        <x:f>IF(COUNT(E1530:F1530)=2,E1530*F1530,"")</x:f>
      </x:c>
    </x:row>
    <x:row r="1531">
      <x:c r="A1531" s="66" t="n">
        <x:v>14</x:v>
      </x:c>
      <x:c r="B1531" s="44" t="str">
        <x:v>Canola/Rapeseed</x:v>
      </x:c>
      <x:c r="C1531" s="44" t="str">
        <x:v>DK401TL</x:v>
      </x:c>
      <x:c r="D1531" s="66" t="n">
        <x:v>2025</x:v>
      </x:c>
      <x:c r="E1531" s="67" t="n">
        <x:v>3063</x:v>
      </x:c>
      <x:c r="F1531" s="68" t="n">
        <x:v>47.2</x:v>
      </x:c>
      <x:c r="G1531" s="69" t="n">
        <x:f>IF(COUNT(E1531:F1531)=2,E1531*F1531,"")</x:f>
        <x:v>144573.6</x:v>
      </x:c>
    </x:row>
    <x:row r="1532">
      <x:c r="A1532" s="66" t="n">
        <x:v>14</x:v>
      </x:c>
      <x:c r="B1532" s="44" t="str">
        <x:v>Canola/Rapeseed</x:v>
      </x:c>
      <x:c r="C1532" s="44" t="str">
        <x:v>DK800LL</x:v>
      </x:c>
      <x:c r="D1532" s="66" t="n">
        <x:v>2021</x:v>
      </x:c>
      <x:c r="E1532" s="67"/>
      <x:c r="F1532" s="68"/>
      <x:c r="G1532" s="69" t="str">
        <x:f>IF(COUNT(E1532:F1532)=2,E1532*F1532,"")</x:f>
      </x:c>
    </x:row>
    <x:row r="1533">
      <x:c r="A1533" s="66" t="n">
        <x:v>14</x:v>
      </x:c>
      <x:c r="B1533" s="44" t="str">
        <x:v>Canola/Rapeseed</x:v>
      </x:c>
      <x:c r="C1533" s="44" t="str">
        <x:v>DK800LL</x:v>
      </x:c>
      <x:c r="D1533" s="66" t="n">
        <x:v>2022</x:v>
      </x:c>
      <x:c r="E1533" s="67"/>
      <x:c r="F1533" s="68"/>
      <x:c r="G1533" s="69" t="str">
        <x:f>IF(COUNT(E1533:F1533)=2,E1533*F1533,"")</x:f>
      </x:c>
    </x:row>
    <x:row r="1534">
      <x:c r="A1534" s="66" t="n">
        <x:v>14</x:v>
      </x:c>
      <x:c r="B1534" s="44" t="str">
        <x:v>Canola/Rapeseed</x:v>
      </x:c>
      <x:c r="C1534" s="44" t="str">
        <x:v>DK800LL</x:v>
      </x:c>
      <x:c r="D1534" s="66" t="n">
        <x:v>2023</x:v>
      </x:c>
      <x:c r="E1534" s="67"/>
      <x:c r="F1534" s="68"/>
      <x:c r="G1534" s="69" t="str">
        <x:f>IF(COUNT(E1534:F1534)=2,E1534*F1534,"")</x:f>
      </x:c>
    </x:row>
    <x:row r="1535">
      <x:c r="A1535" s="66" t="n">
        <x:v>14</x:v>
      </x:c>
      <x:c r="B1535" s="44" t="str">
        <x:v>Canola/Rapeseed</x:v>
      </x:c>
      <x:c r="C1535" s="44" t="str">
        <x:v>DK800LL</x:v>
      </x:c>
      <x:c r="D1535" s="66" t="n">
        <x:v>2024</x:v>
      </x:c>
      <x:c r="E1535" s="67" t="n">
        <x:v>3291</x:v>
      </x:c>
      <x:c r="F1535" s="68" t="n">
        <x:v>40.2</x:v>
      </x:c>
      <x:c r="G1535" s="69" t="n">
        <x:f>IF(COUNT(E1535:F1535)=2,E1535*F1535,"")</x:f>
        <x:v>132298.2</x:v>
      </x:c>
    </x:row>
    <x:row r="1536">
      <x:c r="A1536" s="66" t="n">
        <x:v>14</x:v>
      </x:c>
      <x:c r="B1536" s="44" t="str">
        <x:v>Canola/Rapeseed</x:v>
      </x:c>
      <x:c r="C1536" s="44" t="str">
        <x:v>DK800LL</x:v>
      </x:c>
      <x:c r="D1536" s="66" t="n">
        <x:v>2025</x:v>
      </x:c>
      <x:c r="E1536" s="67" t="n">
        <x:v>8551</x:v>
      </x:c>
      <x:c r="F1536" s="68" t="n">
        <x:v>47.5</x:v>
      </x:c>
      <x:c r="G1536" s="69" t="n">
        <x:f>IF(COUNT(E1536:F1536)=2,E1536*F1536,"")</x:f>
        <x:v>406172.5</x:v>
      </x:c>
    </x:row>
    <x:row r="1537">
      <x:c r="A1537" s="66" t="n">
        <x:v>14</x:v>
      </x:c>
      <x:c r="B1537" s="44" t="str">
        <x:v>Canola/Rapeseed</x:v>
      </x:c>
      <x:c r="C1537" s="44" t="str">
        <x:v>DK801LL</x:v>
      </x:c>
      <x:c r="D1537" s="66" t="n">
        <x:v>2021</x:v>
      </x:c>
      <x:c r="E1537" s="67"/>
      <x:c r="F1537" s="68"/>
      <x:c r="G1537" s="69" t="str">
        <x:f>IF(COUNT(E1537:F1537)=2,E1537*F1537,"")</x:f>
      </x:c>
    </x:row>
    <x:row r="1538">
      <x:c r="A1538" s="66" t="n">
        <x:v>14</x:v>
      </x:c>
      <x:c r="B1538" s="44" t="str">
        <x:v>Canola/Rapeseed</x:v>
      </x:c>
      <x:c r="C1538" s="44" t="str">
        <x:v>DK801LL</x:v>
      </x:c>
      <x:c r="D1538" s="66" t="n">
        <x:v>2022</x:v>
      </x:c>
      <x:c r="E1538" s="67"/>
      <x:c r="F1538" s="68"/>
      <x:c r="G1538" s="69" t="str">
        <x:f>IF(COUNT(E1538:F1538)=2,E1538*F1538,"")</x:f>
      </x:c>
    </x:row>
    <x:row r="1539">
      <x:c r="A1539" s="66" t="n">
        <x:v>14</x:v>
      </x:c>
      <x:c r="B1539" s="44" t="str">
        <x:v>Canola/Rapeseed</x:v>
      </x:c>
      <x:c r="C1539" s="44" t="str">
        <x:v>DK801LL</x:v>
      </x:c>
      <x:c r="D1539" s="66" t="n">
        <x:v>2023</x:v>
      </x:c>
      <x:c r="E1539" s="67"/>
      <x:c r="F1539" s="68"/>
      <x:c r="G1539" s="69" t="str">
        <x:f>IF(COUNT(E1539:F1539)=2,E1539*F1539,"")</x:f>
      </x:c>
    </x:row>
    <x:row r="1540">
      <x:c r="A1540" s="66" t="n">
        <x:v>14</x:v>
      </x:c>
      <x:c r="B1540" s="44" t="str">
        <x:v>Canola/Rapeseed</x:v>
      </x:c>
      <x:c r="C1540" s="44" t="str">
        <x:v>DK801LL</x:v>
      </x:c>
      <x:c r="D1540" s="66" t="n">
        <x:v>2024</x:v>
      </x:c>
      <x:c r="E1540" s="67"/>
      <x:c r="F1540" s="68"/>
      <x:c r="G1540" s="69" t="str">
        <x:f>IF(COUNT(E1540:F1540)=2,E1540*F1540,"")</x:f>
      </x:c>
    </x:row>
    <x:row r="1541">
      <x:c r="A1541" s="66" t="n">
        <x:v>14</x:v>
      </x:c>
      <x:c r="B1541" s="44" t="str">
        <x:v>Canola/Rapeseed</x:v>
      </x:c>
      <x:c r="C1541" s="44" t="str">
        <x:v>DK801LL</x:v>
      </x:c>
      <x:c r="D1541" s="66" t="n">
        <x:v>2025</x:v>
      </x:c>
      <x:c r="E1541" s="67" t="n">
        <x:v>3693</x:v>
      </x:c>
      <x:c r="F1541" s="68" t="n">
        <x:v>47.6</x:v>
      </x:c>
      <x:c r="G1541" s="69" t="n">
        <x:f>IF(COUNT(E1541:F1541)=2,E1541*F1541,"")</x:f>
        <x:v>175786.80000000002</x:v>
      </x:c>
    </x:row>
    <x:row r="1542">
      <x:c r="A1542" s="66" t="n">
        <x:v>14</x:v>
      </x:c>
      <x:c r="B1542" s="44" t="str">
        <x:v>Canola/Rapeseed</x:v>
      </x:c>
      <x:c r="C1542" s="44" t="str">
        <x:v>DK900TF</x:v>
      </x:c>
      <x:c r="D1542" s="66" t="n">
        <x:v>2021</x:v>
      </x:c>
      <x:c r="E1542" s="67"/>
      <x:c r="F1542" s="68"/>
      <x:c r="G1542" s="69" t="str">
        <x:f>IF(COUNT(E1542:F1542)=2,E1542*F1542,"")</x:f>
      </x:c>
    </x:row>
    <x:row r="1543">
      <x:c r="A1543" s="66" t="n">
        <x:v>14</x:v>
      </x:c>
      <x:c r="B1543" s="44" t="str">
        <x:v>Canola/Rapeseed</x:v>
      </x:c>
      <x:c r="C1543" s="44" t="str">
        <x:v>DK900TF</x:v>
      </x:c>
      <x:c r="D1543" s="66" t="n">
        <x:v>2022</x:v>
      </x:c>
      <x:c r="E1543" s="67"/>
      <x:c r="F1543" s="68"/>
      <x:c r="G1543" s="69" t="str">
        <x:f>IF(COUNT(E1543:F1543)=2,E1543*F1543,"")</x:f>
      </x:c>
    </x:row>
    <x:row r="1544">
      <x:c r="A1544" s="66" t="n">
        <x:v>14</x:v>
      </x:c>
      <x:c r="B1544" s="44" t="str">
        <x:v>Canola/Rapeseed</x:v>
      </x:c>
      <x:c r="C1544" s="44" t="str">
        <x:v>DK900TF</x:v>
      </x:c>
      <x:c r="D1544" s="66" t="n">
        <x:v>2023</x:v>
      </x:c>
      <x:c r="E1544" s="67" t="n">
        <x:v>21398</x:v>
      </x:c>
      <x:c r="F1544" s="68" t="n">
        <x:v>49.8</x:v>
      </x:c>
      <x:c r="G1544" s="69" t="n">
        <x:f>IF(COUNT(E1544:F1544)=2,E1544*F1544,"")</x:f>
        <x:v>1065620.4</x:v>
      </x:c>
    </x:row>
    <x:row r="1545">
      <x:c r="A1545" s="66" t="n">
        <x:v>14</x:v>
      </x:c>
      <x:c r="B1545" s="44" t="str">
        <x:v>Canola/Rapeseed</x:v>
      </x:c>
      <x:c r="C1545" s="44" t="str">
        <x:v>DK900TF</x:v>
      </x:c>
      <x:c r="D1545" s="66" t="n">
        <x:v>2024</x:v>
      </x:c>
      <x:c r="E1545" s="67" t="n">
        <x:v>47452</x:v>
      </x:c>
      <x:c r="F1545" s="68" t="n">
        <x:v>35.4</x:v>
      </x:c>
      <x:c r="G1545" s="69" t="n">
        <x:f>IF(COUNT(E1545:F1545)=2,E1545*F1545,"")</x:f>
        <x:v>1679800.8</x:v>
      </x:c>
    </x:row>
    <x:row r="1546">
      <x:c r="A1546" s="66" t="n">
        <x:v>14</x:v>
      </x:c>
      <x:c r="B1546" s="44" t="str">
        <x:v>Canola/Rapeseed</x:v>
      </x:c>
      <x:c r="C1546" s="44" t="str">
        <x:v>DK900TF</x:v>
      </x:c>
      <x:c r="D1546" s="66" t="n">
        <x:v>2025</x:v>
      </x:c>
      <x:c r="E1546" s="67" t="n">
        <x:v>34453</x:v>
      </x:c>
      <x:c r="F1546" s="68" t="n">
        <x:v>48.4</x:v>
      </x:c>
      <x:c r="G1546" s="69" t="n">
        <x:f>IF(COUNT(E1546:F1546)=2,E1546*F1546,"")</x:f>
        <x:v>1667525.2</x:v>
      </x:c>
    </x:row>
    <x:row r="1547">
      <x:c r="A1547" s="66" t="n">
        <x:v>14</x:v>
      </x:c>
      <x:c r="B1547" s="44" t="str">
        <x:v>Canola/Rapeseed</x:v>
      </x:c>
      <x:c r="C1547" s="44" t="str">
        <x:v>DK901TF</x:v>
      </x:c>
      <x:c r="D1547" s="66" t="n">
        <x:v>2021</x:v>
      </x:c>
      <x:c r="E1547" s="67"/>
      <x:c r="F1547" s="68"/>
      <x:c r="G1547" s="69" t="str">
        <x:f>IF(COUNT(E1547:F1547)=2,E1547*F1547,"")</x:f>
      </x:c>
    </x:row>
    <x:row r="1548">
      <x:c r="A1548" s="66" t="n">
        <x:v>14</x:v>
      </x:c>
      <x:c r="B1548" s="44" t="str">
        <x:v>Canola/Rapeseed</x:v>
      </x:c>
      <x:c r="C1548" s="44" t="str">
        <x:v>DK901TF</x:v>
      </x:c>
      <x:c r="D1548" s="66" t="n">
        <x:v>2022</x:v>
      </x:c>
      <x:c r="E1548" s="67"/>
      <x:c r="F1548" s="68"/>
      <x:c r="G1548" s="69" t="str">
        <x:f>IF(COUNT(E1548:F1548)=2,E1548*F1548,"")</x:f>
      </x:c>
    </x:row>
    <x:row r="1549">
      <x:c r="A1549" s="66" t="n">
        <x:v>14</x:v>
      </x:c>
      <x:c r="B1549" s="44" t="str">
        <x:v>Canola/Rapeseed</x:v>
      </x:c>
      <x:c r="C1549" s="44" t="str">
        <x:v>DK901TF</x:v>
      </x:c>
      <x:c r="D1549" s="66" t="n">
        <x:v>2023</x:v>
      </x:c>
      <x:c r="E1549" s="67" t="n">
        <x:v>4968</x:v>
      </x:c>
      <x:c r="F1549" s="68" t="n">
        <x:v>44.9</x:v>
      </x:c>
      <x:c r="G1549" s="69" t="n">
        <x:f>IF(COUNT(E1549:F1549)=2,E1549*F1549,"")</x:f>
        <x:v>223063.19999999998</x:v>
      </x:c>
    </x:row>
    <x:row r="1550">
      <x:c r="A1550" s="66" t="n">
        <x:v>14</x:v>
      </x:c>
      <x:c r="B1550" s="44" t="str">
        <x:v>Canola/Rapeseed</x:v>
      </x:c>
      <x:c r="C1550" s="44" t="str">
        <x:v>DK901TF</x:v>
      </x:c>
      <x:c r="D1550" s="66" t="n">
        <x:v>2024</x:v>
      </x:c>
      <x:c r="E1550" s="67" t="n">
        <x:v>5414</x:v>
      </x:c>
      <x:c r="F1550" s="68" t="n">
        <x:v>32.8</x:v>
      </x:c>
      <x:c r="G1550" s="69" t="n">
        <x:f>IF(COUNT(E1550:F1550)=2,E1550*F1550,"")</x:f>
        <x:v>177579.19999999998</x:v>
      </x:c>
    </x:row>
    <x:row r="1551">
      <x:c r="A1551" s="66" t="n">
        <x:v>14</x:v>
      </x:c>
      <x:c r="B1551" s="44" t="str">
        <x:v>Canola/Rapeseed</x:v>
      </x:c>
      <x:c r="C1551" s="44" t="str">
        <x:v>DK901TF</x:v>
      </x:c>
      <x:c r="D1551" s="66" t="n">
        <x:v>2025</x:v>
      </x:c>
      <x:c r="E1551" s="67" t="n">
        <x:v>3639</x:v>
      </x:c>
      <x:c r="F1551" s="68" t="n">
        <x:v>43.3</x:v>
      </x:c>
      <x:c r="G1551" s="69" t="n">
        <x:f>IF(COUNT(E1551:F1551)=2,E1551*F1551,"")</x:f>
        <x:v>157568.69999999998</x:v>
      </x:c>
    </x:row>
    <x:row r="1552">
      <x:c r="A1552" s="66" t="n">
        <x:v>14</x:v>
      </x:c>
      <x:c r="B1552" s="44" t="str">
        <x:v>Canola/Rapeseed</x:v>
      </x:c>
      <x:c r="C1552" s="44" t="str">
        <x:v>DK902TF</x:v>
      </x:c>
      <x:c r="D1552" s="66" t="n">
        <x:v>2021</x:v>
      </x:c>
      <x:c r="E1552" s="67"/>
      <x:c r="F1552" s="68"/>
      <x:c r="G1552" s="69" t="str">
        <x:f>IF(COUNT(E1552:F1552)=2,E1552*F1552,"")</x:f>
      </x:c>
    </x:row>
    <x:row r="1553">
      <x:c r="A1553" s="66" t="n">
        <x:v>14</x:v>
      </x:c>
      <x:c r="B1553" s="44" t="str">
        <x:v>Canola/Rapeseed</x:v>
      </x:c>
      <x:c r="C1553" s="44" t="str">
        <x:v>DK902TF</x:v>
      </x:c>
      <x:c r="D1553" s="66" t="n">
        <x:v>2022</x:v>
      </x:c>
      <x:c r="E1553" s="67"/>
      <x:c r="F1553" s="68"/>
      <x:c r="G1553" s="69" t="str">
        <x:f>IF(COUNT(E1553:F1553)=2,E1553*F1553,"")</x:f>
      </x:c>
    </x:row>
    <x:row r="1554">
      <x:c r="A1554" s="66" t="n">
        <x:v>14</x:v>
      </x:c>
      <x:c r="B1554" s="44" t="str">
        <x:v>Canola/Rapeseed</x:v>
      </x:c>
      <x:c r="C1554" s="44" t="str">
        <x:v>DK902TF</x:v>
      </x:c>
      <x:c r="D1554" s="66" t="n">
        <x:v>2023</x:v>
      </x:c>
      <x:c r="E1554" s="67" t="n">
        <x:v>8698</x:v>
      </x:c>
      <x:c r="F1554" s="68" t="n">
        <x:v>54.9</x:v>
      </x:c>
      <x:c r="G1554" s="69" t="n">
        <x:f>IF(COUNT(E1554:F1554)=2,E1554*F1554,"")</x:f>
        <x:v>477520.2</x:v>
      </x:c>
    </x:row>
    <x:row r="1555">
      <x:c r="A1555" s="66" t="n">
        <x:v>14</x:v>
      </x:c>
      <x:c r="B1555" s="44" t="str">
        <x:v>Canola/Rapeseed</x:v>
      </x:c>
      <x:c r="C1555" s="44" t="str">
        <x:v>DK902TF</x:v>
      </x:c>
      <x:c r="D1555" s="66" t="n">
        <x:v>2024</x:v>
      </x:c>
      <x:c r="E1555" s="67" t="n">
        <x:v>16682</x:v>
      </x:c>
      <x:c r="F1555" s="68" t="n">
        <x:v>36.2</x:v>
      </x:c>
      <x:c r="G1555" s="69" t="n">
        <x:f>IF(COUNT(E1555:F1555)=2,E1555*F1555,"")</x:f>
        <x:v>603888.4</x:v>
      </x:c>
    </x:row>
    <x:row r="1556">
      <x:c r="A1556" s="66" t="n">
        <x:v>14</x:v>
      </x:c>
      <x:c r="B1556" s="44" t="str">
        <x:v>Canola/Rapeseed</x:v>
      </x:c>
      <x:c r="C1556" s="44" t="str">
        <x:v>DK902TF</x:v>
      </x:c>
      <x:c r="D1556" s="66" t="n">
        <x:v>2025</x:v>
      </x:c>
      <x:c r="E1556" s="67" t="n">
        <x:v>11457</x:v>
      </x:c>
      <x:c r="F1556" s="68" t="n">
        <x:v>46.9</x:v>
      </x:c>
      <x:c r="G1556" s="69" t="n">
        <x:f>IF(COUNT(E1556:F1556)=2,E1556*F1556,"")</x:f>
        <x:v>537333.2999999999</x:v>
      </x:c>
    </x:row>
    <x:row r="1557">
      <x:c r="A1557" s="66" t="n">
        <x:v>14</x:v>
      </x:c>
      <x:c r="B1557" s="44" t="str">
        <x:v>Canola/Rapeseed</x:v>
      </x:c>
      <x:c r="C1557" s="44" t="str">
        <x:v>LR354PC</x:v>
      </x:c>
      <x:c r="D1557" s="66" t="n">
        <x:v>2021</x:v>
      </x:c>
      <x:c r="E1557" s="67"/>
      <x:c r="F1557" s="68"/>
      <x:c r="G1557" s="69" t="str">
        <x:f>IF(COUNT(E1557:F1557)=2,E1557*F1557,"")</x:f>
      </x:c>
    </x:row>
    <x:row r="1558">
      <x:c r="A1558" s="66" t="n">
        <x:v>14</x:v>
      </x:c>
      <x:c r="B1558" s="44" t="str">
        <x:v>Canola/Rapeseed</x:v>
      </x:c>
      <x:c r="C1558" s="44" t="str">
        <x:v>LR354PC</x:v>
      </x:c>
      <x:c r="D1558" s="66" t="n">
        <x:v>2022</x:v>
      </x:c>
      <x:c r="E1558" s="67"/>
      <x:c r="F1558" s="68"/>
      <x:c r="G1558" s="69" t="str">
        <x:f>IF(COUNT(E1558:F1558)=2,E1558*F1558,"")</x:f>
      </x:c>
    </x:row>
    <x:row r="1559">
      <x:c r="A1559" s="66" t="n">
        <x:v>14</x:v>
      </x:c>
      <x:c r="B1559" s="44" t="str">
        <x:v>Canola/Rapeseed</x:v>
      </x:c>
      <x:c r="C1559" s="44" t="str">
        <x:v>LR354PC</x:v>
      </x:c>
      <x:c r="D1559" s="66" t="n">
        <x:v>2023</x:v>
      </x:c>
      <x:c r="E1559" s="67" t="n">
        <x:v>2054</x:v>
      </x:c>
      <x:c r="F1559" s="68" t="n">
        <x:v>55.7</x:v>
      </x:c>
      <x:c r="G1559" s="69" t="n">
        <x:f>IF(COUNT(E1559:F1559)=2,E1559*F1559,"")</x:f>
        <x:v>114407.8</x:v>
      </x:c>
    </x:row>
    <x:row r="1560">
      <x:c r="A1560" s="66" t="n">
        <x:v>14</x:v>
      </x:c>
      <x:c r="B1560" s="44" t="str">
        <x:v>Canola/Rapeseed</x:v>
      </x:c>
      <x:c r="C1560" s="44" t="str">
        <x:v>LR354PC</x:v>
      </x:c>
      <x:c r="D1560" s="66" t="n">
        <x:v>2024</x:v>
      </x:c>
      <x:c r="E1560" s="67" t="n">
        <x:v>1426</x:v>
      </x:c>
      <x:c r="F1560" s="68" t="n">
        <x:v>33.3</x:v>
      </x:c>
      <x:c r="G1560" s="69" t="n">
        <x:f>IF(COUNT(E1560:F1560)=2,E1560*F1560,"")</x:f>
        <x:v>47485.799999999996</x:v>
      </x:c>
    </x:row>
    <x:row r="1561">
      <x:c r="A1561" s="66" t="n">
        <x:v>14</x:v>
      </x:c>
      <x:c r="B1561" s="44" t="str">
        <x:v>Canola/Rapeseed</x:v>
      </x:c>
      <x:c r="C1561" s="44" t="str">
        <x:v>LR354PC</x:v>
      </x:c>
      <x:c r="D1561" s="66" t="n">
        <x:v>2025</x:v>
      </x:c>
      <x:c r="E1561" s="67" t="n">
        <x:v>2067</x:v>
      </x:c>
      <x:c r="F1561" s="68" t="n">
        <x:v>58.2</x:v>
      </x:c>
      <x:c r="G1561" s="69" t="n">
        <x:f>IF(COUNT(E1561:F1561)=2,E1561*F1561,"")</x:f>
        <x:v>120299.40000000001</x:v>
      </x:c>
    </x:row>
    <x:row r="1562">
      <x:c r="A1562" s="66" t="n">
        <x:v>14</x:v>
      </x:c>
      <x:c r="B1562" s="44" t="str">
        <x:v>Canola/Rapeseed</x:v>
      </x:c>
      <x:c r="C1562" s="44" t="str">
        <x:v>L140P</x:v>
      </x:c>
      <x:c r="D1562" s="66" t="n">
        <x:v>2021</x:v>
      </x:c>
      <x:c r="E1562" s="67"/>
      <x:c r="F1562" s="68"/>
      <x:c r="G1562" s="69" t="str">
        <x:f>IF(COUNT(E1562:F1562)=2,E1562*F1562,"")</x:f>
      </x:c>
    </x:row>
    <x:row r="1563">
      <x:c r="A1563" s="66" t="n">
        <x:v>14</x:v>
      </x:c>
      <x:c r="B1563" s="44" t="str">
        <x:v>Canola/Rapeseed</x:v>
      </x:c>
      <x:c r="C1563" s="44" t="str">
        <x:v>L140P</x:v>
      </x:c>
      <x:c r="D1563" s="66" t="n">
        <x:v>2022</x:v>
      </x:c>
      <x:c r="E1563" s="67"/>
      <x:c r="F1563" s="68"/>
      <x:c r="G1563" s="69" t="str">
        <x:f>IF(COUNT(E1563:F1563)=2,E1563*F1563,"")</x:f>
      </x:c>
    </x:row>
    <x:row r="1564">
      <x:c r="A1564" s="66" t="n">
        <x:v>14</x:v>
      </x:c>
      <x:c r="B1564" s="44" t="str">
        <x:v>Canola/Rapeseed</x:v>
      </x:c>
      <x:c r="C1564" s="44" t="str">
        <x:v>L140P</x:v>
      </x:c>
      <x:c r="D1564" s="66" t="n">
        <x:v>2023</x:v>
      </x:c>
      <x:c r="E1564" s="67"/>
      <x:c r="F1564" s="68"/>
      <x:c r="G1564" s="69" t="str">
        <x:f>IF(COUNT(E1564:F1564)=2,E1564*F1564,"")</x:f>
      </x:c>
    </x:row>
    <x:row r="1565">
      <x:c r="A1565" s="66" t="n">
        <x:v>14</x:v>
      </x:c>
      <x:c r="B1565" s="44" t="str">
        <x:v>Canola/Rapeseed</x:v>
      </x:c>
      <x:c r="C1565" s="44" t="str">
        <x:v>L140P</x:v>
      </x:c>
      <x:c r="D1565" s="66" t="n">
        <x:v>2024</x:v>
      </x:c>
      <x:c r="E1565" s="67" t="n">
        <x:v>1785</x:v>
      </x:c>
      <x:c r="F1565" s="68" t="n">
        <x:v>42.4</x:v>
      </x:c>
      <x:c r="G1565" s="69" t="n">
        <x:f>IF(COUNT(E1565:F1565)=2,E1565*F1565,"")</x:f>
        <x:v>75684</x:v>
      </x:c>
    </x:row>
    <x:row r="1566">
      <x:c r="A1566" s="66" t="n">
        <x:v>14</x:v>
      </x:c>
      <x:c r="B1566" s="44" t="str">
        <x:v>Canola/Rapeseed</x:v>
      </x:c>
      <x:c r="C1566" s="44" t="str">
        <x:v>L140P</x:v>
      </x:c>
      <x:c r="D1566" s="66" t="n">
        <x:v>2025</x:v>
      </x:c>
      <x:c r="E1566" s="67" t="n">
        <x:v>1008</x:v>
      </x:c>
      <x:c r="F1566" s="68" t="n">
        <x:v>46.5</x:v>
      </x:c>
      <x:c r="G1566" s="69" t="n">
        <x:f>IF(COUNT(E1566:F1566)=2,E1566*F1566,"")</x:f>
        <x:v>46872</x:v>
      </x:c>
    </x:row>
    <x:row r="1567">
      <x:c r="A1567" s="66" t="n">
        <x:v>14</x:v>
      </x:c>
      <x:c r="B1567" s="44" t="str">
        <x:v>Canola/Rapeseed</x:v>
      </x:c>
      <x:c r="C1567" s="44" t="str">
        <x:v>L233P</x:v>
      </x:c>
      <x:c r="D1567" s="66" t="n">
        <x:v>2021</x:v>
      </x:c>
      <x:c r="E1567" s="67" t="n">
        <x:v>127480</x:v>
      </x:c>
      <x:c r="F1567" s="68" t="n">
        <x:v>32.9</x:v>
      </x:c>
      <x:c r="G1567" s="69" t="n">
        <x:f>IF(COUNT(E1567:F1567)=2,E1567*F1567,"")</x:f>
        <x:v>4194092</x:v>
      </x:c>
    </x:row>
    <x:row r="1568">
      <x:c r="A1568" s="66" t="n">
        <x:v>14</x:v>
      </x:c>
      <x:c r="B1568" s="44" t="str">
        <x:v>Canola/Rapeseed</x:v>
      </x:c>
      <x:c r="C1568" s="44" t="str">
        <x:v>L233P</x:v>
      </x:c>
      <x:c r="D1568" s="66" t="n">
        <x:v>2022</x:v>
      </x:c>
      <x:c r="E1568" s="67" t="n">
        <x:v>107625</x:v>
      </x:c>
      <x:c r="F1568" s="68" t="n">
        <x:v>48.4</x:v>
      </x:c>
      <x:c r="G1568" s="69" t="n">
        <x:f>IF(COUNT(E1568:F1568)=2,E1568*F1568,"")</x:f>
        <x:v>5209050</x:v>
      </x:c>
    </x:row>
    <x:row r="1569">
      <x:c r="A1569" s="66" t="n">
        <x:v>14</x:v>
      </x:c>
      <x:c r="B1569" s="44" t="str">
        <x:v>Canola/Rapeseed</x:v>
      </x:c>
      <x:c r="C1569" s="44" t="str">
        <x:v>L233P</x:v>
      </x:c>
      <x:c r="D1569" s="66" t="n">
        <x:v>2023</x:v>
      </x:c>
      <x:c r="E1569" s="67" t="n">
        <x:v>67211</x:v>
      </x:c>
      <x:c r="F1569" s="68" t="n">
        <x:v>51.4</x:v>
      </x:c>
      <x:c r="G1569" s="69" t="n">
        <x:f>IF(COUNT(E1569:F1569)=2,E1569*F1569,"")</x:f>
        <x:v>3454645.4</x:v>
      </x:c>
    </x:row>
    <x:row r="1570">
      <x:c r="A1570" s="66" t="n">
        <x:v>14</x:v>
      </x:c>
      <x:c r="B1570" s="44" t="str">
        <x:v>Canola/Rapeseed</x:v>
      </x:c>
      <x:c r="C1570" s="44" t="str">
        <x:v>L233P</x:v>
      </x:c>
      <x:c r="D1570" s="66" t="n">
        <x:v>2024</x:v>
      </x:c>
      <x:c r="E1570" s="67" t="n">
        <x:v>31495</x:v>
      </x:c>
      <x:c r="F1570" s="68" t="n">
        <x:v>36.4</x:v>
      </x:c>
      <x:c r="G1570" s="69" t="n">
        <x:f>IF(COUNT(E1570:F1570)=2,E1570*F1570,"")</x:f>
        <x:v>1146418</x:v>
      </x:c>
    </x:row>
    <x:row r="1571">
      <x:c r="A1571" s="66" t="n">
        <x:v>14</x:v>
      </x:c>
      <x:c r="B1571" s="44" t="str">
        <x:v>Canola/Rapeseed</x:v>
      </x:c>
      <x:c r="C1571" s="44" t="str">
        <x:v>L233P</x:v>
      </x:c>
      <x:c r="D1571" s="66" t="n">
        <x:v>2025</x:v>
      </x:c>
      <x:c r="E1571" s="67" t="n">
        <x:v>12448</x:v>
      </x:c>
      <x:c r="F1571" s="68" t="n">
        <x:v>44.4</x:v>
      </x:c>
      <x:c r="G1571" s="69" t="n">
        <x:f>IF(COUNT(E1571:F1571)=2,E1571*F1571,"")</x:f>
        <x:v>552691.2</x:v>
      </x:c>
    </x:row>
    <x:row r="1572">
      <x:c r="A1572" s="66" t="n">
        <x:v>14</x:v>
      </x:c>
      <x:c r="B1572" s="44" t="str">
        <x:v>Canola/Rapeseed</x:v>
      </x:c>
      <x:c r="C1572" s="44" t="str">
        <x:v>L234PC</x:v>
      </x:c>
      <x:c r="D1572" s="66" t="n">
        <x:v>2021</x:v>
      </x:c>
      <x:c r="E1572" s="67" t="n">
        <x:v>26994</x:v>
      </x:c>
      <x:c r="F1572" s="68" t="n">
        <x:v>36</x:v>
      </x:c>
      <x:c r="G1572" s="69" t="n">
        <x:f>IF(COUNT(E1572:F1572)=2,E1572*F1572,"")</x:f>
        <x:v>971784</x:v>
      </x:c>
    </x:row>
    <x:row r="1573">
      <x:c r="A1573" s="66" t="n">
        <x:v>14</x:v>
      </x:c>
      <x:c r="B1573" s="44" t="str">
        <x:v>Canola/Rapeseed</x:v>
      </x:c>
      <x:c r="C1573" s="44" t="str">
        <x:v>L234PC</x:v>
      </x:c>
      <x:c r="D1573" s="66" t="n">
        <x:v>2022</x:v>
      </x:c>
      <x:c r="E1573" s="67" t="n">
        <x:v>12787</x:v>
      </x:c>
      <x:c r="F1573" s="68" t="n">
        <x:v>48</x:v>
      </x:c>
      <x:c r="G1573" s="69" t="n">
        <x:f>IF(COUNT(E1573:F1573)=2,E1573*F1573,"")</x:f>
        <x:v>613776</x:v>
      </x:c>
    </x:row>
    <x:row r="1574">
      <x:c r="A1574" s="66" t="n">
        <x:v>14</x:v>
      </x:c>
      <x:c r="B1574" s="44" t="str">
        <x:v>Canola/Rapeseed</x:v>
      </x:c>
      <x:c r="C1574" s="44" t="str">
        <x:v>L234PC</x:v>
      </x:c>
      <x:c r="D1574" s="66" t="n">
        <x:v>2023</x:v>
      </x:c>
      <x:c r="E1574" s="67" t="n">
        <x:v>4011</x:v>
      </x:c>
      <x:c r="F1574" s="68" t="n">
        <x:v>46</x:v>
      </x:c>
      <x:c r="G1574" s="69" t="n">
        <x:f>IF(COUNT(E1574:F1574)=2,E1574*F1574,"")</x:f>
        <x:v>184506</x:v>
      </x:c>
    </x:row>
    <x:row r="1575">
      <x:c r="A1575" s="66" t="n">
        <x:v>14</x:v>
      </x:c>
      <x:c r="B1575" s="44" t="str">
        <x:v>Canola/Rapeseed</x:v>
      </x:c>
      <x:c r="C1575" s="44" t="str">
        <x:v>L234PC</x:v>
      </x:c>
      <x:c r="D1575" s="66" t="n">
        <x:v>2024</x:v>
      </x:c>
      <x:c r="E1575" s="67" t="n">
        <x:v>1328</x:v>
      </x:c>
      <x:c r="F1575" s="68" t="n">
        <x:v>39.8</x:v>
      </x:c>
      <x:c r="G1575" s="69" t="n">
        <x:f>IF(COUNT(E1575:F1575)=2,E1575*F1575,"")</x:f>
        <x:v>52854.399999999994</x:v>
      </x:c>
    </x:row>
    <x:row r="1576">
      <x:c r="A1576" s="66" t="n">
        <x:v>14</x:v>
      </x:c>
      <x:c r="B1576" s="44" t="str">
        <x:v>Canola/Rapeseed</x:v>
      </x:c>
      <x:c r="C1576" s="44" t="str">
        <x:v>L234PC</x:v>
      </x:c>
      <x:c r="D1576" s="66" t="n">
        <x:v>2025</x:v>
      </x:c>
      <x:c r="E1576" s="67" t="n">
        <x:v>675</x:v>
      </x:c>
      <x:c r="F1576" s="68" t="n">
        <x:v>51.5</x:v>
      </x:c>
      <x:c r="G1576" s="69" t="n">
        <x:f>IF(COUNT(E1576:F1576)=2,E1576*F1576,"")</x:f>
        <x:v>34762.5</x:v>
      </x:c>
    </x:row>
    <x:row r="1577">
      <x:c r="A1577" s="66" t="n">
        <x:v>14</x:v>
      </x:c>
      <x:c r="B1577" s="44" t="str">
        <x:v>Canola/Rapeseed</x:v>
      </x:c>
      <x:c r="C1577" s="44" t="str">
        <x:v>L255PC</x:v>
      </x:c>
      <x:c r="D1577" s="66" t="n">
        <x:v>2021</x:v>
      </x:c>
      <x:c r="E1577" s="67" t="n">
        <x:v>54304</x:v>
      </x:c>
      <x:c r="F1577" s="68" t="n">
        <x:v>34</x:v>
      </x:c>
      <x:c r="G1577" s="69" t="n">
        <x:f>IF(COUNT(E1577:F1577)=2,E1577*F1577,"")</x:f>
        <x:v>1846336</x:v>
      </x:c>
    </x:row>
    <x:row r="1578">
      <x:c r="A1578" s="66" t="n">
        <x:v>14</x:v>
      </x:c>
      <x:c r="B1578" s="44" t="str">
        <x:v>Canola/Rapeseed</x:v>
      </x:c>
      <x:c r="C1578" s="44" t="str">
        <x:v>L255PC</x:v>
      </x:c>
      <x:c r="D1578" s="66" t="n">
        <x:v>2022</x:v>
      </x:c>
      <x:c r="E1578" s="67" t="n">
        <x:v>25845</x:v>
      </x:c>
      <x:c r="F1578" s="68" t="n">
        <x:v>49.3</x:v>
      </x:c>
      <x:c r="G1578" s="69" t="n">
        <x:f>IF(COUNT(E1578:F1578)=2,E1578*F1578,"")</x:f>
        <x:v>1274158.5</x:v>
      </x:c>
    </x:row>
    <x:row r="1579">
      <x:c r="A1579" s="66" t="n">
        <x:v>14</x:v>
      </x:c>
      <x:c r="B1579" s="44" t="str">
        <x:v>Canola/Rapeseed</x:v>
      </x:c>
      <x:c r="C1579" s="44" t="str">
        <x:v>L255PC</x:v>
      </x:c>
      <x:c r="D1579" s="66" t="n">
        <x:v>2023</x:v>
      </x:c>
      <x:c r="E1579" s="67" t="n">
        <x:v>5160</x:v>
      </x:c>
      <x:c r="F1579" s="68" t="n">
        <x:v>53.8</x:v>
      </x:c>
      <x:c r="G1579" s="69" t="n">
        <x:f>IF(COUNT(E1579:F1579)=2,E1579*F1579,"")</x:f>
        <x:v>277608</x:v>
      </x:c>
    </x:row>
    <x:row r="1580">
      <x:c r="A1580" s="66" t="n">
        <x:v>14</x:v>
      </x:c>
      <x:c r="B1580" s="44" t="str">
        <x:v>Canola/Rapeseed</x:v>
      </x:c>
      <x:c r="C1580" s="44" t="str">
        <x:v>L255PC</x:v>
      </x:c>
      <x:c r="D1580" s="66" t="n">
        <x:v>2024</x:v>
      </x:c>
      <x:c r="E1580" s="67"/>
      <x:c r="F1580" s="68"/>
      <x:c r="G1580" s="69" t="str">
        <x:f>IF(COUNT(E1580:F1580)=2,E1580*F1580,"")</x:f>
      </x:c>
    </x:row>
    <x:row r="1581">
      <x:c r="A1581" s="66" t="n">
        <x:v>14</x:v>
      </x:c>
      <x:c r="B1581" s="44" t="str">
        <x:v>Canola/Rapeseed</x:v>
      </x:c>
      <x:c r="C1581" s="44" t="str">
        <x:v>L255PC</x:v>
      </x:c>
      <x:c r="D1581" s="66" t="n">
        <x:v>2025</x:v>
      </x:c>
      <x:c r="E1581" s="67" t="n">
        <x:v>2234</x:v>
      </x:c>
      <x:c r="F1581" s="68" t="n">
        <x:v>53.8</x:v>
      </x:c>
      <x:c r="G1581" s="69" t="n">
        <x:f>IF(COUNT(E1581:F1581)=2,E1581*F1581,"")</x:f>
        <x:v>120189.2</x:v>
      </x:c>
    </x:row>
    <x:row r="1582">
      <x:c r="A1582" s="66" t="n">
        <x:v>14</x:v>
      </x:c>
      <x:c r="B1582" s="44" t="str">
        <x:v>Canola/Rapeseed</x:v>
      </x:c>
      <x:c r="C1582" s="44" t="str">
        <x:v>L330PC</x:v>
      </x:c>
      <x:c r="D1582" s="66" t="n">
        <x:v>2021</x:v>
      </x:c>
      <x:c r="E1582" s="67"/>
      <x:c r="F1582" s="68"/>
      <x:c r="G1582" s="69" t="str">
        <x:f>IF(COUNT(E1582:F1582)=2,E1582*F1582,"")</x:f>
      </x:c>
    </x:row>
    <x:row r="1583">
      <x:c r="A1583" s="66" t="n">
        <x:v>14</x:v>
      </x:c>
      <x:c r="B1583" s="44" t="str">
        <x:v>Canola/Rapeseed</x:v>
      </x:c>
      <x:c r="C1583" s="44" t="str">
        <x:v>L330PC</x:v>
      </x:c>
      <x:c r="D1583" s="66" t="n">
        <x:v>2022</x:v>
      </x:c>
      <x:c r="E1583" s="67"/>
      <x:c r="F1583" s="68"/>
      <x:c r="G1583" s="69" t="str">
        <x:f>IF(COUNT(E1583:F1583)=2,E1583*F1583,"")</x:f>
      </x:c>
    </x:row>
    <x:row r="1584">
      <x:c r="A1584" s="66" t="n">
        <x:v>14</x:v>
      </x:c>
      <x:c r="B1584" s="44" t="str">
        <x:v>Canola/Rapeseed</x:v>
      </x:c>
      <x:c r="C1584" s="44" t="str">
        <x:v>L330PC</x:v>
      </x:c>
      <x:c r="D1584" s="66" t="n">
        <x:v>2023</x:v>
      </x:c>
      <x:c r="E1584" s="67"/>
      <x:c r="F1584" s="68"/>
      <x:c r="G1584" s="69" t="str">
        <x:f>IF(COUNT(E1584:F1584)=2,E1584*F1584,"")</x:f>
      </x:c>
    </x:row>
    <x:row r="1585">
      <x:c r="A1585" s="66" t="n">
        <x:v>14</x:v>
      </x:c>
      <x:c r="B1585" s="44" t="str">
        <x:v>Canola/Rapeseed</x:v>
      </x:c>
      <x:c r="C1585" s="44" t="str">
        <x:v>L330PC</x:v>
      </x:c>
      <x:c r="D1585" s="66" t="n">
        <x:v>2024</x:v>
      </x:c>
      <x:c r="E1585" s="67"/>
      <x:c r="F1585" s="68"/>
      <x:c r="G1585" s="69" t="str">
        <x:f>IF(COUNT(E1585:F1585)=2,E1585*F1585,"")</x:f>
      </x:c>
    </x:row>
    <x:row r="1586">
      <x:c r="A1586" s="66" t="n">
        <x:v>14</x:v>
      </x:c>
      <x:c r="B1586" s="44" t="str">
        <x:v>Canola/Rapeseed</x:v>
      </x:c>
      <x:c r="C1586" s="44" t="str">
        <x:v>L330PC</x:v>
      </x:c>
      <x:c r="D1586" s="66" t="n">
        <x:v>2025</x:v>
      </x:c>
      <x:c r="E1586" s="67" t="n">
        <x:v>57890</x:v>
      </x:c>
      <x:c r="F1586" s="68" t="n">
        <x:v>49.6</x:v>
      </x:c>
      <x:c r="G1586" s="69" t="n">
        <x:f>IF(COUNT(E1586:F1586)=2,E1586*F1586,"")</x:f>
        <x:v>2871344</x:v>
      </x:c>
    </x:row>
    <x:row r="1587">
      <x:c r="A1587" s="66" t="n">
        <x:v>14</x:v>
      </x:c>
      <x:c r="B1587" s="44" t="str">
        <x:v>Canola/Rapeseed</x:v>
      </x:c>
      <x:c r="C1587" s="44" t="str">
        <x:v>L333PC</x:v>
      </x:c>
      <x:c r="D1587" s="66" t="n">
        <x:v>2021</x:v>
      </x:c>
      <x:c r="E1587" s="67"/>
      <x:c r="F1587" s="68"/>
      <x:c r="G1587" s="69" t="str">
        <x:f>IF(COUNT(E1587:F1587)=2,E1587*F1587,"")</x:f>
      </x:c>
    </x:row>
    <x:row r="1588">
      <x:c r="A1588" s="66" t="n">
        <x:v>14</x:v>
      </x:c>
      <x:c r="B1588" s="44" t="str">
        <x:v>Canola/Rapeseed</x:v>
      </x:c>
      <x:c r="C1588" s="44" t="str">
        <x:v>L333PC</x:v>
      </x:c>
      <x:c r="D1588" s="66" t="n">
        <x:v>2022</x:v>
      </x:c>
      <x:c r="E1588" s="67"/>
      <x:c r="F1588" s="68"/>
      <x:c r="G1588" s="69" t="str">
        <x:f>IF(COUNT(E1588:F1588)=2,E1588*F1588,"")</x:f>
      </x:c>
    </x:row>
    <x:row r="1589">
      <x:c r="A1589" s="66" t="n">
        <x:v>14</x:v>
      </x:c>
      <x:c r="B1589" s="44" t="str">
        <x:v>Canola/Rapeseed</x:v>
      </x:c>
      <x:c r="C1589" s="44" t="str">
        <x:v>L333PC</x:v>
      </x:c>
      <x:c r="D1589" s="66" t="n">
        <x:v>2023</x:v>
      </x:c>
      <x:c r="E1589" s="67"/>
      <x:c r="F1589" s="68"/>
      <x:c r="G1589" s="69" t="str">
        <x:f>IF(COUNT(E1589:F1589)=2,E1589*F1589,"")</x:f>
      </x:c>
    </x:row>
    <x:row r="1590">
      <x:c r="A1590" s="66" t="n">
        <x:v>14</x:v>
      </x:c>
      <x:c r="B1590" s="44" t="str">
        <x:v>Canola/Rapeseed</x:v>
      </x:c>
      <x:c r="C1590" s="44" t="str">
        <x:v>L333PC</x:v>
      </x:c>
      <x:c r="D1590" s="66" t="n">
        <x:v>2024</x:v>
      </x:c>
      <x:c r="E1590" s="67"/>
      <x:c r="F1590" s="68"/>
      <x:c r="G1590" s="69" t="str">
        <x:f>IF(COUNT(E1590:F1590)=2,E1590*F1590,"")</x:f>
      </x:c>
    </x:row>
    <x:row r="1591">
      <x:c r="A1591" s="66" t="n">
        <x:v>14</x:v>
      </x:c>
      <x:c r="B1591" s="44" t="str">
        <x:v>Canola/Rapeseed</x:v>
      </x:c>
      <x:c r="C1591" s="44" t="str">
        <x:v>L333PC</x:v>
      </x:c>
      <x:c r="D1591" s="66" t="n">
        <x:v>2025</x:v>
      </x:c>
      <x:c r="E1591" s="67" t="n">
        <x:v>30819</x:v>
      </x:c>
      <x:c r="F1591" s="68" t="n">
        <x:v>47.3</x:v>
      </x:c>
      <x:c r="G1591" s="69" t="n">
        <x:f>IF(COUNT(E1591:F1591)=2,E1591*F1591,"")</x:f>
        <x:v>1457738.7</x:v>
      </x:c>
    </x:row>
    <x:row r="1592">
      <x:c r="A1592" s="66" t="n">
        <x:v>14</x:v>
      </x:c>
      <x:c r="B1592" s="44" t="str">
        <x:v>Canola/Rapeseed</x:v>
      </x:c>
      <x:c r="C1592" s="44" t="str">
        <x:v>L340PC</x:v>
      </x:c>
      <x:c r="D1592" s="66" t="n">
        <x:v>2021</x:v>
      </x:c>
      <x:c r="E1592" s="67" t="n">
        <x:v>90555</x:v>
      </x:c>
      <x:c r="F1592" s="68" t="n">
        <x:v>35.3</x:v>
      </x:c>
      <x:c r="G1592" s="69" t="n">
        <x:f>IF(COUNT(E1592:F1592)=2,E1592*F1592,"")</x:f>
        <x:v>3196591.4999999995</x:v>
      </x:c>
    </x:row>
    <x:row r="1593">
      <x:c r="A1593" s="66" t="n">
        <x:v>14</x:v>
      </x:c>
      <x:c r="B1593" s="44" t="str">
        <x:v>Canola/Rapeseed</x:v>
      </x:c>
      <x:c r="C1593" s="44" t="str">
        <x:v>L340PC</x:v>
      </x:c>
      <x:c r="D1593" s="66" t="n">
        <x:v>2022</x:v>
      </x:c>
      <x:c r="E1593" s="67" t="n">
        <x:v>182361</x:v>
      </x:c>
      <x:c r="F1593" s="68" t="n">
        <x:v>49.6</x:v>
      </x:c>
      <x:c r="G1593" s="69" t="n">
        <x:f>IF(COUNT(E1593:F1593)=2,E1593*F1593,"")</x:f>
        <x:v>9045105.6</x:v>
      </x:c>
    </x:row>
    <x:row r="1594">
      <x:c r="A1594" s="66" t="n">
        <x:v>14</x:v>
      </x:c>
      <x:c r="B1594" s="44" t="str">
        <x:v>Canola/Rapeseed</x:v>
      </x:c>
      <x:c r="C1594" s="44" t="str">
        <x:v>L340PC</x:v>
      </x:c>
      <x:c r="D1594" s="66" t="n">
        <x:v>2023</x:v>
      </x:c>
      <x:c r="E1594" s="67" t="n">
        <x:v>205945</x:v>
      </x:c>
      <x:c r="F1594" s="68" t="n">
        <x:v>53.3</x:v>
      </x:c>
      <x:c r="G1594" s="69" t="n">
        <x:f>IF(COUNT(E1594:F1594)=2,E1594*F1594,"")</x:f>
        <x:v>10976868.5</x:v>
      </x:c>
    </x:row>
    <x:row r="1595">
      <x:c r="A1595" s="66" t="n">
        <x:v>14</x:v>
      </x:c>
      <x:c r="B1595" s="44" t="str">
        <x:v>Canola/Rapeseed</x:v>
      </x:c>
      <x:c r="C1595" s="44" t="str">
        <x:v>L340PC</x:v>
      </x:c>
      <x:c r="D1595" s="66" t="n">
        <x:v>2024</x:v>
      </x:c>
      <x:c r="E1595" s="67" t="n">
        <x:v>287527</x:v>
      </x:c>
      <x:c r="F1595" s="68" t="n">
        <x:v>41.8</x:v>
      </x:c>
      <x:c r="G1595" s="69" t="n">
        <x:f>IF(COUNT(E1595:F1595)=2,E1595*F1595,"")</x:f>
        <x:v>12018628.6</x:v>
      </x:c>
    </x:row>
    <x:row r="1596">
      <x:c r="A1596" s="66" t="n">
        <x:v>14</x:v>
      </x:c>
      <x:c r="B1596" s="44" t="str">
        <x:v>Canola/Rapeseed</x:v>
      </x:c>
      <x:c r="C1596" s="44" t="str">
        <x:v>L340PC</x:v>
      </x:c>
      <x:c r="D1596" s="66" t="n">
        <x:v>2025</x:v>
      </x:c>
      <x:c r="E1596" s="67" t="n">
        <x:v>319962</x:v>
      </x:c>
      <x:c r="F1596" s="68" t="n">
        <x:v>49.8</x:v>
      </x:c>
      <x:c r="G1596" s="69" t="n">
        <x:f>IF(COUNT(E1596:F1596)=2,E1596*F1596,"")</x:f>
        <x:v>15934107.6</x:v>
      </x:c>
    </x:row>
    <x:row r="1597">
      <x:c r="A1597" s="66" t="n">
        <x:v>14</x:v>
      </x:c>
      <x:c r="B1597" s="44" t="str">
        <x:v>Canola/Rapeseed</x:v>
      </x:c>
      <x:c r="C1597" s="44" t="str">
        <x:v>L341PC</x:v>
      </x:c>
      <x:c r="D1597" s="66" t="n">
        <x:v>2021</x:v>
      </x:c>
      <x:c r="E1597" s="67"/>
      <x:c r="F1597" s="68"/>
      <x:c r="G1597" s="69" t="str">
        <x:f>IF(COUNT(E1597:F1597)=2,E1597*F1597,"")</x:f>
      </x:c>
    </x:row>
    <x:row r="1598">
      <x:c r="A1598" s="66" t="n">
        <x:v>14</x:v>
      </x:c>
      <x:c r="B1598" s="44" t="str">
        <x:v>Canola/Rapeseed</x:v>
      </x:c>
      <x:c r="C1598" s="44" t="str">
        <x:v>L341PC</x:v>
      </x:c>
      <x:c r="D1598" s="66" t="n">
        <x:v>2022</x:v>
      </x:c>
      <x:c r="E1598" s="67"/>
      <x:c r="F1598" s="68"/>
      <x:c r="G1598" s="69" t="str">
        <x:f>IF(COUNT(E1598:F1598)=2,E1598*F1598,"")</x:f>
      </x:c>
    </x:row>
    <x:row r="1599">
      <x:c r="A1599" s="66" t="n">
        <x:v>14</x:v>
      </x:c>
      <x:c r="B1599" s="44" t="str">
        <x:v>Canola/Rapeseed</x:v>
      </x:c>
      <x:c r="C1599" s="44" t="str">
        <x:v>L341PC</x:v>
      </x:c>
      <x:c r="D1599" s="66" t="n">
        <x:v>2023</x:v>
      </x:c>
      <x:c r="E1599" s="67"/>
      <x:c r="F1599" s="68"/>
      <x:c r="G1599" s="69" t="str">
        <x:f>IF(COUNT(E1599:F1599)=2,E1599*F1599,"")</x:f>
      </x:c>
    </x:row>
    <x:row r="1600">
      <x:c r="A1600" s="66" t="n">
        <x:v>14</x:v>
      </x:c>
      <x:c r="B1600" s="44" t="str">
        <x:v>Canola/Rapeseed</x:v>
      </x:c>
      <x:c r="C1600" s="44" t="str">
        <x:v>L341PC</x:v>
      </x:c>
      <x:c r="D1600" s="66" t="n">
        <x:v>2024</x:v>
      </x:c>
      <x:c r="E1600" s="67"/>
      <x:c r="F1600" s="68"/>
      <x:c r="G1600" s="69" t="str">
        <x:f>IF(COUNT(E1600:F1600)=2,E1600*F1600,"")</x:f>
      </x:c>
    </x:row>
    <x:row r="1601">
      <x:c r="A1601" s="66" t="n">
        <x:v>14</x:v>
      </x:c>
      <x:c r="B1601" s="44" t="str">
        <x:v>Canola/Rapeseed</x:v>
      </x:c>
      <x:c r="C1601" s="44" t="str">
        <x:v>L341PC</x:v>
      </x:c>
      <x:c r="D1601" s="66" t="n">
        <x:v>2025</x:v>
      </x:c>
      <x:c r="E1601" s="67" t="n">
        <x:v>750</x:v>
      </x:c>
      <x:c r="F1601" s="68" t="n">
        <x:v>40.9</x:v>
      </x:c>
      <x:c r="G1601" s="69" t="n">
        <x:f>IF(COUNT(E1601:F1601)=2,E1601*F1601,"")</x:f>
        <x:v>30675</x:v>
      </x:c>
    </x:row>
    <x:row r="1602">
      <x:c r="A1602" s="66" t="n">
        <x:v>14</x:v>
      </x:c>
      <x:c r="B1602" s="44" t="str">
        <x:v>Canola/Rapeseed</x:v>
      </x:c>
      <x:c r="C1602" s="44" t="str">
        <x:v>L343PC</x:v>
      </x:c>
      <x:c r="D1602" s="66" t="n">
        <x:v>2021</x:v>
      </x:c>
      <x:c r="E1602" s="67"/>
      <x:c r="F1602" s="68"/>
      <x:c r="G1602" s="69" t="str">
        <x:f>IF(COUNT(E1602:F1602)=2,E1602*F1602,"")</x:f>
      </x:c>
    </x:row>
    <x:row r="1603">
      <x:c r="A1603" s="66" t="n">
        <x:v>14</x:v>
      </x:c>
      <x:c r="B1603" s="44" t="str">
        <x:v>Canola/Rapeseed</x:v>
      </x:c>
      <x:c r="C1603" s="44" t="str">
        <x:v>L343PC</x:v>
      </x:c>
      <x:c r="D1603" s="66" t="n">
        <x:v>2022</x:v>
      </x:c>
      <x:c r="E1603" s="67" t="n">
        <x:v>11078</x:v>
      </x:c>
      <x:c r="F1603" s="68" t="n">
        <x:v>49.6</x:v>
      </x:c>
      <x:c r="G1603" s="69" t="n">
        <x:f>IF(COUNT(E1603:F1603)=2,E1603*F1603,"")</x:f>
        <x:v>549468.8</x:v>
      </x:c>
    </x:row>
    <x:row r="1604">
      <x:c r="A1604" s="66" t="n">
        <x:v>14</x:v>
      </x:c>
      <x:c r="B1604" s="44" t="str">
        <x:v>Canola/Rapeseed</x:v>
      </x:c>
      <x:c r="C1604" s="44" t="str">
        <x:v>L343PC</x:v>
      </x:c>
      <x:c r="D1604" s="66" t="n">
        <x:v>2023</x:v>
      </x:c>
      <x:c r="E1604" s="67" t="n">
        <x:v>30109</x:v>
      </x:c>
      <x:c r="F1604" s="68" t="n">
        <x:v>51.3</x:v>
      </x:c>
      <x:c r="G1604" s="69" t="n">
        <x:f>IF(COUNT(E1604:F1604)=2,E1604*F1604,"")</x:f>
        <x:v>1544591.7</x:v>
      </x:c>
    </x:row>
    <x:row r="1605">
      <x:c r="A1605" s="66" t="n">
        <x:v>14</x:v>
      </x:c>
      <x:c r="B1605" s="44" t="str">
        <x:v>Canola/Rapeseed</x:v>
      </x:c>
      <x:c r="C1605" s="44" t="str">
        <x:v>L343PC</x:v>
      </x:c>
      <x:c r="D1605" s="66" t="n">
        <x:v>2024</x:v>
      </x:c>
      <x:c r="E1605" s="67" t="n">
        <x:v>20302</x:v>
      </x:c>
      <x:c r="F1605" s="68" t="n">
        <x:v>39.2</x:v>
      </x:c>
      <x:c r="G1605" s="69" t="n">
        <x:f>IF(COUNT(E1605:F1605)=2,E1605*F1605,"")</x:f>
        <x:v>795838.4</x:v>
      </x:c>
    </x:row>
    <x:row r="1606">
      <x:c r="A1606" s="66" t="n">
        <x:v>14</x:v>
      </x:c>
      <x:c r="B1606" s="44" t="str">
        <x:v>Canola/Rapeseed</x:v>
      </x:c>
      <x:c r="C1606" s="44" t="str">
        <x:v>L343PC</x:v>
      </x:c>
      <x:c r="D1606" s="66" t="n">
        <x:v>2025</x:v>
      </x:c>
      <x:c r="E1606" s="67" t="n">
        <x:v>10435</x:v>
      </x:c>
      <x:c r="F1606" s="68" t="n">
        <x:v>50.7</x:v>
      </x:c>
      <x:c r="G1606" s="69" t="n">
        <x:f>IF(COUNT(E1606:F1606)=2,E1606*F1606,"")</x:f>
        <x:v>529054.5</x:v>
      </x:c>
    </x:row>
    <x:row r="1607">
      <x:c r="A1607" s="66" t="n">
        <x:v>14</x:v>
      </x:c>
      <x:c r="B1607" s="44" t="str">
        <x:v>Canola/Rapeseed</x:v>
      </x:c>
      <x:c r="C1607" s="44" t="str">
        <x:v>L345PC</x:v>
      </x:c>
      <x:c r="D1607" s="66" t="n">
        <x:v>2021</x:v>
      </x:c>
      <x:c r="E1607" s="67" t="n">
        <x:v>63651</x:v>
      </x:c>
      <x:c r="F1607" s="68" t="n">
        <x:v>34.6</x:v>
      </x:c>
      <x:c r="G1607" s="69" t="n">
        <x:f>IF(COUNT(E1607:F1607)=2,E1607*F1607,"")</x:f>
        <x:v>2202324.6</x:v>
      </x:c>
    </x:row>
    <x:row r="1608">
      <x:c r="A1608" s="66" t="n">
        <x:v>14</x:v>
      </x:c>
      <x:c r="B1608" s="44" t="str">
        <x:v>Canola/Rapeseed</x:v>
      </x:c>
      <x:c r="C1608" s="44" t="str">
        <x:v>L345PC</x:v>
      </x:c>
      <x:c r="D1608" s="66" t="n">
        <x:v>2022</x:v>
      </x:c>
      <x:c r="E1608" s="67" t="n">
        <x:v>65263</x:v>
      </x:c>
      <x:c r="F1608" s="68" t="n">
        <x:v>53.3</x:v>
      </x:c>
      <x:c r="G1608" s="69" t="n">
        <x:f>IF(COUNT(E1608:F1608)=2,E1608*F1608,"")</x:f>
        <x:v>3478517.9</x:v>
      </x:c>
    </x:row>
    <x:row r="1609">
      <x:c r="A1609" s="66" t="n">
        <x:v>14</x:v>
      </x:c>
      <x:c r="B1609" s="44" t="str">
        <x:v>Canola/Rapeseed</x:v>
      </x:c>
      <x:c r="C1609" s="44" t="str">
        <x:v>L345PC</x:v>
      </x:c>
      <x:c r="D1609" s="66" t="n">
        <x:v>2023</x:v>
      </x:c>
      <x:c r="E1609" s="67" t="n">
        <x:v>26061</x:v>
      </x:c>
      <x:c r="F1609" s="68" t="n">
        <x:v>54.3</x:v>
      </x:c>
      <x:c r="G1609" s="69" t="n">
        <x:f>IF(COUNT(E1609:F1609)=2,E1609*F1609,"")</x:f>
        <x:v>1415112.2999999998</x:v>
      </x:c>
    </x:row>
    <x:row r="1610">
      <x:c r="A1610" s="66" t="n">
        <x:v>14</x:v>
      </x:c>
      <x:c r="B1610" s="44" t="str">
        <x:v>Canola/Rapeseed</x:v>
      </x:c>
      <x:c r="C1610" s="44" t="str">
        <x:v>L345PC</x:v>
      </x:c>
      <x:c r="D1610" s="66" t="n">
        <x:v>2024</x:v>
      </x:c>
      <x:c r="E1610" s="67" t="n">
        <x:v>39177</x:v>
      </x:c>
      <x:c r="F1610" s="68" t="n">
        <x:v>41.7</x:v>
      </x:c>
      <x:c r="G1610" s="69" t="n">
        <x:f>IF(COUNT(E1610:F1610)=2,E1610*F1610,"")</x:f>
        <x:v>1633680.9000000001</x:v>
      </x:c>
    </x:row>
    <x:row r="1611">
      <x:c r="A1611" s="66" t="n">
        <x:v>14</x:v>
      </x:c>
      <x:c r="B1611" s="44" t="str">
        <x:v>Canola/Rapeseed</x:v>
      </x:c>
      <x:c r="C1611" s="44" t="str">
        <x:v>L345PC</x:v>
      </x:c>
      <x:c r="D1611" s="66" t="n">
        <x:v>2025</x:v>
      </x:c>
      <x:c r="E1611" s="67" t="n">
        <x:v>20707</x:v>
      </x:c>
      <x:c r="F1611" s="68" t="n">
        <x:v>47.2</x:v>
      </x:c>
      <x:c r="G1611" s="69" t="n">
        <x:f>IF(COUNT(E1611:F1611)=2,E1611*F1611,"")</x:f>
        <x:v>977370.4</x:v>
      </x:c>
    </x:row>
    <x:row r="1612">
      <x:c r="A1612" s="66" t="n">
        <x:v>14</x:v>
      </x:c>
      <x:c r="B1612" s="44" t="str">
        <x:v>Canola/Rapeseed</x:v>
      </x:c>
      <x:c r="C1612" s="44" t="str">
        <x:v>L350PC</x:v>
      </x:c>
      <x:c r="D1612" s="66" t="n">
        <x:v>2021</x:v>
      </x:c>
      <x:c r="E1612" s="67"/>
      <x:c r="F1612" s="68"/>
      <x:c r="G1612" s="69" t="str">
        <x:f>IF(COUNT(E1612:F1612)=2,E1612*F1612,"")</x:f>
      </x:c>
    </x:row>
    <x:row r="1613">
      <x:c r="A1613" s="66" t="n">
        <x:v>14</x:v>
      </x:c>
      <x:c r="B1613" s="44" t="str">
        <x:v>Canola/Rapeseed</x:v>
      </x:c>
      <x:c r="C1613" s="44" t="str">
        <x:v>L350PC</x:v>
      </x:c>
      <x:c r="D1613" s="66" t="n">
        <x:v>2022</x:v>
      </x:c>
      <x:c r="E1613" s="67"/>
      <x:c r="F1613" s="68"/>
      <x:c r="G1613" s="69" t="str">
        <x:f>IF(COUNT(E1613:F1613)=2,E1613*F1613,"")</x:f>
      </x:c>
    </x:row>
    <x:row r="1614">
      <x:c r="A1614" s="66" t="n">
        <x:v>14</x:v>
      </x:c>
      <x:c r="B1614" s="44" t="str">
        <x:v>Canola/Rapeseed</x:v>
      </x:c>
      <x:c r="C1614" s="44" t="str">
        <x:v>L350PC</x:v>
      </x:c>
      <x:c r="D1614" s="66" t="n">
        <x:v>2023</x:v>
      </x:c>
      <x:c r="E1614" s="67" t="n">
        <x:v>36380</x:v>
      </x:c>
      <x:c r="F1614" s="68" t="n">
        <x:v>54.6</x:v>
      </x:c>
      <x:c r="G1614" s="69" t="n">
        <x:f>IF(COUNT(E1614:F1614)=2,E1614*F1614,"")</x:f>
        <x:v>1986348</x:v>
      </x:c>
    </x:row>
    <x:row r="1615">
      <x:c r="A1615" s="66" t="n">
        <x:v>14</x:v>
      </x:c>
      <x:c r="B1615" s="44" t="str">
        <x:v>Canola/Rapeseed</x:v>
      </x:c>
      <x:c r="C1615" s="44" t="str">
        <x:v>L350PC</x:v>
      </x:c>
      <x:c r="D1615" s="66" t="n">
        <x:v>2024</x:v>
      </x:c>
      <x:c r="E1615" s="67" t="n">
        <x:v>20434</x:v>
      </x:c>
      <x:c r="F1615" s="68" t="n">
        <x:v>41.4</x:v>
      </x:c>
      <x:c r="G1615" s="69" t="n">
        <x:f>IF(COUNT(E1615:F1615)=2,E1615*F1615,"")</x:f>
        <x:v>845967.6</x:v>
      </x:c>
    </x:row>
    <x:row r="1616">
      <x:c r="A1616" s="66" t="n">
        <x:v>14</x:v>
      </x:c>
      <x:c r="B1616" s="44" t="str">
        <x:v>Canola/Rapeseed</x:v>
      </x:c>
      <x:c r="C1616" s="44" t="str">
        <x:v>L350PC</x:v>
      </x:c>
      <x:c r="D1616" s="66" t="n">
        <x:v>2025</x:v>
      </x:c>
      <x:c r="E1616" s="67" t="n">
        <x:v>15524</x:v>
      </x:c>
      <x:c r="F1616" s="68" t="n">
        <x:v>50.1</x:v>
      </x:c>
      <x:c r="G1616" s="69" t="n">
        <x:f>IF(COUNT(E1616:F1616)=2,E1616*F1616,"")</x:f>
        <x:v>777752.4</x:v>
      </x:c>
    </x:row>
    <x:row r="1617">
      <x:c r="A1617" s="66" t="n">
        <x:v>14</x:v>
      </x:c>
      <x:c r="B1617" s="44" t="str">
        <x:v>Canola/Rapeseed</x:v>
      </x:c>
      <x:c r="C1617" s="44" t="str">
        <x:v>L356PC</x:v>
      </x:c>
      <x:c r="D1617" s="66" t="n">
        <x:v>2021</x:v>
      </x:c>
      <x:c r="E1617" s="67"/>
      <x:c r="F1617" s="68"/>
      <x:c r="G1617" s="69" t="str">
        <x:f>IF(COUNT(E1617:F1617)=2,E1617*F1617,"")</x:f>
      </x:c>
    </x:row>
    <x:row r="1618">
      <x:c r="A1618" s="66" t="n">
        <x:v>14</x:v>
      </x:c>
      <x:c r="B1618" s="44" t="str">
        <x:v>Canola/Rapeseed</x:v>
      </x:c>
      <x:c r="C1618" s="44" t="str">
        <x:v>L356PC</x:v>
      </x:c>
      <x:c r="D1618" s="66" t="n">
        <x:v>2022</x:v>
      </x:c>
      <x:c r="E1618" s="67" t="n">
        <x:v>50627</x:v>
      </x:c>
      <x:c r="F1618" s="68" t="n">
        <x:v>52.1</x:v>
      </x:c>
      <x:c r="G1618" s="69" t="n">
        <x:f>IF(COUNT(E1618:F1618)=2,E1618*F1618,"")</x:f>
        <x:v>2637666.7</x:v>
      </x:c>
    </x:row>
    <x:row r="1619">
      <x:c r="A1619" s="66" t="n">
        <x:v>14</x:v>
      </x:c>
      <x:c r="B1619" s="44" t="str">
        <x:v>Canola/Rapeseed</x:v>
      </x:c>
      <x:c r="C1619" s="44" t="str">
        <x:v>L356PC</x:v>
      </x:c>
      <x:c r="D1619" s="66" t="n">
        <x:v>2023</x:v>
      </x:c>
      <x:c r="E1619" s="67" t="n">
        <x:v>114913</x:v>
      </x:c>
      <x:c r="F1619" s="68" t="n">
        <x:v>54.4</x:v>
      </x:c>
      <x:c r="G1619" s="69" t="n">
        <x:f>IF(COUNT(E1619:F1619)=2,E1619*F1619,"")</x:f>
        <x:v>6251267.2</x:v>
      </x:c>
    </x:row>
    <x:row r="1620">
      <x:c r="A1620" s="66" t="n">
        <x:v>14</x:v>
      </x:c>
      <x:c r="B1620" s="44" t="str">
        <x:v>Canola/Rapeseed</x:v>
      </x:c>
      <x:c r="C1620" s="44" t="str">
        <x:v>L356PC</x:v>
      </x:c>
      <x:c r="D1620" s="66" t="n">
        <x:v>2024</x:v>
      </x:c>
      <x:c r="E1620" s="67" t="n">
        <x:v>185232</x:v>
      </x:c>
      <x:c r="F1620" s="68" t="n">
        <x:v>41.3</x:v>
      </x:c>
      <x:c r="G1620" s="69" t="n">
        <x:f>IF(COUNT(E1620:F1620)=2,E1620*F1620,"")</x:f>
        <x:v>7650081.6</x:v>
      </x:c>
    </x:row>
    <x:row r="1621">
      <x:c r="A1621" s="66" t="n">
        <x:v>14</x:v>
      </x:c>
      <x:c r="B1621" s="44" t="str">
        <x:v>Canola/Rapeseed</x:v>
      </x:c>
      <x:c r="C1621" s="44" t="str">
        <x:v>L356PC</x:v>
      </x:c>
      <x:c r="D1621" s="66" t="n">
        <x:v>2025</x:v>
      </x:c>
      <x:c r="E1621" s="67" t="n">
        <x:v>129889</x:v>
      </x:c>
      <x:c r="F1621" s="68" t="n">
        <x:v>48.5</x:v>
      </x:c>
      <x:c r="G1621" s="69" t="n">
        <x:f>IF(COUNT(E1621:F1621)=2,E1621*F1621,"")</x:f>
        <x:v>6299616.5</x:v>
      </x:c>
    </x:row>
    <x:row r="1622">
      <x:c r="A1622" s="66" t="n">
        <x:v>14</x:v>
      </x:c>
      <x:c r="B1622" s="44" t="str">
        <x:v>Canola/Rapeseed</x:v>
      </x:c>
      <x:c r="C1622" s="44" t="str">
        <x:v>PV 661 LCM</x:v>
      </x:c>
      <x:c r="D1622" s="66" t="n">
        <x:v>2021</x:v>
      </x:c>
      <x:c r="E1622" s="67"/>
      <x:c r="F1622" s="68"/>
      <x:c r="G1622" s="69" t="str">
        <x:f>IF(COUNT(E1622:F1622)=2,E1622*F1622,"")</x:f>
      </x:c>
    </x:row>
    <x:row r="1623">
      <x:c r="A1623" s="66" t="n">
        <x:v>14</x:v>
      </x:c>
      <x:c r="B1623" s="44" t="str">
        <x:v>Canola/Rapeseed</x:v>
      </x:c>
      <x:c r="C1623" s="44" t="str">
        <x:v>PV 661 LCM</x:v>
      </x:c>
      <x:c r="D1623" s="66" t="n">
        <x:v>2022</x:v>
      </x:c>
      <x:c r="E1623" s="67"/>
      <x:c r="F1623" s="68"/>
      <x:c r="G1623" s="69" t="str">
        <x:f>IF(COUNT(E1623:F1623)=2,E1623*F1623,"")</x:f>
      </x:c>
    </x:row>
    <x:row r="1624">
      <x:c r="A1624" s="66" t="n">
        <x:v>14</x:v>
      </x:c>
      <x:c r="B1624" s="44" t="str">
        <x:v>Canola/Rapeseed</x:v>
      </x:c>
      <x:c r="C1624" s="44" t="str">
        <x:v>PV 661 LCM</x:v>
      </x:c>
      <x:c r="D1624" s="66" t="n">
        <x:v>2023</x:v>
      </x:c>
      <x:c r="E1624" s="67"/>
      <x:c r="F1624" s="68"/>
      <x:c r="G1624" s="69" t="str">
        <x:f>IF(COUNT(E1624:F1624)=2,E1624*F1624,"")</x:f>
      </x:c>
    </x:row>
    <x:row r="1625">
      <x:c r="A1625" s="66" t="n">
        <x:v>14</x:v>
      </x:c>
      <x:c r="B1625" s="44" t="str">
        <x:v>Canola/Rapeseed</x:v>
      </x:c>
      <x:c r="C1625" s="44" t="str">
        <x:v>PV 661 LCM</x:v>
      </x:c>
      <x:c r="D1625" s="66" t="n">
        <x:v>2024</x:v>
      </x:c>
      <x:c r="E1625" s="67" t="n">
        <x:v>2322</x:v>
      </x:c>
      <x:c r="F1625" s="68" t="n">
        <x:v>31.7</x:v>
      </x:c>
      <x:c r="G1625" s="69" t="n">
        <x:f>IF(COUNT(E1625:F1625)=2,E1625*F1625,"")</x:f>
        <x:v>73607.4</x:v>
      </x:c>
    </x:row>
    <x:row r="1626">
      <x:c r="A1626" s="66" t="n">
        <x:v>14</x:v>
      </x:c>
      <x:c r="B1626" s="44" t="str">
        <x:v>Canola/Rapeseed</x:v>
      </x:c>
      <x:c r="C1626" s="44" t="str">
        <x:v>PV 661 LCM</x:v>
      </x:c>
      <x:c r="D1626" s="66" t="n">
        <x:v>2025</x:v>
      </x:c>
      <x:c r="E1626" s="67" t="n">
        <x:v>2941</x:v>
      </x:c>
      <x:c r="F1626" s="68" t="n">
        <x:v>43.6</x:v>
      </x:c>
      <x:c r="G1626" s="69" t="n">
        <x:f>IF(COUNT(E1626:F1626)=2,E1626*F1626,"")</x:f>
        <x:v>128227.6</x:v>
      </x:c>
    </x:row>
    <x:row r="1627">
      <x:c r="A1627" s="66" t="n">
        <x:v>14</x:v>
      </x:c>
      <x:c r="B1627" s="44" t="str">
        <x:v>Canola/Rapeseed</x:v>
      </x:c>
      <x:c r="C1627" s="44" t="str">
        <x:v>PV 681 LC</x:v>
      </x:c>
      <x:c r="D1627" s="66" t="n">
        <x:v>2021</x:v>
      </x:c>
      <x:c r="E1627" s="67" t="n">
        <x:v>3079</x:v>
      </x:c>
      <x:c r="F1627" s="68" t="n">
        <x:v>34.4</x:v>
      </x:c>
      <x:c r="G1627" s="69" t="n">
        <x:f>IF(COUNT(E1627:F1627)=2,E1627*F1627,"")</x:f>
        <x:v>105917.59999999999</x:v>
      </x:c>
    </x:row>
    <x:row r="1628">
      <x:c r="A1628" s="66" t="n">
        <x:v>14</x:v>
      </x:c>
      <x:c r="B1628" s="44" t="str">
        <x:v>Canola/Rapeseed</x:v>
      </x:c>
      <x:c r="C1628" s="44" t="str">
        <x:v>PV 681 LC</x:v>
      </x:c>
      <x:c r="D1628" s="66" t="n">
        <x:v>2022</x:v>
      </x:c>
      <x:c r="E1628" s="67" t="n">
        <x:v>1085</x:v>
      </x:c>
      <x:c r="F1628" s="68" t="n">
        <x:v>50.7</x:v>
      </x:c>
      <x:c r="G1628" s="69" t="n">
        <x:f>IF(COUNT(E1628:F1628)=2,E1628*F1628,"")</x:f>
        <x:v>55009.5</x:v>
      </x:c>
    </x:row>
    <x:row r="1629">
      <x:c r="A1629" s="66" t="n">
        <x:v>14</x:v>
      </x:c>
      <x:c r="B1629" s="44" t="str">
        <x:v>Canola/Rapeseed</x:v>
      </x:c>
      <x:c r="C1629" s="44" t="str">
        <x:v>PV 681 LC</x:v>
      </x:c>
      <x:c r="D1629" s="66" t="n">
        <x:v>2023</x:v>
      </x:c>
      <x:c r="E1629" s="67" t="n">
        <x:v>2703</x:v>
      </x:c>
      <x:c r="F1629" s="68" t="n">
        <x:v>51.9</x:v>
      </x:c>
      <x:c r="G1629" s="69" t="n">
        <x:f>IF(COUNT(E1629:F1629)=2,E1629*F1629,"")</x:f>
        <x:v>140285.69999999998</x:v>
      </x:c>
    </x:row>
    <x:row r="1630">
      <x:c r="A1630" s="66" t="n">
        <x:v>14</x:v>
      </x:c>
      <x:c r="B1630" s="44" t="str">
        <x:v>Canola/Rapeseed</x:v>
      </x:c>
      <x:c r="C1630" s="44" t="str">
        <x:v>PV 681 LC</x:v>
      </x:c>
      <x:c r="D1630" s="66" t="n">
        <x:v>2024</x:v>
      </x:c>
      <x:c r="E1630" s="67" t="n">
        <x:v>1130</x:v>
      </x:c>
      <x:c r="F1630" s="68" t="n">
        <x:v>35.6</x:v>
      </x:c>
      <x:c r="G1630" s="69" t="n">
        <x:f>IF(COUNT(E1630:F1630)=2,E1630*F1630,"")</x:f>
        <x:v>40228</x:v>
      </x:c>
    </x:row>
    <x:row r="1631">
      <x:c r="A1631" s="66" t="n">
        <x:v>14</x:v>
      </x:c>
      <x:c r="B1631" s="44" t="str">
        <x:v>Canola/Rapeseed</x:v>
      </x:c>
      <x:c r="C1631" s="44" t="str">
        <x:v>PV 681 LC</x:v>
      </x:c>
      <x:c r="D1631" s="66" t="n">
        <x:v>2025</x:v>
      </x:c>
      <x:c r="E1631" s="67" t="n">
        <x:v>1090</x:v>
      </x:c>
      <x:c r="F1631" s="68" t="n">
        <x:v>44.2</x:v>
      </x:c>
      <x:c r="G1631" s="69" t="n">
        <x:f>IF(COUNT(E1631:F1631)=2,E1631*F1631,"")</x:f>
        <x:v>48178</x:v>
      </x:c>
    </x:row>
    <x:row r="1632">
      <x:c r="A1632" s="66" t="n">
        <x:v>14</x:v>
      </x:c>
      <x:c r="B1632" s="44" t="str">
        <x:v>Canola/Rapeseed</x:v>
      </x:c>
      <x:c r="C1632" s="44" t="str">
        <x:v>PV 760 TM</x:v>
      </x:c>
      <x:c r="D1632" s="66" t="n">
        <x:v>2021</x:v>
      </x:c>
      <x:c r="E1632" s="67" t="n">
        <x:v>7234</x:v>
      </x:c>
      <x:c r="F1632" s="68" t="n">
        <x:v>29</x:v>
      </x:c>
      <x:c r="G1632" s="69" t="n">
        <x:f>IF(COUNT(E1632:F1632)=2,E1632*F1632,"")</x:f>
        <x:v>209786</x:v>
      </x:c>
    </x:row>
    <x:row r="1633">
      <x:c r="A1633" s="66" t="n">
        <x:v>14</x:v>
      </x:c>
      <x:c r="B1633" s="44" t="str">
        <x:v>Canola/Rapeseed</x:v>
      </x:c>
      <x:c r="C1633" s="44" t="str">
        <x:v>PV 760 TM</x:v>
      </x:c>
      <x:c r="D1633" s="66" t="n">
        <x:v>2022</x:v>
      </x:c>
      <x:c r="E1633" s="67" t="n">
        <x:v>2316</x:v>
      </x:c>
      <x:c r="F1633" s="68" t="n">
        <x:v>46.3</x:v>
      </x:c>
      <x:c r="G1633" s="69" t="n">
        <x:f>IF(COUNT(E1633:F1633)=2,E1633*F1633,"")</x:f>
        <x:v>107230.79999999999</x:v>
      </x:c>
    </x:row>
    <x:row r="1634">
      <x:c r="A1634" s="66" t="n">
        <x:v>14</x:v>
      </x:c>
      <x:c r="B1634" s="44" t="str">
        <x:v>Canola/Rapeseed</x:v>
      </x:c>
      <x:c r="C1634" s="44" t="str">
        <x:v>PV 760 TM</x:v>
      </x:c>
      <x:c r="D1634" s="66" t="n">
        <x:v>2023</x:v>
      </x:c>
      <x:c r="E1634" s="67" t="n">
        <x:v>1624</x:v>
      </x:c>
      <x:c r="F1634" s="68" t="n">
        <x:v>46.7</x:v>
      </x:c>
      <x:c r="G1634" s="69" t="n">
        <x:f>IF(COUNT(E1634:F1634)=2,E1634*F1634,"")</x:f>
        <x:v>75840.8</x:v>
      </x:c>
    </x:row>
    <x:row r="1635">
      <x:c r="A1635" s="66" t="n">
        <x:v>14</x:v>
      </x:c>
      <x:c r="B1635" s="44" t="str">
        <x:v>Canola/Rapeseed</x:v>
      </x:c>
      <x:c r="C1635" s="44" t="str">
        <x:v>PV 760 TM</x:v>
      </x:c>
      <x:c r="D1635" s="66" t="n">
        <x:v>2024</x:v>
      </x:c>
      <x:c r="E1635" s="67" t="n">
        <x:v>1552</x:v>
      </x:c>
      <x:c r="F1635" s="68" t="n">
        <x:v>30.3</x:v>
      </x:c>
      <x:c r="G1635" s="69" t="n">
        <x:f>IF(COUNT(E1635:F1635)=2,E1635*F1635,"")</x:f>
        <x:v>47025.6</x:v>
      </x:c>
    </x:row>
    <x:row r="1636">
      <x:c r="A1636" s="66" t="n">
        <x:v>14</x:v>
      </x:c>
      <x:c r="B1636" s="44" t="str">
        <x:v>Canola/Rapeseed</x:v>
      </x:c>
      <x:c r="C1636" s="44" t="str">
        <x:v>PV 760 TM</x:v>
      </x:c>
      <x:c r="D1636" s="66" t="n">
        <x:v>2025</x:v>
      </x:c>
      <x:c r="E1636" s="67" t="n">
        <x:v>931</x:v>
      </x:c>
      <x:c r="F1636" s="68" t="n">
        <x:v>42.9</x:v>
      </x:c>
      <x:c r="G1636" s="69" t="n">
        <x:f>IF(COUNT(E1636:F1636)=2,E1636*F1636,"")</x:f>
        <x:v>39939.9</x:v>
      </x:c>
    </x:row>
    <x:row r="1637">
      <x:c r="A1637" s="66" t="n">
        <x:v>14</x:v>
      </x:c>
      <x:c r="B1637" s="44" t="str">
        <x:v>Canola/Rapeseed</x:v>
      </x:c>
      <x:c r="C1637" s="44" t="str">
        <x:v>PV 761 TM</x:v>
      </x:c>
      <x:c r="D1637" s="66" t="n">
        <x:v>2021</x:v>
      </x:c>
      <x:c r="E1637" s="67" t="n">
        <x:v>6338</x:v>
      </x:c>
      <x:c r="F1637" s="68" t="n">
        <x:v>33.6</x:v>
      </x:c>
      <x:c r="G1637" s="69" t="n">
        <x:f>IF(COUNT(E1637:F1637)=2,E1637*F1637,"")</x:f>
        <x:v>212956.80000000002</x:v>
      </x:c>
    </x:row>
    <x:row r="1638">
      <x:c r="A1638" s="66" t="n">
        <x:v>14</x:v>
      </x:c>
      <x:c r="B1638" s="44" t="str">
        <x:v>Canola/Rapeseed</x:v>
      </x:c>
      <x:c r="C1638" s="44" t="str">
        <x:v>PV 761 TM</x:v>
      </x:c>
      <x:c r="D1638" s="66" t="n">
        <x:v>2022</x:v>
      </x:c>
      <x:c r="E1638" s="67" t="n">
        <x:v>5119</x:v>
      </x:c>
      <x:c r="F1638" s="68" t="n">
        <x:v>45.5</x:v>
      </x:c>
      <x:c r="G1638" s="69" t="n">
        <x:f>IF(COUNT(E1638:F1638)=2,E1638*F1638,"")</x:f>
        <x:v>232914.5</x:v>
      </x:c>
    </x:row>
    <x:row r="1639">
      <x:c r="A1639" s="66" t="n">
        <x:v>14</x:v>
      </x:c>
      <x:c r="B1639" s="44" t="str">
        <x:v>Canola/Rapeseed</x:v>
      </x:c>
      <x:c r="C1639" s="44" t="str">
        <x:v>PV 761 TM</x:v>
      </x:c>
      <x:c r="D1639" s="66" t="n">
        <x:v>2023</x:v>
      </x:c>
      <x:c r="E1639" s="67" t="n">
        <x:v>14209</x:v>
      </x:c>
      <x:c r="F1639" s="68" t="n">
        <x:v>48.9</x:v>
      </x:c>
      <x:c r="G1639" s="69" t="n">
        <x:f>IF(COUNT(E1639:F1639)=2,E1639*F1639,"")</x:f>
        <x:v>694820.1</x:v>
      </x:c>
    </x:row>
    <x:row r="1640">
      <x:c r="A1640" s="66" t="n">
        <x:v>14</x:v>
      </x:c>
      <x:c r="B1640" s="44" t="str">
        <x:v>Canola/Rapeseed</x:v>
      </x:c>
      <x:c r="C1640" s="44" t="str">
        <x:v>PV 761 TM</x:v>
      </x:c>
      <x:c r="D1640" s="66" t="n">
        <x:v>2024</x:v>
      </x:c>
      <x:c r="E1640" s="67" t="n">
        <x:v>5473</x:v>
      </x:c>
      <x:c r="F1640" s="68" t="n">
        <x:v>32.4</x:v>
      </x:c>
      <x:c r="G1640" s="69" t="n">
        <x:f>IF(COUNT(E1640:F1640)=2,E1640*F1640,"")</x:f>
        <x:v>177325.19999999998</x:v>
      </x:c>
    </x:row>
    <x:row r="1641">
      <x:c r="A1641" s="66" t="n">
        <x:v>14</x:v>
      </x:c>
      <x:c r="B1641" s="44" t="str">
        <x:v>Canola/Rapeseed</x:v>
      </x:c>
      <x:c r="C1641" s="44" t="str">
        <x:v>PV 761 TM</x:v>
      </x:c>
      <x:c r="D1641" s="66" t="n">
        <x:v>2025</x:v>
      </x:c>
      <x:c r="E1641" s="67" t="n">
        <x:v>2499</x:v>
      </x:c>
      <x:c r="F1641" s="68" t="n">
        <x:v>34.5</x:v>
      </x:c>
      <x:c r="G1641" s="69" t="n">
        <x:f>IF(COUNT(E1641:F1641)=2,E1641*F1641,"")</x:f>
        <x:v>86215.5</x:v>
      </x:c>
    </x:row>
    <x:row r="1642">
      <x:c r="A1642" s="66" t="n">
        <x:v>14</x:v>
      </x:c>
      <x:c r="B1642" s="44" t="str">
        <x:v>Canola/Rapeseed</x:v>
      </x:c>
      <x:c r="C1642" s="44" t="str">
        <x:v>PV 780 TC</x:v>
      </x:c>
      <x:c r="D1642" s="66" t="n">
        <x:v>2021</x:v>
      </x:c>
      <x:c r="E1642" s="67" t="n">
        <x:v>2320</x:v>
      </x:c>
      <x:c r="F1642" s="68" t="n">
        <x:v>32.9</x:v>
      </x:c>
      <x:c r="G1642" s="69" t="n">
        <x:f>IF(COUNT(E1642:F1642)=2,E1642*F1642,"")</x:f>
        <x:v>76328</x:v>
      </x:c>
    </x:row>
    <x:row r="1643">
      <x:c r="A1643" s="66" t="n">
        <x:v>14</x:v>
      </x:c>
      <x:c r="B1643" s="44" t="str">
        <x:v>Canola/Rapeseed</x:v>
      </x:c>
      <x:c r="C1643" s="44" t="str">
        <x:v>PV 780 TC</x:v>
      </x:c>
      <x:c r="D1643" s="66" t="n">
        <x:v>2022</x:v>
      </x:c>
      <x:c r="E1643" s="67" t="n">
        <x:v>2461</x:v>
      </x:c>
      <x:c r="F1643" s="68" t="n">
        <x:v>38.3</x:v>
      </x:c>
      <x:c r="G1643" s="69" t="n">
        <x:f>IF(COUNT(E1643:F1643)=2,E1643*F1643,"")</x:f>
        <x:v>94256.29999999999</x:v>
      </x:c>
    </x:row>
    <x:row r="1644">
      <x:c r="A1644" s="66" t="n">
        <x:v>14</x:v>
      </x:c>
      <x:c r="B1644" s="44" t="str">
        <x:v>Canola/Rapeseed</x:v>
      </x:c>
      <x:c r="C1644" s="44" t="str">
        <x:v>PV 780 TC</x:v>
      </x:c>
      <x:c r="D1644" s="66" t="n">
        <x:v>2023</x:v>
      </x:c>
      <x:c r="E1644" s="67" t="n">
        <x:v>1007</x:v>
      </x:c>
      <x:c r="F1644" s="68" t="n">
        <x:v>33.6</x:v>
      </x:c>
      <x:c r="G1644" s="69" t="n">
        <x:f>IF(COUNT(E1644:F1644)=2,E1644*F1644,"")</x:f>
        <x:v>33835.200000000004</x:v>
      </x:c>
    </x:row>
    <x:row r="1645">
      <x:c r="A1645" s="66" t="n">
        <x:v>14</x:v>
      </x:c>
      <x:c r="B1645" s="44" t="str">
        <x:v>Canola/Rapeseed</x:v>
      </x:c>
      <x:c r="C1645" s="44" t="str">
        <x:v>PV 780 TC</x:v>
      </x:c>
      <x:c r="D1645" s="66" t="n">
        <x:v>2024</x:v>
      </x:c>
      <x:c r="E1645" s="67"/>
      <x:c r="F1645" s="68"/>
      <x:c r="G1645" s="69" t="str">
        <x:f>IF(COUNT(E1645:F1645)=2,E1645*F1645,"")</x:f>
      </x:c>
    </x:row>
    <x:row r="1646">
      <x:c r="A1646" s="66" t="n">
        <x:v>14</x:v>
      </x:c>
      <x:c r="B1646" s="44" t="str">
        <x:v>Canola/Rapeseed</x:v>
      </x:c>
      <x:c r="C1646" s="44" t="str">
        <x:v>PV 780 TC</x:v>
      </x:c>
      <x:c r="D1646" s="66" t="n">
        <x:v>2025</x:v>
      </x:c>
      <x:c r="E1646" s="67" t="n">
        <x:v>460</x:v>
      </x:c>
      <x:c r="F1646" s="68" t="n">
        <x:v>36.9</x:v>
      </x:c>
      <x:c r="G1646" s="69" t="n">
        <x:f>IF(COUNT(E1646:F1646)=2,E1646*F1646,"")</x:f>
        <x:v>16974</x:v>
      </x:c>
    </x:row>
    <x:row r="1647">
      <x:c r="A1647" s="66" t="n">
        <x:v>14</x:v>
      </x:c>
      <x:c r="B1647" s="44" t="str">
        <x:v>Canola/Rapeseed</x:v>
      </x:c>
      <x:c r="C1647" s="44" t="str">
        <x:v>PV 781 TCM</x:v>
      </x:c>
      <x:c r="D1647" s="66" t="n">
        <x:v>2021</x:v>
      </x:c>
      <x:c r="E1647" s="67"/>
      <x:c r="F1647" s="68"/>
      <x:c r="G1647" s="69" t="str">
        <x:f>IF(COUNT(E1647:F1647)=2,E1647*F1647,"")</x:f>
      </x:c>
    </x:row>
    <x:row r="1648">
      <x:c r="A1648" s="66" t="n">
        <x:v>14</x:v>
      </x:c>
      <x:c r="B1648" s="44" t="str">
        <x:v>Canola/Rapeseed</x:v>
      </x:c>
      <x:c r="C1648" s="44" t="str">
        <x:v>PV 781 TCM</x:v>
      </x:c>
      <x:c r="D1648" s="66" t="n">
        <x:v>2022</x:v>
      </x:c>
      <x:c r="E1648" s="67"/>
      <x:c r="F1648" s="68"/>
      <x:c r="G1648" s="69" t="str">
        <x:f>IF(COUNT(E1648:F1648)=2,E1648*F1648,"")</x:f>
      </x:c>
    </x:row>
    <x:row r="1649">
      <x:c r="A1649" s="66" t="n">
        <x:v>14</x:v>
      </x:c>
      <x:c r="B1649" s="44" t="str">
        <x:v>Canola/Rapeseed</x:v>
      </x:c>
      <x:c r="C1649" s="44" t="str">
        <x:v>PV 781 TCM</x:v>
      </x:c>
      <x:c r="D1649" s="66" t="n">
        <x:v>2023</x:v>
      </x:c>
      <x:c r="E1649" s="67" t="n">
        <x:v>3893</x:v>
      </x:c>
      <x:c r="F1649" s="68" t="n">
        <x:v>33.6</x:v>
      </x:c>
      <x:c r="G1649" s="69" t="n">
        <x:f>IF(COUNT(E1649:F1649)=2,E1649*F1649,"")</x:f>
        <x:v>130804.8</x:v>
      </x:c>
    </x:row>
    <x:row r="1650">
      <x:c r="A1650" s="66" t="n">
        <x:v>14</x:v>
      </x:c>
      <x:c r="B1650" s="44" t="str">
        <x:v>Canola/Rapeseed</x:v>
      </x:c>
      <x:c r="C1650" s="44" t="str">
        <x:v>PV 781 TCM</x:v>
      </x:c>
      <x:c r="D1650" s="66" t="n">
        <x:v>2024</x:v>
      </x:c>
      <x:c r="E1650" s="67" t="n">
        <x:v>5394</x:v>
      </x:c>
      <x:c r="F1650" s="68" t="n">
        <x:v>34.7</x:v>
      </x:c>
      <x:c r="G1650" s="69" t="n">
        <x:f>IF(COUNT(E1650:F1650)=2,E1650*F1650,"")</x:f>
        <x:v>187171.80000000002</x:v>
      </x:c>
    </x:row>
    <x:row r="1651">
      <x:c r="A1651" s="66" t="n">
        <x:v>14</x:v>
      </x:c>
      <x:c r="B1651" s="44" t="str">
        <x:v>Canola/Rapeseed</x:v>
      </x:c>
      <x:c r="C1651" s="44" t="str">
        <x:v>PV 781 TCM</x:v>
      </x:c>
      <x:c r="D1651" s="66" t="n">
        <x:v>2025</x:v>
      </x:c>
      <x:c r="E1651" s="67" t="n">
        <x:v>1113</x:v>
      </x:c>
      <x:c r="F1651" s="68" t="n">
        <x:v>44.6</x:v>
      </x:c>
      <x:c r="G1651" s="69" t="n">
        <x:f>IF(COUNT(E1651:F1651)=2,E1651*F1651,"")</x:f>
        <x:v>49639.8</x:v>
      </x:c>
    </x:row>
    <x:row r="1652">
      <x:c r="A1652" s="66" t="n">
        <x:v>14</x:v>
      </x:c>
      <x:c r="B1652" s="44" t="str">
        <x:v>Canola/Rapeseed</x:v>
      </x:c>
      <x:c r="C1652" s="44" t="str">
        <x:v>PV661 LCM</x:v>
      </x:c>
      <x:c r="D1652" s="66" t="n">
        <x:v>2021</x:v>
      </x:c>
      <x:c r="E1652" s="67"/>
      <x:c r="F1652" s="68"/>
      <x:c r="G1652" s="69" t="str">
        <x:f>IF(COUNT(E1652:F1652)=2,E1652*F1652,"")</x:f>
      </x:c>
    </x:row>
    <x:row r="1653">
      <x:c r="A1653" s="66" t="n">
        <x:v>14</x:v>
      </x:c>
      <x:c r="B1653" s="44" t="str">
        <x:v>Canola/Rapeseed</x:v>
      </x:c>
      <x:c r="C1653" s="44" t="str">
        <x:v>PV661 LCM</x:v>
      </x:c>
      <x:c r="D1653" s="66" t="n">
        <x:v>2022</x:v>
      </x:c>
      <x:c r="E1653" s="67"/>
      <x:c r="F1653" s="68"/>
      <x:c r="G1653" s="69" t="str">
        <x:f>IF(COUNT(E1653:F1653)=2,E1653*F1653,"")</x:f>
      </x:c>
    </x:row>
    <x:row r="1654">
      <x:c r="A1654" s="66" t="n">
        <x:v>14</x:v>
      </x:c>
      <x:c r="B1654" s="44" t="str">
        <x:v>Canola/Rapeseed</x:v>
      </x:c>
      <x:c r="C1654" s="44" t="str">
        <x:v>PV661 LCM</x:v>
      </x:c>
      <x:c r="D1654" s="66" t="n">
        <x:v>2023</x:v>
      </x:c>
      <x:c r="E1654" s="67" t="n">
        <x:v>500</x:v>
      </x:c>
      <x:c r="F1654" s="68" t="n">
        <x:v>45.4</x:v>
      </x:c>
      <x:c r="G1654" s="69" t="n">
        <x:f>IF(COUNT(E1654:F1654)=2,E1654*F1654,"")</x:f>
        <x:v>22700</x:v>
      </x:c>
    </x:row>
    <x:row r="1655">
      <x:c r="A1655" s="66" t="n">
        <x:v>14</x:v>
      </x:c>
      <x:c r="B1655" s="44" t="str">
        <x:v>Canola/Rapeseed</x:v>
      </x:c>
      <x:c r="C1655" s="44" t="str">
        <x:v>PV661 LCM</x:v>
      </x:c>
      <x:c r="D1655" s="66" t="n">
        <x:v>2024</x:v>
      </x:c>
      <x:c r="E1655" s="67" t="n">
        <x:v>1995</x:v>
      </x:c>
      <x:c r="F1655" s="68" t="n">
        <x:v>30</x:v>
      </x:c>
      <x:c r="G1655" s="69" t="n">
        <x:f>IF(COUNT(E1655:F1655)=2,E1655*F1655,"")</x:f>
        <x:v>59850</x:v>
      </x:c>
    </x:row>
    <x:row r="1656">
      <x:c r="A1656" s="66" t="n">
        <x:v>14</x:v>
      </x:c>
      <x:c r="B1656" s="44" t="str">
        <x:v>Canola/Rapeseed</x:v>
      </x:c>
      <x:c r="C1656" s="44" t="str">
        <x:v>PV661 LCM</x:v>
      </x:c>
      <x:c r="D1656" s="66" t="n">
        <x:v>2025</x:v>
      </x:c>
      <x:c r="E1656" s="67" t="n">
        <x:v>2301</x:v>
      </x:c>
      <x:c r="F1656" s="68" t="n">
        <x:v>38.9</x:v>
      </x:c>
      <x:c r="G1656" s="69" t="n">
        <x:f>IF(COUNT(E1656:F1656)=2,E1656*F1656,"")</x:f>
        <x:v>89508.9</x:v>
      </x:c>
    </x:row>
    <x:row r="1657">
      <x:c r="A1657" s="66" t="n">
        <x:v>14</x:v>
      </x:c>
      <x:c r="B1657" s="44" t="str">
        <x:v>Canola/Rapeseed</x:v>
      </x:c>
      <x:c r="C1657" s="44" t="str">
        <x:v>PV783</x:v>
      </x:c>
      <x:c r="D1657" s="66" t="n">
        <x:v>2021</x:v>
      </x:c>
      <x:c r="E1657" s="67"/>
      <x:c r="F1657" s="68"/>
      <x:c r="G1657" s="69" t="str">
        <x:f>IF(COUNT(E1657:F1657)=2,E1657*F1657,"")</x:f>
      </x:c>
    </x:row>
    <x:row r="1658">
      <x:c r="A1658" s="66" t="n">
        <x:v>14</x:v>
      </x:c>
      <x:c r="B1658" s="44" t="str">
        <x:v>Canola/Rapeseed</x:v>
      </x:c>
      <x:c r="C1658" s="44" t="str">
        <x:v>PV783</x:v>
      </x:c>
      <x:c r="D1658" s="66" t="n">
        <x:v>2022</x:v>
      </x:c>
      <x:c r="E1658" s="67"/>
      <x:c r="F1658" s="68"/>
      <x:c r="G1658" s="69" t="str">
        <x:f>IF(COUNT(E1658:F1658)=2,E1658*F1658,"")</x:f>
      </x:c>
    </x:row>
    <x:row r="1659">
      <x:c r="A1659" s="66" t="n">
        <x:v>14</x:v>
      </x:c>
      <x:c r="B1659" s="44" t="str">
        <x:v>Canola/Rapeseed</x:v>
      </x:c>
      <x:c r="C1659" s="44" t="str">
        <x:v>PV783</x:v>
      </x:c>
      <x:c r="D1659" s="66" t="n">
        <x:v>2023</x:v>
      </x:c>
      <x:c r="E1659" s="67"/>
      <x:c r="F1659" s="68"/>
      <x:c r="G1659" s="69" t="str">
        <x:f>IF(COUNT(E1659:F1659)=2,E1659*F1659,"")</x:f>
      </x:c>
    </x:row>
    <x:row r="1660">
      <x:c r="A1660" s="66" t="n">
        <x:v>14</x:v>
      </x:c>
      <x:c r="B1660" s="44" t="str">
        <x:v>Canola/Rapeseed</x:v>
      </x:c>
      <x:c r="C1660" s="44" t="str">
        <x:v>PV783</x:v>
      </x:c>
      <x:c r="D1660" s="66" t="n">
        <x:v>2024</x:v>
      </x:c>
      <x:c r="E1660" s="67"/>
      <x:c r="F1660" s="68"/>
      <x:c r="G1660" s="69" t="str">
        <x:f>IF(COUNT(E1660:F1660)=2,E1660*F1660,"")</x:f>
      </x:c>
    </x:row>
    <x:row r="1661">
      <x:c r="A1661" s="66" t="n">
        <x:v>14</x:v>
      </x:c>
      <x:c r="B1661" s="44" t="str">
        <x:v>Canola/Rapeseed</x:v>
      </x:c>
      <x:c r="C1661" s="44" t="str">
        <x:v>PV783</x:v>
      </x:c>
      <x:c r="D1661" s="66" t="n">
        <x:v>2025</x:v>
      </x:c>
      <x:c r="E1661" s="67" t="n">
        <x:v>6329</x:v>
      </x:c>
      <x:c r="F1661" s="68" t="n">
        <x:v>44.2</x:v>
      </x:c>
      <x:c r="G1661" s="69" t="n">
        <x:f>IF(COUNT(E1661:F1661)=2,E1661*F1661,"")</x:f>
        <x:v>279741.80000000005</x:v>
      </x:c>
    </x:row>
    <x:row r="1662">
      <x:c r="A1662" s="66" t="n">
        <x:v>14</x:v>
      </x:c>
      <x:c r="B1662" s="44" t="str">
        <x:v>Canola/Rapeseed</x:v>
      </x:c>
      <x:c r="C1662" s="44" t="str">
        <x:v>P1530G</x:v>
      </x:c>
      <x:c r="D1662" s="66" t="n">
        <x:v>2021</x:v>
      </x:c>
      <x:c r="E1662" s="67"/>
      <x:c r="F1662" s="68"/>
      <x:c r="G1662" s="69" t="str">
        <x:f>IF(COUNT(E1662:F1662)=2,E1662*F1662,"")</x:f>
      </x:c>
    </x:row>
    <x:row r="1663">
      <x:c r="A1663" s="66" t="n">
        <x:v>14</x:v>
      </x:c>
      <x:c r="B1663" s="44" t="str">
        <x:v>Canola/Rapeseed</x:v>
      </x:c>
      <x:c r="C1663" s="44" t="str">
        <x:v>P1530G</x:v>
      </x:c>
      <x:c r="D1663" s="66" t="n">
        <x:v>2022</x:v>
      </x:c>
      <x:c r="E1663" s="67"/>
      <x:c r="F1663" s="68"/>
      <x:c r="G1663" s="69" t="str">
        <x:f>IF(COUNT(E1663:F1663)=2,E1663*F1663,"")</x:f>
      </x:c>
    </x:row>
    <x:row r="1664">
      <x:c r="A1664" s="66" t="n">
        <x:v>14</x:v>
      </x:c>
      <x:c r="B1664" s="44" t="str">
        <x:v>Canola/Rapeseed</x:v>
      </x:c>
      <x:c r="C1664" s="44" t="str">
        <x:v>P1530G</x:v>
      </x:c>
      <x:c r="D1664" s="66" t="n">
        <x:v>2023</x:v>
      </x:c>
      <x:c r="E1664" s="67"/>
      <x:c r="F1664" s="68"/>
      <x:c r="G1664" s="69" t="str">
        <x:f>IF(COUNT(E1664:F1664)=2,E1664*F1664,"")</x:f>
      </x:c>
    </x:row>
    <x:row r="1665">
      <x:c r="A1665" s="66" t="n">
        <x:v>14</x:v>
      </x:c>
      <x:c r="B1665" s="44" t="str">
        <x:v>Canola/Rapeseed</x:v>
      </x:c>
      <x:c r="C1665" s="44" t="str">
        <x:v>P1530G</x:v>
      </x:c>
      <x:c r="D1665" s="66" t="n">
        <x:v>2024</x:v>
      </x:c>
      <x:c r="E1665" s="67"/>
      <x:c r="F1665" s="68"/>
      <x:c r="G1665" s="69" t="str">
        <x:f>IF(COUNT(E1665:F1665)=2,E1665*F1665,"")</x:f>
      </x:c>
    </x:row>
    <x:row r="1666">
      <x:c r="A1666" s="66" t="n">
        <x:v>14</x:v>
      </x:c>
      <x:c r="B1666" s="44" t="str">
        <x:v>Canola/Rapeseed</x:v>
      </x:c>
      <x:c r="C1666" s="44" t="str">
        <x:v>P1530G</x:v>
      </x:c>
      <x:c r="D1666" s="66" t="n">
        <x:v>2025</x:v>
      </x:c>
      <x:c r="E1666" s="67" t="n">
        <x:v>590</x:v>
      </x:c>
      <x:c r="F1666" s="68" t="n">
        <x:v>40.6</x:v>
      </x:c>
      <x:c r="G1666" s="69" t="n">
        <x:f>IF(COUNT(E1666:F1666)=2,E1666*F1666,"")</x:f>
        <x:v>23954</x:v>
      </x:c>
    </x:row>
    <x:row r="1667">
      <x:c r="A1667" s="66" t="n">
        <x:v>14</x:v>
      </x:c>
      <x:c r="B1667" s="44" t="str">
        <x:v>Canola/Rapeseed</x:v>
      </x:c>
      <x:c r="C1667" s="44" t="str">
        <x:v>P1540L</x:v>
      </x:c>
      <x:c r="D1667" s="66" t="n">
        <x:v>2021</x:v>
      </x:c>
      <x:c r="E1667" s="67"/>
      <x:c r="F1667" s="68"/>
      <x:c r="G1667" s="69" t="str">
        <x:f>IF(COUNT(E1667:F1667)=2,E1667*F1667,"")</x:f>
      </x:c>
    </x:row>
    <x:row r="1668">
      <x:c r="A1668" s="66" t="n">
        <x:v>14</x:v>
      </x:c>
      <x:c r="B1668" s="44" t="str">
        <x:v>Canola/Rapeseed</x:v>
      </x:c>
      <x:c r="C1668" s="44" t="str">
        <x:v>P1540L</x:v>
      </x:c>
      <x:c r="D1668" s="66" t="n">
        <x:v>2022</x:v>
      </x:c>
      <x:c r="E1668" s="67"/>
      <x:c r="F1668" s="68"/>
      <x:c r="G1668" s="69" t="str">
        <x:f>IF(COUNT(E1668:F1668)=2,E1668*F1668,"")</x:f>
      </x:c>
    </x:row>
    <x:row r="1669">
      <x:c r="A1669" s="66" t="n">
        <x:v>14</x:v>
      </x:c>
      <x:c r="B1669" s="44" t="str">
        <x:v>Canola/Rapeseed</x:v>
      </x:c>
      <x:c r="C1669" s="44" t="str">
        <x:v>P1540L</x:v>
      </x:c>
      <x:c r="D1669" s="66" t="n">
        <x:v>2023</x:v>
      </x:c>
      <x:c r="E1669" s="67"/>
      <x:c r="F1669" s="68"/>
      <x:c r="G1669" s="69" t="str">
        <x:f>IF(COUNT(E1669:F1669)=2,E1669*F1669,"")</x:f>
      </x:c>
    </x:row>
    <x:row r="1670">
      <x:c r="A1670" s="66" t="n">
        <x:v>14</x:v>
      </x:c>
      <x:c r="B1670" s="44" t="str">
        <x:v>Canola/Rapeseed</x:v>
      </x:c>
      <x:c r="C1670" s="44" t="str">
        <x:v>P1540L</x:v>
      </x:c>
      <x:c r="D1670" s="66" t="n">
        <x:v>2024</x:v>
      </x:c>
      <x:c r="E1670" s="67"/>
      <x:c r="F1670" s="68"/>
      <x:c r="G1670" s="69" t="str">
        <x:f>IF(COUNT(E1670:F1670)=2,E1670*F1670,"")</x:f>
      </x:c>
    </x:row>
    <x:row r="1671">
      <x:c r="A1671" s="66" t="n">
        <x:v>14</x:v>
      </x:c>
      <x:c r="B1671" s="44" t="str">
        <x:v>Canola/Rapeseed</x:v>
      </x:c>
      <x:c r="C1671" s="44" t="str">
        <x:v>P1540L</x:v>
      </x:c>
      <x:c r="D1671" s="66" t="n">
        <x:v>2025</x:v>
      </x:c>
      <x:c r="E1671" s="67" t="n">
        <x:v>1837</x:v>
      </x:c>
      <x:c r="F1671" s="68" t="n">
        <x:v>49.7</x:v>
      </x:c>
      <x:c r="G1671" s="69" t="n">
        <x:f>IF(COUNT(E1671:F1671)=2,E1671*F1671,"")</x:f>
        <x:v>91298.90000000001</x:v>
      </x:c>
    </x:row>
    <x:row r="1672">
      <x:c r="A1672" s="66" t="n">
        <x:v>14</x:v>
      </x:c>
      <x:c r="B1672" s="44" t="str">
        <x:v>Canola/Rapeseed</x:v>
      </x:c>
      <x:c r="C1672" s="44" t="str">
        <x:v>P501L</x:v>
      </x:c>
      <x:c r="D1672" s="66" t="n">
        <x:v>2021</x:v>
      </x:c>
      <x:c r="E1672" s="67" t="n">
        <x:v>5636</x:v>
      </x:c>
      <x:c r="F1672" s="68" t="n">
        <x:v>30.8</x:v>
      </x:c>
      <x:c r="G1672" s="69" t="n">
        <x:f>IF(COUNT(E1672:F1672)=2,E1672*F1672,"")</x:f>
        <x:v>173588.80000000002</x:v>
      </x:c>
    </x:row>
    <x:row r="1673">
      <x:c r="A1673" s="66" t="n">
        <x:v>14</x:v>
      </x:c>
      <x:c r="B1673" s="44" t="str">
        <x:v>Canola/Rapeseed</x:v>
      </x:c>
      <x:c r="C1673" s="44" t="str">
        <x:v>P501L</x:v>
      </x:c>
      <x:c r="D1673" s="66" t="n">
        <x:v>2022</x:v>
      </x:c>
      <x:c r="E1673" s="67" t="n">
        <x:v>1444</x:v>
      </x:c>
      <x:c r="F1673" s="68" t="n">
        <x:v>47.4</x:v>
      </x:c>
      <x:c r="G1673" s="69" t="n">
        <x:f>IF(COUNT(E1673:F1673)=2,E1673*F1673,"")</x:f>
        <x:v>68445.59999999999</x:v>
      </x:c>
    </x:row>
    <x:row r="1674">
      <x:c r="A1674" s="66" t="n">
        <x:v>14</x:v>
      </x:c>
      <x:c r="B1674" s="44" t="str">
        <x:v>Canola/Rapeseed</x:v>
      </x:c>
      <x:c r="C1674" s="44" t="str">
        <x:v>P501L</x:v>
      </x:c>
      <x:c r="D1674" s="66" t="n">
        <x:v>2023</x:v>
      </x:c>
      <x:c r="E1674" s="67" t="n">
        <x:v>1531</x:v>
      </x:c>
      <x:c r="F1674" s="68" t="n">
        <x:v>50.8</x:v>
      </x:c>
      <x:c r="G1674" s="69" t="n">
        <x:f>IF(COUNT(E1674:F1674)=2,E1674*F1674,"")</x:f>
        <x:v>77774.8</x:v>
      </x:c>
    </x:row>
    <x:row r="1675">
      <x:c r="A1675" s="66" t="n">
        <x:v>14</x:v>
      </x:c>
      <x:c r="B1675" s="44" t="str">
        <x:v>Canola/Rapeseed</x:v>
      </x:c>
      <x:c r="C1675" s="44" t="str">
        <x:v>P501L</x:v>
      </x:c>
      <x:c r="D1675" s="66" t="n">
        <x:v>2024</x:v>
      </x:c>
      <x:c r="E1675" s="67"/>
      <x:c r="F1675" s="68"/>
      <x:c r="G1675" s="69" t="str">
        <x:f>IF(COUNT(E1675:F1675)=2,E1675*F1675,"")</x:f>
      </x:c>
    </x:row>
    <x:row r="1676">
      <x:c r="A1676" s="66" t="n">
        <x:v>14</x:v>
      </x:c>
      <x:c r="B1676" s="44" t="str">
        <x:v>Canola/Rapeseed</x:v>
      </x:c>
      <x:c r="C1676" s="44" t="str">
        <x:v>P501L</x:v>
      </x:c>
      <x:c r="D1676" s="66" t="n">
        <x:v>2025</x:v>
      </x:c>
      <x:c r="E1676" s="67" t="n">
        <x:v>1354</x:v>
      </x:c>
      <x:c r="F1676" s="68" t="n">
        <x:v>34.6</x:v>
      </x:c>
      <x:c r="G1676" s="69" t="n">
        <x:f>IF(COUNT(E1676:F1676)=2,E1676*F1676,"")</x:f>
        <x:v>46848.4</x:v>
      </x:c>
    </x:row>
    <x:row r="1677">
      <x:c r="A1677" s="66" t="n">
        <x:v>14</x:v>
      </x:c>
      <x:c r="B1677" s="44" t="str">
        <x:v>Canola/Rapeseed</x:v>
      </x:c>
      <x:c r="C1677" s="44" t="str">
        <x:v>P505MSL</x:v>
      </x:c>
      <x:c r="D1677" s="66" t="n">
        <x:v>2021</x:v>
      </x:c>
      <x:c r="E1677" s="67" t="n">
        <x:v>3405</x:v>
      </x:c>
      <x:c r="F1677" s="68" t="n">
        <x:v>37.3</x:v>
      </x:c>
      <x:c r="G1677" s="69" t="n">
        <x:f>IF(COUNT(E1677:F1677)=2,E1677*F1677,"")</x:f>
        <x:v>127006.49999999999</x:v>
      </x:c>
    </x:row>
    <x:row r="1678">
      <x:c r="A1678" s="66" t="n">
        <x:v>14</x:v>
      </x:c>
      <x:c r="B1678" s="44" t="str">
        <x:v>Canola/Rapeseed</x:v>
      </x:c>
      <x:c r="C1678" s="44" t="str">
        <x:v>P505MSL</x:v>
      </x:c>
      <x:c r="D1678" s="66" t="n">
        <x:v>2022</x:v>
      </x:c>
      <x:c r="E1678" s="67" t="n">
        <x:v>6397</x:v>
      </x:c>
      <x:c r="F1678" s="68" t="n">
        <x:v>56.9</x:v>
      </x:c>
      <x:c r="G1678" s="69" t="n">
        <x:f>IF(COUNT(E1678:F1678)=2,E1678*F1678,"")</x:f>
        <x:v>363989.3</x:v>
      </x:c>
    </x:row>
    <x:row r="1679">
      <x:c r="A1679" s="66" t="n">
        <x:v>14</x:v>
      </x:c>
      <x:c r="B1679" s="44" t="str">
        <x:v>Canola/Rapeseed</x:v>
      </x:c>
      <x:c r="C1679" s="44" t="str">
        <x:v>P505MSL</x:v>
      </x:c>
      <x:c r="D1679" s="66" t="n">
        <x:v>2023</x:v>
      </x:c>
      <x:c r="E1679" s="67" t="n">
        <x:v>15909</x:v>
      </x:c>
      <x:c r="F1679" s="68" t="n">
        <x:v>55</x:v>
      </x:c>
      <x:c r="G1679" s="69" t="n">
        <x:f>IF(COUNT(E1679:F1679)=2,E1679*F1679,"")</x:f>
        <x:v>874995</x:v>
      </x:c>
    </x:row>
    <x:row r="1680">
      <x:c r="A1680" s="66" t="n">
        <x:v>14</x:v>
      </x:c>
      <x:c r="B1680" s="44" t="str">
        <x:v>Canola/Rapeseed</x:v>
      </x:c>
      <x:c r="C1680" s="44" t="str">
        <x:v>P505MSL</x:v>
      </x:c>
      <x:c r="D1680" s="66" t="n">
        <x:v>2024</x:v>
      </x:c>
      <x:c r="E1680" s="67" t="n">
        <x:v>24722</x:v>
      </x:c>
      <x:c r="F1680" s="68" t="n">
        <x:v>37.2</x:v>
      </x:c>
      <x:c r="G1680" s="69" t="n">
        <x:f>IF(COUNT(E1680:F1680)=2,E1680*F1680,"")</x:f>
        <x:v>919658.4</x:v>
      </x:c>
    </x:row>
    <x:row r="1681">
      <x:c r="A1681" s="66" t="n">
        <x:v>14</x:v>
      </x:c>
      <x:c r="B1681" s="44" t="str">
        <x:v>Canola/Rapeseed</x:v>
      </x:c>
      <x:c r="C1681" s="44" t="str">
        <x:v>P505MSL</x:v>
      </x:c>
      <x:c r="D1681" s="66" t="n">
        <x:v>2025</x:v>
      </x:c>
      <x:c r="E1681" s="67" t="n">
        <x:v>15498</x:v>
      </x:c>
      <x:c r="F1681" s="68" t="n">
        <x:v>49.1</x:v>
      </x:c>
      <x:c r="G1681" s="69" t="n">
        <x:f>IF(COUNT(E1681:F1681)=2,E1681*F1681,"")</x:f>
        <x:v>760951.8</x:v>
      </x:c>
    </x:row>
    <x:row r="1682">
      <x:c r="A1682" s="66" t="n">
        <x:v>14</x:v>
      </x:c>
      <x:c r="B1682" s="44" t="str">
        <x:v>Canola/Rapeseed</x:v>
      </x:c>
      <x:c r="C1682" s="44" t="str">
        <x:v>P508CL</x:v>
      </x:c>
      <x:c r="D1682" s="66" t="n">
        <x:v>2021</x:v>
      </x:c>
      <x:c r="E1682" s="67"/>
      <x:c r="F1682" s="68"/>
      <x:c r="G1682" s="69" t="str">
        <x:f>IF(COUNT(E1682:F1682)=2,E1682*F1682,"")</x:f>
      </x:c>
    </x:row>
    <x:row r="1683">
      <x:c r="A1683" s="66" t="n">
        <x:v>14</x:v>
      </x:c>
      <x:c r="B1683" s="44" t="str">
        <x:v>Canola/Rapeseed</x:v>
      </x:c>
      <x:c r="C1683" s="44" t="str">
        <x:v>P508CL</x:v>
      </x:c>
      <x:c r="D1683" s="66" t="n">
        <x:v>2022</x:v>
      </x:c>
      <x:c r="E1683" s="67"/>
      <x:c r="F1683" s="68"/>
      <x:c r="G1683" s="69" t="str">
        <x:f>IF(COUNT(E1683:F1683)=2,E1683*F1683,"")</x:f>
      </x:c>
    </x:row>
    <x:row r="1684">
      <x:c r="A1684" s="66" t="n">
        <x:v>14</x:v>
      </x:c>
      <x:c r="B1684" s="44" t="str">
        <x:v>Canola/Rapeseed</x:v>
      </x:c>
      <x:c r="C1684" s="44" t="str">
        <x:v>P508CL</x:v>
      </x:c>
      <x:c r="D1684" s="66" t="n">
        <x:v>2023</x:v>
      </x:c>
      <x:c r="E1684" s="67"/>
      <x:c r="F1684" s="68"/>
      <x:c r="G1684" s="69" t="str">
        <x:f>IF(COUNT(E1684:F1684)=2,E1684*F1684,"")</x:f>
      </x:c>
    </x:row>
    <x:row r="1685">
      <x:c r="A1685" s="66" t="n">
        <x:v>14</x:v>
      </x:c>
      <x:c r="B1685" s="44" t="str">
        <x:v>Canola/Rapeseed</x:v>
      </x:c>
      <x:c r="C1685" s="44" t="str">
        <x:v>P508CL</x:v>
      </x:c>
      <x:c r="D1685" s="66" t="n">
        <x:v>2024</x:v>
      </x:c>
      <x:c r="E1685" s="67"/>
      <x:c r="F1685" s="68"/>
      <x:c r="G1685" s="69" t="str">
        <x:f>IF(COUNT(E1685:F1685)=2,E1685*F1685,"")</x:f>
      </x:c>
    </x:row>
    <x:row r="1686">
      <x:c r="A1686" s="66" t="n">
        <x:v>14</x:v>
      </x:c>
      <x:c r="B1686" s="44" t="str">
        <x:v>Canola/Rapeseed</x:v>
      </x:c>
      <x:c r="C1686" s="44" t="str">
        <x:v>P508CL</x:v>
      </x:c>
      <x:c r="D1686" s="66" t="n">
        <x:v>2025</x:v>
      </x:c>
      <x:c r="E1686" s="67" t="n">
        <x:v>3827</x:v>
      </x:c>
      <x:c r="F1686" s="68" t="n">
        <x:v>44.4</x:v>
      </x:c>
      <x:c r="G1686" s="69" t="n">
        <x:f>IF(COUNT(E1686:F1686)=2,E1686*F1686,"")</x:f>
        <x:v>169918.8</x:v>
      </x:c>
    </x:row>
    <x:row r="1687">
      <x:c r="A1687" s="66" t="n">
        <x:v>14</x:v>
      </x:c>
      <x:c r="B1687" s="44" t="str">
        <x:v>Canola/Rapeseed</x:v>
      </x:c>
      <x:c r="C1687" s="44" t="str">
        <x:v>P510G</x:v>
      </x:c>
      <x:c r="D1687" s="66" t="n">
        <x:v>2021</x:v>
      </x:c>
      <x:c r="E1687" s="67"/>
      <x:c r="F1687" s="68"/>
      <x:c r="G1687" s="69" t="str">
        <x:f>IF(COUNT(E1687:F1687)=2,E1687*F1687,"")</x:f>
      </x:c>
    </x:row>
    <x:row r="1688">
      <x:c r="A1688" s="66" t="n">
        <x:v>14</x:v>
      </x:c>
      <x:c r="B1688" s="44" t="str">
        <x:v>Canola/Rapeseed</x:v>
      </x:c>
      <x:c r="C1688" s="44" t="str">
        <x:v>P510G</x:v>
      </x:c>
      <x:c r="D1688" s="66" t="n">
        <x:v>2022</x:v>
      </x:c>
      <x:c r="E1688" s="67"/>
      <x:c r="F1688" s="68"/>
      <x:c r="G1688" s="69" t="str">
        <x:f>IF(COUNT(E1688:F1688)=2,E1688*F1688,"")</x:f>
      </x:c>
    </x:row>
    <x:row r="1689">
      <x:c r="A1689" s="66" t="n">
        <x:v>14</x:v>
      </x:c>
      <x:c r="B1689" s="44" t="str">
        <x:v>Canola/Rapeseed</x:v>
      </x:c>
      <x:c r="C1689" s="44" t="str">
        <x:v>P510G</x:v>
      </x:c>
      <x:c r="D1689" s="66" t="n">
        <x:v>2023</x:v>
      </x:c>
      <x:c r="E1689" s="67"/>
      <x:c r="F1689" s="68"/>
      <x:c r="G1689" s="69" t="str">
        <x:f>IF(COUNT(E1689:F1689)=2,E1689*F1689,"")</x:f>
      </x:c>
    </x:row>
    <x:row r="1690">
      <x:c r="A1690" s="66" t="n">
        <x:v>14</x:v>
      </x:c>
      <x:c r="B1690" s="44" t="str">
        <x:v>Canola/Rapeseed</x:v>
      </x:c>
      <x:c r="C1690" s="44" t="str">
        <x:v>P510G</x:v>
      </x:c>
      <x:c r="D1690" s="66" t="n">
        <x:v>2024</x:v>
      </x:c>
      <x:c r="E1690" s="67" t="n">
        <x:v>2538</x:v>
      </x:c>
      <x:c r="F1690" s="68" t="n">
        <x:v>33.2</x:v>
      </x:c>
      <x:c r="G1690" s="69" t="n">
        <x:f>IF(COUNT(E1690:F1690)=2,E1690*F1690,"")</x:f>
        <x:v>84261.6</x:v>
      </x:c>
    </x:row>
    <x:row r="1691">
      <x:c r="A1691" s="66" t="n">
        <x:v>14</x:v>
      </x:c>
      <x:c r="B1691" s="44" t="str">
        <x:v>Canola/Rapeseed</x:v>
      </x:c>
      <x:c r="C1691" s="44" t="str">
        <x:v>P510G</x:v>
      </x:c>
      <x:c r="D1691" s="66" t="n">
        <x:v>2025</x:v>
      </x:c>
      <x:c r="E1691" s="67" t="n">
        <x:v>2840</x:v>
      </x:c>
      <x:c r="F1691" s="68" t="n">
        <x:v>52.2</x:v>
      </x:c>
      <x:c r="G1691" s="69" t="n">
        <x:f>IF(COUNT(E1691:F1691)=2,E1691*F1691,"")</x:f>
        <x:v>148248</x:v>
      </x:c>
    </x:row>
    <x:row r="1692">
      <x:c r="A1692" s="66" t="n">
        <x:v>14</x:v>
      </x:c>
      <x:c r="B1692" s="44" t="str">
        <x:v>Canola/Rapeseed</x:v>
      </x:c>
      <x:c r="C1692" s="44" t="str">
        <x:v>P511G</x:v>
      </x:c>
      <x:c r="D1692" s="66" t="n">
        <x:v>2021</x:v>
      </x:c>
      <x:c r="E1692" s="67"/>
      <x:c r="F1692" s="68"/>
      <x:c r="G1692" s="69" t="str">
        <x:f>IF(COUNT(E1692:F1692)=2,E1692*F1692,"")</x:f>
      </x:c>
    </x:row>
    <x:row r="1693">
      <x:c r="A1693" s="66" t="n">
        <x:v>14</x:v>
      </x:c>
      <x:c r="B1693" s="44" t="str">
        <x:v>Canola/Rapeseed</x:v>
      </x:c>
      <x:c r="C1693" s="44" t="str">
        <x:v>P511G</x:v>
      </x:c>
      <x:c r="D1693" s="66" t="n">
        <x:v>2022</x:v>
      </x:c>
      <x:c r="E1693" s="67"/>
      <x:c r="F1693" s="68"/>
      <x:c r="G1693" s="69" t="str">
        <x:f>IF(COUNT(E1693:F1693)=2,E1693*F1693,"")</x:f>
      </x:c>
    </x:row>
    <x:row r="1694">
      <x:c r="A1694" s="66" t="n">
        <x:v>14</x:v>
      </x:c>
      <x:c r="B1694" s="44" t="str">
        <x:v>Canola/Rapeseed</x:v>
      </x:c>
      <x:c r="C1694" s="44" t="str">
        <x:v>P511G</x:v>
      </x:c>
      <x:c r="D1694" s="66" t="n">
        <x:v>2023</x:v>
      </x:c>
      <x:c r="E1694" s="67" t="n">
        <x:v>839</x:v>
      </x:c>
      <x:c r="F1694" s="68" t="n">
        <x:v>34.8</x:v>
      </x:c>
      <x:c r="G1694" s="69" t="n">
        <x:f>IF(COUNT(E1694:F1694)=2,E1694*F1694,"")</x:f>
        <x:v>29197.199999999997</x:v>
      </x:c>
    </x:row>
    <x:row r="1695">
      <x:c r="A1695" s="66" t="n">
        <x:v>14</x:v>
      </x:c>
      <x:c r="B1695" s="44" t="str">
        <x:v>Canola/Rapeseed</x:v>
      </x:c>
      <x:c r="C1695" s="44" t="str">
        <x:v>P511G</x:v>
      </x:c>
      <x:c r="D1695" s="66" t="n">
        <x:v>2024</x:v>
      </x:c>
      <x:c r="E1695" s="67"/>
      <x:c r="F1695" s="68"/>
      <x:c r="G1695" s="69" t="str">
        <x:f>IF(COUNT(E1695:F1695)=2,E1695*F1695,"")</x:f>
      </x:c>
    </x:row>
    <x:row r="1696">
      <x:c r="A1696" s="66" t="n">
        <x:v>14</x:v>
      </x:c>
      <x:c r="B1696" s="44" t="str">
        <x:v>Canola/Rapeseed</x:v>
      </x:c>
      <x:c r="C1696" s="44" t="str">
        <x:v>P511G</x:v>
      </x:c>
      <x:c r="D1696" s="66" t="n">
        <x:v>2025</x:v>
      </x:c>
      <x:c r="E1696" s="67" t="n">
        <x:v>1721</x:v>
      </x:c>
      <x:c r="F1696" s="68" t="n">
        <x:v>34.6</x:v>
      </x:c>
      <x:c r="G1696" s="69" t="n">
        <x:f>IF(COUNT(E1696:F1696)=2,E1696*F1696,"")</x:f>
        <x:v>59546.600000000006</x:v>
      </x:c>
    </x:row>
    <x:row r="1697">
      <x:c r="A1697" s="66" t="n">
        <x:v>14</x:v>
      </x:c>
      <x:c r="B1697" s="44" t="str">
        <x:v>Canola/Rapeseed</x:v>
      </x:c>
      <x:c r="C1697" s="44" t="str">
        <x:v>P515G</x:v>
      </x:c>
      <x:c r="D1697" s="66" t="n">
        <x:v>2021</x:v>
      </x:c>
      <x:c r="E1697" s="67"/>
      <x:c r="F1697" s="68"/>
      <x:c r="G1697" s="69" t="str">
        <x:f>IF(COUNT(E1697:F1697)=2,E1697*F1697,"")</x:f>
      </x:c>
    </x:row>
    <x:row r="1698">
      <x:c r="A1698" s="66" t="n">
        <x:v>14</x:v>
      </x:c>
      <x:c r="B1698" s="44" t="str">
        <x:v>Canola/Rapeseed</x:v>
      </x:c>
      <x:c r="C1698" s="44" t="str">
        <x:v>P515G</x:v>
      </x:c>
      <x:c r="D1698" s="66" t="n">
        <x:v>2022</x:v>
      </x:c>
      <x:c r="E1698" s="67"/>
      <x:c r="F1698" s="68"/>
      <x:c r="G1698" s="69" t="str">
        <x:f>IF(COUNT(E1698:F1698)=2,E1698*F1698,"")</x:f>
      </x:c>
    </x:row>
    <x:row r="1699">
      <x:c r="A1699" s="66" t="n">
        <x:v>14</x:v>
      </x:c>
      <x:c r="B1699" s="44" t="str">
        <x:v>Canola/Rapeseed</x:v>
      </x:c>
      <x:c r="C1699" s="44" t="str">
        <x:v>P515G</x:v>
      </x:c>
      <x:c r="D1699" s="66" t="n">
        <x:v>2023</x:v>
      </x:c>
      <x:c r="E1699" s="67" t="n">
        <x:v>2344</x:v>
      </x:c>
      <x:c r="F1699" s="68" t="n">
        <x:v>44</x:v>
      </x:c>
      <x:c r="G1699" s="69" t="n">
        <x:f>IF(COUNT(E1699:F1699)=2,E1699*F1699,"")</x:f>
        <x:v>103136</x:v>
      </x:c>
    </x:row>
    <x:row r="1700">
      <x:c r="A1700" s="66" t="n">
        <x:v>14</x:v>
      </x:c>
      <x:c r="B1700" s="44" t="str">
        <x:v>Canola/Rapeseed</x:v>
      </x:c>
      <x:c r="C1700" s="44" t="str">
        <x:v>P515G</x:v>
      </x:c>
      <x:c r="D1700" s="66" t="n">
        <x:v>2024</x:v>
      </x:c>
      <x:c r="E1700" s="67" t="n">
        <x:v>11435</x:v>
      </x:c>
      <x:c r="F1700" s="68" t="n">
        <x:v>32.9</x:v>
      </x:c>
      <x:c r="G1700" s="69" t="n">
        <x:f>IF(COUNT(E1700:F1700)=2,E1700*F1700,"")</x:f>
        <x:v>376211.5</x:v>
      </x:c>
    </x:row>
    <x:row r="1701">
      <x:c r="A1701" s="66" t="n">
        <x:v>14</x:v>
      </x:c>
      <x:c r="B1701" s="44" t="str">
        <x:v>Canola/Rapeseed</x:v>
      </x:c>
      <x:c r="C1701" s="44" t="str">
        <x:v>P515G</x:v>
      </x:c>
      <x:c r="D1701" s="66" t="n">
        <x:v>2025</x:v>
      </x:c>
      <x:c r="E1701" s="67" t="n">
        <x:v>14759</x:v>
      </x:c>
      <x:c r="F1701" s="68" t="n">
        <x:v>45.9</x:v>
      </x:c>
      <x:c r="G1701" s="69" t="n">
        <x:f>IF(COUNT(E1701:F1701)=2,E1701*F1701,"")</x:f>
        <x:v>677438.1</x:v>
      </x:c>
    </x:row>
    <x:row r="1702">
      <x:c r="A1702" s="66" t="n">
        <x:v>14</x:v>
      </x:c>
      <x:c r="B1702" s="44" t="str">
        <x:v>Canola/Rapeseed</x:v>
      </x:c>
      <x:c r="C1702" s="44" t="str">
        <x:v>P520L</x:v>
      </x:c>
      <x:c r="D1702" s="66" t="n">
        <x:v>2021</x:v>
      </x:c>
      <x:c r="E1702" s="67"/>
      <x:c r="F1702" s="68"/>
      <x:c r="G1702" s="69" t="str">
        <x:f>IF(COUNT(E1702:F1702)=2,E1702*F1702,"")</x:f>
      </x:c>
    </x:row>
    <x:row r="1703">
      <x:c r="A1703" s="66" t="n">
        <x:v>14</x:v>
      </x:c>
      <x:c r="B1703" s="44" t="str">
        <x:v>Canola/Rapeseed</x:v>
      </x:c>
      <x:c r="C1703" s="44" t="str">
        <x:v>P520L</x:v>
      </x:c>
      <x:c r="D1703" s="66" t="n">
        <x:v>2022</x:v>
      </x:c>
      <x:c r="E1703" s="67"/>
      <x:c r="F1703" s="68"/>
      <x:c r="G1703" s="69" t="str">
        <x:f>IF(COUNT(E1703:F1703)=2,E1703*F1703,"")</x:f>
      </x:c>
    </x:row>
    <x:row r="1704">
      <x:c r="A1704" s="66" t="n">
        <x:v>14</x:v>
      </x:c>
      <x:c r="B1704" s="44" t="str">
        <x:v>Canola/Rapeseed</x:v>
      </x:c>
      <x:c r="C1704" s="44" t="str">
        <x:v>P520L</x:v>
      </x:c>
      <x:c r="D1704" s="66" t="n">
        <x:v>2023</x:v>
      </x:c>
      <x:c r="E1704" s="67"/>
      <x:c r="F1704" s="68"/>
      <x:c r="G1704" s="69" t="str">
        <x:f>IF(COUNT(E1704:F1704)=2,E1704*F1704,"")</x:f>
      </x:c>
    </x:row>
    <x:row r="1705">
      <x:c r="A1705" s="66" t="n">
        <x:v>14</x:v>
      </x:c>
      <x:c r="B1705" s="44" t="str">
        <x:v>Canola/Rapeseed</x:v>
      </x:c>
      <x:c r="C1705" s="44" t="str">
        <x:v>P520L</x:v>
      </x:c>
      <x:c r="D1705" s="66" t="n">
        <x:v>2024</x:v>
      </x:c>
      <x:c r="E1705" s="67" t="n">
        <x:v>1688</x:v>
      </x:c>
      <x:c r="F1705" s="68" t="n">
        <x:v>34.8</x:v>
      </x:c>
      <x:c r="G1705" s="69" t="n">
        <x:f>IF(COUNT(E1705:F1705)=2,E1705*F1705,"")</x:f>
        <x:v>58742.399999999994</x:v>
      </x:c>
    </x:row>
    <x:row r="1706">
      <x:c r="A1706" s="66" t="n">
        <x:v>14</x:v>
      </x:c>
      <x:c r="B1706" s="44" t="str">
        <x:v>Canola/Rapeseed</x:v>
      </x:c>
      <x:c r="C1706" s="44" t="str">
        <x:v>P520L</x:v>
      </x:c>
      <x:c r="D1706" s="66" t="n">
        <x:v>2025</x:v>
      </x:c>
      <x:c r="E1706" s="67" t="n">
        <x:v>23118</x:v>
      </x:c>
      <x:c r="F1706" s="68" t="n">
        <x:v>47.3</x:v>
      </x:c>
      <x:c r="G1706" s="69" t="n">
        <x:f>IF(COUNT(E1706:F1706)=2,E1706*F1706,"")</x:f>
        <x:v>1093481.4</x:v>
      </x:c>
    </x:row>
    <x:row r="1707">
      <x:c r="A1707" s="66" t="n">
        <x:v>14</x:v>
      </x:c>
      <x:c r="B1707" s="44" t="str">
        <x:v>Canola/Rapeseed</x:v>
      </x:c>
      <x:c r="C1707" s="44" t="str">
        <x:v>P617SL</x:v>
      </x:c>
      <x:c r="D1707" s="66" t="n">
        <x:v>2021</x:v>
      </x:c>
      <x:c r="E1707" s="67"/>
      <x:c r="F1707" s="68"/>
      <x:c r="G1707" s="69" t="str">
        <x:f>IF(COUNT(E1707:F1707)=2,E1707*F1707,"")</x:f>
      </x:c>
    </x:row>
    <x:row r="1708">
      <x:c r="A1708" s="66" t="n">
        <x:v>14</x:v>
      </x:c>
      <x:c r="B1708" s="44" t="str">
        <x:v>Canola/Rapeseed</x:v>
      </x:c>
      <x:c r="C1708" s="44" t="str">
        <x:v>P617SL</x:v>
      </x:c>
      <x:c r="D1708" s="66" t="n">
        <x:v>2022</x:v>
      </x:c>
      <x:c r="E1708" s="67"/>
      <x:c r="F1708" s="68"/>
      <x:c r="G1708" s="69" t="str">
        <x:f>IF(COUNT(E1708:F1708)=2,E1708*F1708,"")</x:f>
      </x:c>
    </x:row>
    <x:row r="1709">
      <x:c r="A1709" s="66" t="n">
        <x:v>14</x:v>
      </x:c>
      <x:c r="B1709" s="44" t="str">
        <x:v>Canola/Rapeseed</x:v>
      </x:c>
      <x:c r="C1709" s="44" t="str">
        <x:v>P617SL</x:v>
      </x:c>
      <x:c r="D1709" s="66" t="n">
        <x:v>2023</x:v>
      </x:c>
      <x:c r="E1709" s="67"/>
      <x:c r="F1709" s="68"/>
      <x:c r="G1709" s="69" t="str">
        <x:f>IF(COUNT(E1709:F1709)=2,E1709*F1709,"")</x:f>
      </x:c>
    </x:row>
    <x:row r="1710">
      <x:c r="A1710" s="66" t="n">
        <x:v>14</x:v>
      </x:c>
      <x:c r="B1710" s="44" t="str">
        <x:v>Canola/Rapeseed</x:v>
      </x:c>
      <x:c r="C1710" s="44" t="str">
        <x:v>P617SL</x:v>
      </x:c>
      <x:c r="D1710" s="66" t="n">
        <x:v>2024</x:v>
      </x:c>
      <x:c r="E1710" s="67"/>
      <x:c r="F1710" s="68"/>
      <x:c r="G1710" s="69" t="str">
        <x:f>IF(COUNT(E1710:F1710)=2,E1710*F1710,"")</x:f>
      </x:c>
    </x:row>
    <x:row r="1711">
      <x:c r="A1711" s="66" t="n">
        <x:v>14</x:v>
      </x:c>
      <x:c r="B1711" s="44" t="str">
        <x:v>Canola/Rapeseed</x:v>
      </x:c>
      <x:c r="C1711" s="44" t="str">
        <x:v>P617SL</x:v>
      </x:c>
      <x:c r="D1711" s="66" t="n">
        <x:v>2025</x:v>
      </x:c>
      <x:c r="E1711" s="67" t="n">
        <x:v>1201</x:v>
      </x:c>
      <x:c r="F1711" s="68" t="n">
        <x:v>42.9</x:v>
      </x:c>
      <x:c r="G1711" s="69" t="n">
        <x:f>IF(COUNT(E1711:F1711)=2,E1711*F1711,"")</x:f>
        <x:v>51522.9</x:v>
      </x:c>
    </x:row>
    <x:row r="1712">
      <x:c r="A1712" s="66" t="n">
        <x:v>14</x:v>
      </x:c>
      <x:c r="B1712" s="44" t="str">
        <x:v>Canola/Rapeseed</x:v>
      </x:c>
      <x:c r="C1712" s="44" t="str">
        <x:v>45CM39</x:v>
      </x:c>
      <x:c r="D1712" s="66" t="n">
        <x:v>2021</x:v>
      </x:c>
      <x:c r="E1712" s="67" t="n">
        <x:v>28984</x:v>
      </x:c>
      <x:c r="F1712" s="68" t="n">
        <x:v>30.5</x:v>
      </x:c>
      <x:c r="G1712" s="69" t="n">
        <x:f>IF(COUNT(E1712:F1712)=2,E1712*F1712,"")</x:f>
        <x:v>884012</x:v>
      </x:c>
    </x:row>
    <x:row r="1713">
      <x:c r="A1713" s="66" t="n">
        <x:v>14</x:v>
      </x:c>
      <x:c r="B1713" s="44" t="str">
        <x:v>Canola/Rapeseed</x:v>
      </x:c>
      <x:c r="C1713" s="44" t="str">
        <x:v>45CM39</x:v>
      </x:c>
      <x:c r="D1713" s="66" t="n">
        <x:v>2022</x:v>
      </x:c>
      <x:c r="E1713" s="67" t="n">
        <x:v>18124</x:v>
      </x:c>
      <x:c r="F1713" s="68" t="n">
        <x:v>44</x:v>
      </x:c>
      <x:c r="G1713" s="69" t="n">
        <x:f>IF(COUNT(E1713:F1713)=2,E1713*F1713,"")</x:f>
        <x:v>797456</x:v>
      </x:c>
    </x:row>
    <x:row r="1714">
      <x:c r="A1714" s="66" t="n">
        <x:v>14</x:v>
      </x:c>
      <x:c r="B1714" s="44" t="str">
        <x:v>Canola/Rapeseed</x:v>
      </x:c>
      <x:c r="C1714" s="44" t="str">
        <x:v>45CM39</x:v>
      </x:c>
      <x:c r="D1714" s="66" t="n">
        <x:v>2023</x:v>
      </x:c>
      <x:c r="E1714" s="67" t="n">
        <x:v>19497</x:v>
      </x:c>
      <x:c r="F1714" s="68" t="n">
        <x:v>46.2</x:v>
      </x:c>
      <x:c r="G1714" s="69" t="n">
        <x:f>IF(COUNT(E1714:F1714)=2,E1714*F1714,"")</x:f>
        <x:v>900761.4</x:v>
      </x:c>
    </x:row>
    <x:row r="1715">
      <x:c r="A1715" s="66" t="n">
        <x:v>14</x:v>
      </x:c>
      <x:c r="B1715" s="44" t="str">
        <x:v>Canola/Rapeseed</x:v>
      </x:c>
      <x:c r="C1715" s="44" t="str">
        <x:v>45CM39</x:v>
      </x:c>
      <x:c r="D1715" s="66" t="n">
        <x:v>2024</x:v>
      </x:c>
      <x:c r="E1715" s="67" t="n">
        <x:v>5403</x:v>
      </x:c>
      <x:c r="F1715" s="68" t="n">
        <x:v>37.7</x:v>
      </x:c>
      <x:c r="G1715" s="69" t="n">
        <x:f>IF(COUNT(E1715:F1715)=2,E1715*F1715,"")</x:f>
        <x:v>203693.1</x:v>
      </x:c>
    </x:row>
    <x:row r="1716">
      <x:c r="A1716" s="66" t="n">
        <x:v>14</x:v>
      </x:c>
      <x:c r="B1716" s="44" t="str">
        <x:v>Canola/Rapeseed</x:v>
      </x:c>
      <x:c r="C1716" s="44" t="str">
        <x:v>45CM39</x:v>
      </x:c>
      <x:c r="D1716" s="66" t="n">
        <x:v>2025</x:v>
      </x:c>
      <x:c r="E1716" s="67" t="n">
        <x:v>2958</x:v>
      </x:c>
      <x:c r="F1716" s="68" t="n">
        <x:v>44.8</x:v>
      </x:c>
      <x:c r="G1716" s="69" t="n">
        <x:f>IF(COUNT(E1716:F1716)=2,E1716*F1716,"")</x:f>
        <x:v>132518.4</x:v>
      </x:c>
    </x:row>
    <x:row r="1717">
      <x:c r="A1717" s="66" t="n">
        <x:v>15</x:v>
      </x:c>
      <x:c r="B1717" s="44" t="str">
        <x:v>Canola/Rapeseed</x:v>
      </x:c>
      <x:c r="C1717" s="44" t="str">
        <x:v>BY 5125CL</x:v>
      </x:c>
      <x:c r="D1717" s="66" t="n">
        <x:v>2021</x:v>
      </x:c>
      <x:c r="E1717" s="67" t="n">
        <x:v>3120</x:v>
      </x:c>
      <x:c r="F1717" s="68" t="n">
        <x:v>16.2</x:v>
      </x:c>
      <x:c r="G1717" s="69" t="n">
        <x:f>IF(COUNT(E1717:F1717)=2,E1717*F1717,"")</x:f>
        <x:v>50544</x:v>
      </x:c>
    </x:row>
    <x:row r="1718">
      <x:c r="A1718" s="66" t="n">
        <x:v>15</x:v>
      </x:c>
      <x:c r="B1718" s="44" t="str">
        <x:v>Canola/Rapeseed</x:v>
      </x:c>
      <x:c r="C1718" s="44" t="str">
        <x:v>BY 5125CL</x:v>
      </x:c>
      <x:c r="D1718" s="66" t="n">
        <x:v>2022</x:v>
      </x:c>
      <x:c r="E1718" s="67" t="n">
        <x:v>2125</x:v>
      </x:c>
      <x:c r="F1718" s="68" t="n">
        <x:v>50.8</x:v>
      </x:c>
      <x:c r="G1718" s="69" t="n">
        <x:f>IF(COUNT(E1718:F1718)=2,E1718*F1718,"")</x:f>
        <x:v>107950</x:v>
      </x:c>
    </x:row>
    <x:row r="1719">
      <x:c r="A1719" s="66" t="n">
        <x:v>15</x:v>
      </x:c>
      <x:c r="B1719" s="44" t="str">
        <x:v>Canola/Rapeseed</x:v>
      </x:c>
      <x:c r="C1719" s="44" t="str">
        <x:v>BY 5125CL</x:v>
      </x:c>
      <x:c r="D1719" s="66" t="n">
        <x:v>2023</x:v>
      </x:c>
      <x:c r="E1719" s="67" t="n">
        <x:v>2995</x:v>
      </x:c>
      <x:c r="F1719" s="68" t="n">
        <x:v>50</x:v>
      </x:c>
      <x:c r="G1719" s="69" t="n">
        <x:f>IF(COUNT(E1719:F1719)=2,E1719*F1719,"")</x:f>
        <x:v>149750</x:v>
      </x:c>
    </x:row>
    <x:row r="1720">
      <x:c r="A1720" s="66" t="n">
        <x:v>15</x:v>
      </x:c>
      <x:c r="B1720" s="44" t="str">
        <x:v>Canola/Rapeseed</x:v>
      </x:c>
      <x:c r="C1720" s="44" t="str">
        <x:v>BY 5125CL</x:v>
      </x:c>
      <x:c r="D1720" s="66" t="n">
        <x:v>2024</x:v>
      </x:c>
      <x:c r="E1720" s="67" t="n">
        <x:v>2943</x:v>
      </x:c>
      <x:c r="F1720" s="68" t="n">
        <x:v>37.1</x:v>
      </x:c>
      <x:c r="G1720" s="69" t="n">
        <x:f>IF(COUNT(E1720:F1720)=2,E1720*F1720,"")</x:f>
        <x:v>109185.3</x:v>
      </x:c>
    </x:row>
    <x:row r="1721">
      <x:c r="A1721" s="66" t="n">
        <x:v>15</x:v>
      </x:c>
      <x:c r="B1721" s="44" t="str">
        <x:v>Canola/Rapeseed</x:v>
      </x:c>
      <x:c r="C1721" s="44" t="str">
        <x:v>BY 5125CL</x:v>
      </x:c>
      <x:c r="D1721" s="66" t="n">
        <x:v>2025</x:v>
      </x:c>
      <x:c r="E1721" s="67" t="n">
        <x:v>2360</x:v>
      </x:c>
      <x:c r="F1721" s="68" t="n">
        <x:v>47</x:v>
      </x:c>
      <x:c r="G1721" s="69" t="n">
        <x:f>IF(COUNT(E1721:F1721)=2,E1721*F1721,"")</x:f>
        <x:v>110920</x:v>
      </x:c>
    </x:row>
    <x:row r="1722">
      <x:c r="A1722" s="66" t="n">
        <x:v>15</x:v>
      </x:c>
      <x:c r="B1722" s="44" t="str">
        <x:v>Canola/Rapeseed</x:v>
      </x:c>
      <x:c r="C1722" s="44" t="str">
        <x:v>BY 6211TF</x:v>
      </x:c>
      <x:c r="D1722" s="66" t="n">
        <x:v>2021</x:v>
      </x:c>
      <x:c r="E1722" s="67"/>
      <x:c r="F1722" s="68"/>
      <x:c r="G1722" s="69" t="str">
        <x:f>IF(COUNT(E1722:F1722)=2,E1722*F1722,"")</x:f>
      </x:c>
    </x:row>
    <x:row r="1723">
      <x:c r="A1723" s="66" t="n">
        <x:v>15</x:v>
      </x:c>
      <x:c r="B1723" s="44" t="str">
        <x:v>Canola/Rapeseed</x:v>
      </x:c>
      <x:c r="C1723" s="44" t="str">
        <x:v>BY 6211TF</x:v>
      </x:c>
      <x:c r="D1723" s="66" t="n">
        <x:v>2022</x:v>
      </x:c>
      <x:c r="E1723" s="67" t="n">
        <x:v>4152</x:v>
      </x:c>
      <x:c r="F1723" s="68" t="n">
        <x:v>43.3</x:v>
      </x:c>
      <x:c r="G1723" s="69" t="n">
        <x:f>IF(COUNT(E1723:F1723)=2,E1723*F1723,"")</x:f>
        <x:v>179781.59999999998</x:v>
      </x:c>
    </x:row>
    <x:row r="1724">
      <x:c r="A1724" s="66" t="n">
        <x:v>15</x:v>
      </x:c>
      <x:c r="B1724" s="44" t="str">
        <x:v>Canola/Rapeseed</x:v>
      </x:c>
      <x:c r="C1724" s="44" t="str">
        <x:v>BY 6211TF</x:v>
      </x:c>
      <x:c r="D1724" s="66" t="n">
        <x:v>2023</x:v>
      </x:c>
      <x:c r="E1724" s="67" t="n">
        <x:v>9638</x:v>
      </x:c>
      <x:c r="F1724" s="68" t="n">
        <x:v>39</x:v>
      </x:c>
      <x:c r="G1724" s="69" t="n">
        <x:f>IF(COUNT(E1724:F1724)=2,E1724*F1724,"")</x:f>
        <x:v>375882</x:v>
      </x:c>
    </x:row>
    <x:row r="1725">
      <x:c r="A1725" s="66" t="n">
        <x:v>15</x:v>
      </x:c>
      <x:c r="B1725" s="44" t="str">
        <x:v>Canola/Rapeseed</x:v>
      </x:c>
      <x:c r="C1725" s="44" t="str">
        <x:v>BY 6211TF</x:v>
      </x:c>
      <x:c r="D1725" s="66" t="n">
        <x:v>2024</x:v>
      </x:c>
      <x:c r="E1725" s="67" t="n">
        <x:v>4046</x:v>
      </x:c>
      <x:c r="F1725" s="68" t="n">
        <x:v>29.2</x:v>
      </x:c>
      <x:c r="G1725" s="69" t="n">
        <x:f>IF(COUNT(E1725:F1725)=2,E1725*F1725,"")</x:f>
        <x:v>118143.2</x:v>
      </x:c>
    </x:row>
    <x:row r="1726">
      <x:c r="A1726" s="66" t="n">
        <x:v>15</x:v>
      </x:c>
      <x:c r="B1726" s="44" t="str">
        <x:v>Canola/Rapeseed</x:v>
      </x:c>
      <x:c r="C1726" s="44" t="str">
        <x:v>BY 6211TF</x:v>
      </x:c>
      <x:c r="D1726" s="66" t="n">
        <x:v>2025</x:v>
      </x:c>
      <x:c r="E1726" s="67" t="n">
        <x:v>2706</x:v>
      </x:c>
      <x:c r="F1726" s="68" t="n">
        <x:v>28.8</x:v>
      </x:c>
      <x:c r="G1726" s="69" t="n">
        <x:f>IF(COUNT(E1726:F1726)=2,E1726*F1726,"")</x:f>
        <x:v>77932.8</x:v>
      </x:c>
    </x:row>
    <x:row r="1727">
      <x:c r="A1727" s="66" t="n">
        <x:v>15</x:v>
      </x:c>
      <x:c r="B1727" s="44" t="str">
        <x:v>Canola/Rapeseed</x:v>
      </x:c>
      <x:c r="C1727" s="44" t="str">
        <x:v>BY 6217TF</x:v>
      </x:c>
      <x:c r="D1727" s="66" t="n">
        <x:v>2021</x:v>
      </x:c>
      <x:c r="E1727" s="67"/>
      <x:c r="F1727" s="68"/>
      <x:c r="G1727" s="69" t="str">
        <x:f>IF(COUNT(E1727:F1727)=2,E1727*F1727,"")</x:f>
      </x:c>
    </x:row>
    <x:row r="1728">
      <x:c r="A1728" s="66" t="n">
        <x:v>15</x:v>
      </x:c>
      <x:c r="B1728" s="44" t="str">
        <x:v>Canola/Rapeseed</x:v>
      </x:c>
      <x:c r="C1728" s="44" t="str">
        <x:v>BY 6217TF</x:v>
      </x:c>
      <x:c r="D1728" s="66" t="n">
        <x:v>2022</x:v>
      </x:c>
      <x:c r="E1728" s="67"/>
      <x:c r="F1728" s="68"/>
      <x:c r="G1728" s="69" t="str">
        <x:f>IF(COUNT(E1728:F1728)=2,E1728*F1728,"")</x:f>
      </x:c>
    </x:row>
    <x:row r="1729">
      <x:c r="A1729" s="66" t="n">
        <x:v>15</x:v>
      </x:c>
      <x:c r="B1729" s="44" t="str">
        <x:v>Canola/Rapeseed</x:v>
      </x:c>
      <x:c r="C1729" s="44" t="str">
        <x:v>BY 6217TF</x:v>
      </x:c>
      <x:c r="D1729" s="66" t="n">
        <x:v>2023</x:v>
      </x:c>
      <x:c r="E1729" s="67" t="n">
        <x:v>1607</x:v>
      </x:c>
      <x:c r="F1729" s="68" t="n">
        <x:v>42.2</x:v>
      </x:c>
      <x:c r="G1729" s="69" t="n">
        <x:f>IF(COUNT(E1729:F1729)=2,E1729*F1729,"")</x:f>
        <x:v>67815.40000000001</x:v>
      </x:c>
    </x:row>
    <x:row r="1730">
      <x:c r="A1730" s="66" t="n">
        <x:v>15</x:v>
      </x:c>
      <x:c r="B1730" s="44" t="str">
        <x:v>Canola/Rapeseed</x:v>
      </x:c>
      <x:c r="C1730" s="44" t="str">
        <x:v>BY 6217TF</x:v>
      </x:c>
      <x:c r="D1730" s="66" t="n">
        <x:v>2024</x:v>
      </x:c>
      <x:c r="E1730" s="67" t="n">
        <x:v>4542</x:v>
      </x:c>
      <x:c r="F1730" s="68" t="n">
        <x:v>21.7</x:v>
      </x:c>
      <x:c r="G1730" s="69" t="n">
        <x:f>IF(COUNT(E1730:F1730)=2,E1730*F1730,"")</x:f>
        <x:v>98561.4</x:v>
      </x:c>
    </x:row>
    <x:row r="1731">
      <x:c r="A1731" s="66" t="n">
        <x:v>15</x:v>
      </x:c>
      <x:c r="B1731" s="44" t="str">
        <x:v>Canola/Rapeseed</x:v>
      </x:c>
      <x:c r="C1731" s="44" t="str">
        <x:v>BY 6217TF</x:v>
      </x:c>
      <x:c r="D1731" s="66" t="n">
        <x:v>2025</x:v>
      </x:c>
      <x:c r="E1731" s="67" t="n">
        <x:v>1912</x:v>
      </x:c>
      <x:c r="F1731" s="68" t="n">
        <x:v>37.9</x:v>
      </x:c>
      <x:c r="G1731" s="69" t="n">
        <x:f>IF(COUNT(E1731:F1731)=2,E1731*F1731,"")</x:f>
        <x:v>72464.8</x:v>
      </x:c>
    </x:row>
    <x:row r="1732">
      <x:c r="A1732" s="66" t="n">
        <x:v>15</x:v>
      </x:c>
      <x:c r="B1732" s="44" t="str">
        <x:v>Canola/Rapeseed</x:v>
      </x:c>
      <x:c r="C1732" s="44" t="str">
        <x:v>BY 7102LL</x:v>
      </x:c>
      <x:c r="D1732" s="66" t="n">
        <x:v>2021</x:v>
      </x:c>
      <x:c r="E1732" s="67"/>
      <x:c r="F1732" s="68"/>
      <x:c r="G1732" s="69" t="str">
        <x:f>IF(COUNT(E1732:F1732)=2,E1732*F1732,"")</x:f>
      </x:c>
    </x:row>
    <x:row r="1733">
      <x:c r="A1733" s="66" t="n">
        <x:v>15</x:v>
      </x:c>
      <x:c r="B1733" s="44" t="str">
        <x:v>Canola/Rapeseed</x:v>
      </x:c>
      <x:c r="C1733" s="44" t="str">
        <x:v>BY 7102LL</x:v>
      </x:c>
      <x:c r="D1733" s="66" t="n">
        <x:v>2022</x:v>
      </x:c>
      <x:c r="E1733" s="67"/>
      <x:c r="F1733" s="68"/>
      <x:c r="G1733" s="69" t="str">
        <x:f>IF(COUNT(E1733:F1733)=2,E1733*F1733,"")</x:f>
      </x:c>
    </x:row>
    <x:row r="1734">
      <x:c r="A1734" s="66" t="n">
        <x:v>15</x:v>
      </x:c>
      <x:c r="B1734" s="44" t="str">
        <x:v>Canola/Rapeseed</x:v>
      </x:c>
      <x:c r="C1734" s="44" t="str">
        <x:v>BY 7102LL</x:v>
      </x:c>
      <x:c r="D1734" s="66" t="n">
        <x:v>2023</x:v>
      </x:c>
      <x:c r="E1734" s="67" t="n">
        <x:v>400</x:v>
      </x:c>
      <x:c r="F1734" s="68" t="n">
        <x:v>38.1</x:v>
      </x:c>
      <x:c r="G1734" s="69" t="n">
        <x:f>IF(COUNT(E1734:F1734)=2,E1734*F1734,"")</x:f>
        <x:v>15240</x:v>
      </x:c>
    </x:row>
    <x:row r="1735">
      <x:c r="A1735" s="66" t="n">
        <x:v>15</x:v>
      </x:c>
      <x:c r="B1735" s="44" t="str">
        <x:v>Canola/Rapeseed</x:v>
      </x:c>
      <x:c r="C1735" s="44" t="str">
        <x:v>BY 7102LL</x:v>
      </x:c>
      <x:c r="D1735" s="66" t="n">
        <x:v>2024</x:v>
      </x:c>
      <x:c r="E1735" s="67" t="n">
        <x:v>2481</x:v>
      </x:c>
      <x:c r="F1735" s="68" t="n">
        <x:v>32.7</x:v>
      </x:c>
      <x:c r="G1735" s="69" t="n">
        <x:f>IF(COUNT(E1735:F1735)=2,E1735*F1735,"")</x:f>
        <x:v>81128.70000000001</x:v>
      </x:c>
    </x:row>
    <x:row r="1736">
      <x:c r="A1736" s="66" t="n">
        <x:v>15</x:v>
      </x:c>
      <x:c r="B1736" s="44" t="str">
        <x:v>Canola/Rapeseed</x:v>
      </x:c>
      <x:c r="C1736" s="44" t="str">
        <x:v>BY 7102LL</x:v>
      </x:c>
      <x:c r="D1736" s="66" t="n">
        <x:v>2025</x:v>
      </x:c>
      <x:c r="E1736" s="67" t="n">
        <x:v>1002</x:v>
      </x:c>
      <x:c r="F1736" s="68" t="n">
        <x:v>37.1</x:v>
      </x:c>
      <x:c r="G1736" s="69" t="n">
        <x:f>IF(COUNT(E1736:F1736)=2,E1736*F1736,"")</x:f>
        <x:v>37174.200000000004</x:v>
      </x:c>
    </x:row>
    <x:row r="1737">
      <x:c r="A1737" s="66" t="n">
        <x:v>15</x:v>
      </x:c>
      <x:c r="B1737" s="44" t="str">
        <x:v>Canola/Rapeseed</x:v>
      </x:c>
      <x:c r="C1737" s="44" t="str">
        <x:v>BY 7204LL</x:v>
      </x:c>
      <x:c r="D1737" s="66" t="n">
        <x:v>2021</x:v>
      </x:c>
      <x:c r="E1737" s="67"/>
      <x:c r="F1737" s="68"/>
      <x:c r="G1737" s="69" t="str">
        <x:f>IF(COUNT(E1737:F1737)=2,E1737*F1737,"")</x:f>
      </x:c>
    </x:row>
    <x:row r="1738">
      <x:c r="A1738" s="66" t="n">
        <x:v>15</x:v>
      </x:c>
      <x:c r="B1738" s="44" t="str">
        <x:v>Canola/Rapeseed</x:v>
      </x:c>
      <x:c r="C1738" s="44" t="str">
        <x:v>BY 7204LL</x:v>
      </x:c>
      <x:c r="D1738" s="66" t="n">
        <x:v>2022</x:v>
      </x:c>
      <x:c r="E1738" s="67"/>
      <x:c r="F1738" s="68"/>
      <x:c r="G1738" s="69" t="str">
        <x:f>IF(COUNT(E1738:F1738)=2,E1738*F1738,"")</x:f>
      </x:c>
    </x:row>
    <x:row r="1739">
      <x:c r="A1739" s="66" t="n">
        <x:v>15</x:v>
      </x:c>
      <x:c r="B1739" s="44" t="str">
        <x:v>Canola/Rapeseed</x:v>
      </x:c>
      <x:c r="C1739" s="44" t="str">
        <x:v>BY 7204LL</x:v>
      </x:c>
      <x:c r="D1739" s="66" t="n">
        <x:v>2023</x:v>
      </x:c>
      <x:c r="E1739" s="67"/>
      <x:c r="F1739" s="68"/>
      <x:c r="G1739" s="69" t="str">
        <x:f>IF(COUNT(E1739:F1739)=2,E1739*F1739,"")</x:f>
      </x:c>
    </x:row>
    <x:row r="1740">
      <x:c r="A1740" s="66" t="n">
        <x:v>15</x:v>
      </x:c>
      <x:c r="B1740" s="44" t="str">
        <x:v>Canola/Rapeseed</x:v>
      </x:c>
      <x:c r="C1740" s="44" t="str">
        <x:v>BY 7204LL</x:v>
      </x:c>
      <x:c r="D1740" s="66" t="n">
        <x:v>2024</x:v>
      </x:c>
      <x:c r="E1740" s="67" t="n">
        <x:v>3627</x:v>
      </x:c>
      <x:c r="F1740" s="68" t="n">
        <x:v>33</x:v>
      </x:c>
      <x:c r="G1740" s="69" t="n">
        <x:f>IF(COUNT(E1740:F1740)=2,E1740*F1740,"")</x:f>
        <x:v>119691</x:v>
      </x:c>
    </x:row>
    <x:row r="1741">
      <x:c r="A1741" s="66" t="n">
        <x:v>15</x:v>
      </x:c>
      <x:c r="B1741" s="44" t="str">
        <x:v>Canola/Rapeseed</x:v>
      </x:c>
      <x:c r="C1741" s="44" t="str">
        <x:v>BY 7204LL</x:v>
      </x:c>
      <x:c r="D1741" s="66" t="n">
        <x:v>2025</x:v>
      </x:c>
      <x:c r="E1741" s="67" t="n">
        <x:v>17320</x:v>
      </x:c>
      <x:c r="F1741" s="68" t="n">
        <x:v>44.5</x:v>
      </x:c>
      <x:c r="G1741" s="69" t="n">
        <x:f>IF(COUNT(E1741:F1741)=2,E1741*F1741,"")</x:f>
        <x:v>770740</x:v>
      </x:c>
    </x:row>
    <x:row r="1742">
      <x:c r="A1742" s="66" t="n">
        <x:v>15</x:v>
      </x:c>
      <x:c r="B1742" s="44" t="str">
        <x:v>Canola/Rapeseed</x:v>
      </x:c>
      <x:c r="C1742" s="44" t="str">
        <x:v>B3016</x:v>
      </x:c>
      <x:c r="D1742" s="66" t="n">
        <x:v>2021</x:v>
      </x:c>
      <x:c r="E1742" s="67"/>
      <x:c r="F1742" s="68"/>
      <x:c r="G1742" s="69" t="str">
        <x:f>IF(COUNT(E1742:F1742)=2,E1742*F1742,"")</x:f>
      </x:c>
    </x:row>
    <x:row r="1743">
      <x:c r="A1743" s="66" t="n">
        <x:v>15</x:v>
      </x:c>
      <x:c r="B1743" s="44" t="str">
        <x:v>Canola/Rapeseed</x:v>
      </x:c>
      <x:c r="C1743" s="44" t="str">
        <x:v>B3016</x:v>
      </x:c>
      <x:c r="D1743" s="66" t="n">
        <x:v>2022</x:v>
      </x:c>
      <x:c r="E1743" s="67"/>
      <x:c r="F1743" s="68"/>
      <x:c r="G1743" s="69" t="str">
        <x:f>IF(COUNT(E1743:F1743)=2,E1743*F1743,"")</x:f>
      </x:c>
    </x:row>
    <x:row r="1744">
      <x:c r="A1744" s="66" t="n">
        <x:v>15</x:v>
      </x:c>
      <x:c r="B1744" s="44" t="str">
        <x:v>Canola/Rapeseed</x:v>
      </x:c>
      <x:c r="C1744" s="44" t="str">
        <x:v>B3016</x:v>
      </x:c>
      <x:c r="D1744" s="66" t="n">
        <x:v>2023</x:v>
      </x:c>
      <x:c r="E1744" s="67"/>
      <x:c r="F1744" s="68"/>
      <x:c r="G1744" s="69" t="str">
        <x:f>IF(COUNT(E1744:F1744)=2,E1744*F1744,"")</x:f>
      </x:c>
    </x:row>
    <x:row r="1745">
      <x:c r="A1745" s="66" t="n">
        <x:v>15</x:v>
      </x:c>
      <x:c r="B1745" s="44" t="str">
        <x:v>Canola/Rapeseed</x:v>
      </x:c>
      <x:c r="C1745" s="44" t="str">
        <x:v>B3016</x:v>
      </x:c>
      <x:c r="D1745" s="66" t="n">
        <x:v>2024</x:v>
      </x:c>
      <x:c r="E1745" s="67"/>
      <x:c r="F1745" s="68"/>
      <x:c r="G1745" s="69" t="str">
        <x:f>IF(COUNT(E1745:F1745)=2,E1745*F1745,"")</x:f>
      </x:c>
    </x:row>
    <x:row r="1746">
      <x:c r="A1746" s="66" t="n">
        <x:v>15</x:v>
      </x:c>
      <x:c r="B1746" s="44" t="str">
        <x:v>Canola/Rapeseed</x:v>
      </x:c>
      <x:c r="C1746" s="44" t="str">
        <x:v>B3016</x:v>
      </x:c>
      <x:c r="D1746" s="66" t="n">
        <x:v>2025</x:v>
      </x:c>
      <x:c r="E1746" s="67" t="n">
        <x:v>1874</x:v>
      </x:c>
      <x:c r="F1746" s="68" t="n">
        <x:v>40.6</x:v>
      </x:c>
      <x:c r="G1746" s="69" t="n">
        <x:f>IF(COUNT(E1746:F1746)=2,E1746*F1746,"")</x:f>
        <x:v>76084.40000000001</x:v>
      </x:c>
    </x:row>
    <x:row r="1747">
      <x:c r="A1747" s="66" t="n">
        <x:v>15</x:v>
      </x:c>
      <x:c r="B1747" s="44" t="str">
        <x:v>Canola/Rapeseed</x:v>
      </x:c>
      <x:c r="C1747" s="44" t="str">
        <x:v>B3019</x:v>
      </x:c>
      <x:c r="D1747" s="66" t="n">
        <x:v>2021</x:v>
      </x:c>
      <x:c r="E1747" s="67"/>
      <x:c r="F1747" s="68"/>
      <x:c r="G1747" s="69" t="str">
        <x:f>IF(COUNT(E1747:F1747)=2,E1747*F1747,"")</x:f>
      </x:c>
    </x:row>
    <x:row r="1748">
      <x:c r="A1748" s="66" t="n">
        <x:v>15</x:v>
      </x:c>
      <x:c r="B1748" s="44" t="str">
        <x:v>Canola/Rapeseed</x:v>
      </x:c>
      <x:c r="C1748" s="44" t="str">
        <x:v>B3019</x:v>
      </x:c>
      <x:c r="D1748" s="66" t="n">
        <x:v>2022</x:v>
      </x:c>
      <x:c r="E1748" s="67"/>
      <x:c r="F1748" s="68"/>
      <x:c r="G1748" s="69" t="str">
        <x:f>IF(COUNT(E1748:F1748)=2,E1748*F1748,"")</x:f>
      </x:c>
    </x:row>
    <x:row r="1749">
      <x:c r="A1749" s="66" t="n">
        <x:v>15</x:v>
      </x:c>
      <x:c r="B1749" s="44" t="str">
        <x:v>Canola/Rapeseed</x:v>
      </x:c>
      <x:c r="C1749" s="44" t="str">
        <x:v>B3019</x:v>
      </x:c>
      <x:c r="D1749" s="66" t="n">
        <x:v>2023</x:v>
      </x:c>
      <x:c r="E1749" s="67"/>
      <x:c r="F1749" s="68"/>
      <x:c r="G1749" s="69" t="str">
        <x:f>IF(COUNT(E1749:F1749)=2,E1749*F1749,"")</x:f>
      </x:c>
    </x:row>
    <x:row r="1750">
      <x:c r="A1750" s="66" t="n">
        <x:v>15</x:v>
      </x:c>
      <x:c r="B1750" s="44" t="str">
        <x:v>Canola/Rapeseed</x:v>
      </x:c>
      <x:c r="C1750" s="44" t="str">
        <x:v>B3019</x:v>
      </x:c>
      <x:c r="D1750" s="66" t="n">
        <x:v>2024</x:v>
      </x:c>
      <x:c r="E1750" s="67"/>
      <x:c r="F1750" s="68"/>
      <x:c r="G1750" s="69" t="str">
        <x:f>IF(COUNT(E1750:F1750)=2,E1750*F1750,"")</x:f>
      </x:c>
    </x:row>
    <x:row r="1751">
      <x:c r="A1751" s="66" t="n">
        <x:v>15</x:v>
      </x:c>
      <x:c r="B1751" s="44" t="str">
        <x:v>Canola/Rapeseed</x:v>
      </x:c>
      <x:c r="C1751" s="44" t="str">
        <x:v>B3019</x:v>
      </x:c>
      <x:c r="D1751" s="66" t="n">
        <x:v>2025</x:v>
      </x:c>
      <x:c r="E1751" s="67" t="n">
        <x:v>2625</x:v>
      </x:c>
      <x:c r="F1751" s="68" t="n">
        <x:v>41.9</x:v>
      </x:c>
      <x:c r="G1751" s="69" t="n">
        <x:f>IF(COUNT(E1751:F1751)=2,E1751*F1751,"")</x:f>
        <x:v>109987.5</x:v>
      </x:c>
    </x:row>
    <x:row r="1752">
      <x:c r="A1752" s="66" t="n">
        <x:v>15</x:v>
      </x:c>
      <x:c r="B1752" s="44" t="str">
        <x:v>Canola/Rapeseed</x:v>
      </x:c>
      <x:c r="C1752" s="44" t="str">
        <x:v>B3020</x:v>
      </x:c>
      <x:c r="D1752" s="66" t="n">
        <x:v>2021</x:v>
      </x:c>
      <x:c r="E1752" s="67"/>
      <x:c r="F1752" s="68"/>
      <x:c r="G1752" s="69" t="str">
        <x:f>IF(COUNT(E1752:F1752)=2,E1752*F1752,"")</x:f>
      </x:c>
    </x:row>
    <x:row r="1753">
      <x:c r="A1753" s="66" t="n">
        <x:v>15</x:v>
      </x:c>
      <x:c r="B1753" s="44" t="str">
        <x:v>Canola/Rapeseed</x:v>
      </x:c>
      <x:c r="C1753" s="44" t="str">
        <x:v>B3020</x:v>
      </x:c>
      <x:c r="D1753" s="66" t="n">
        <x:v>2022</x:v>
      </x:c>
      <x:c r="E1753" s="67"/>
      <x:c r="F1753" s="68"/>
      <x:c r="G1753" s="69" t="str">
        <x:f>IF(COUNT(E1753:F1753)=2,E1753*F1753,"")</x:f>
      </x:c>
    </x:row>
    <x:row r="1754">
      <x:c r="A1754" s="66" t="n">
        <x:v>15</x:v>
      </x:c>
      <x:c r="B1754" s="44" t="str">
        <x:v>Canola/Rapeseed</x:v>
      </x:c>
      <x:c r="C1754" s="44" t="str">
        <x:v>B3020</x:v>
      </x:c>
      <x:c r="D1754" s="66" t="n">
        <x:v>2023</x:v>
      </x:c>
      <x:c r="E1754" s="67"/>
      <x:c r="F1754" s="68"/>
      <x:c r="G1754" s="69" t="str">
        <x:f>IF(COUNT(E1754:F1754)=2,E1754*F1754,"")</x:f>
      </x:c>
    </x:row>
    <x:row r="1755">
      <x:c r="A1755" s="66" t="n">
        <x:v>15</x:v>
      </x:c>
      <x:c r="B1755" s="44" t="str">
        <x:v>Canola/Rapeseed</x:v>
      </x:c>
      <x:c r="C1755" s="44" t="str">
        <x:v>B3020</x:v>
      </x:c>
      <x:c r="D1755" s="66" t="n">
        <x:v>2024</x:v>
      </x:c>
      <x:c r="E1755" s="67"/>
      <x:c r="F1755" s="68"/>
      <x:c r="G1755" s="69" t="str">
        <x:f>IF(COUNT(E1755:F1755)=2,E1755*F1755,"")</x:f>
      </x:c>
    </x:row>
    <x:row r="1756">
      <x:c r="A1756" s="66" t="n">
        <x:v>15</x:v>
      </x:c>
      <x:c r="B1756" s="44" t="str">
        <x:v>Canola/Rapeseed</x:v>
      </x:c>
      <x:c r="C1756" s="44" t="str">
        <x:v>B3020</x:v>
      </x:c>
      <x:c r="D1756" s="66" t="n">
        <x:v>2025</x:v>
      </x:c>
      <x:c r="E1756" s="67" t="n">
        <x:v>2946</x:v>
      </x:c>
      <x:c r="F1756" s="68" t="n">
        <x:v>35.6</x:v>
      </x:c>
      <x:c r="G1756" s="69" t="n">
        <x:f>IF(COUNT(E1756:F1756)=2,E1756*F1756,"")</x:f>
        <x:v>104877.6</x:v>
      </x:c>
    </x:row>
    <x:row r="1757">
      <x:c r="A1757" s="66" t="n">
        <x:v>15</x:v>
      </x:c>
      <x:c r="B1757" s="44" t="str">
        <x:v>Canola/Rapeseed</x:v>
      </x:c>
      <x:c r="C1757" s="44" t="str">
        <x:v>B4015</x:v>
      </x:c>
      <x:c r="D1757" s="66" t="n">
        <x:v>2021</x:v>
      </x:c>
      <x:c r="E1757" s="67"/>
      <x:c r="F1757" s="68"/>
      <x:c r="G1757" s="69" t="str">
        <x:f>IF(COUNT(E1757:F1757)=2,E1757*F1757,"")</x:f>
      </x:c>
    </x:row>
    <x:row r="1758">
      <x:c r="A1758" s="66" t="n">
        <x:v>15</x:v>
      </x:c>
      <x:c r="B1758" s="44" t="str">
        <x:v>Canola/Rapeseed</x:v>
      </x:c>
      <x:c r="C1758" s="44" t="str">
        <x:v>B4015</x:v>
      </x:c>
      <x:c r="D1758" s="66" t="n">
        <x:v>2022</x:v>
      </x:c>
      <x:c r="E1758" s="67"/>
      <x:c r="F1758" s="68"/>
      <x:c r="G1758" s="69" t="str">
        <x:f>IF(COUNT(E1758:F1758)=2,E1758*F1758,"")</x:f>
      </x:c>
    </x:row>
    <x:row r="1759">
      <x:c r="A1759" s="66" t="n">
        <x:v>15</x:v>
      </x:c>
      <x:c r="B1759" s="44" t="str">
        <x:v>Canola/Rapeseed</x:v>
      </x:c>
      <x:c r="C1759" s="44" t="str">
        <x:v>B4015</x:v>
      </x:c>
      <x:c r="D1759" s="66" t="n">
        <x:v>2023</x:v>
      </x:c>
      <x:c r="E1759" s="67"/>
      <x:c r="F1759" s="68"/>
      <x:c r="G1759" s="69" t="str">
        <x:f>IF(COUNT(E1759:F1759)=2,E1759*F1759,"")</x:f>
      </x:c>
    </x:row>
    <x:row r="1760">
      <x:c r="A1760" s="66" t="n">
        <x:v>15</x:v>
      </x:c>
      <x:c r="B1760" s="44" t="str">
        <x:v>Canola/Rapeseed</x:v>
      </x:c>
      <x:c r="C1760" s="44" t="str">
        <x:v>B4015</x:v>
      </x:c>
      <x:c r="D1760" s="66" t="n">
        <x:v>2024</x:v>
      </x:c>
      <x:c r="E1760" s="67"/>
      <x:c r="F1760" s="68"/>
      <x:c r="G1760" s="69" t="str">
        <x:f>IF(COUNT(E1760:F1760)=2,E1760*F1760,"")</x:f>
      </x:c>
    </x:row>
    <x:row r="1761">
      <x:c r="A1761" s="66" t="n">
        <x:v>15</x:v>
      </x:c>
      <x:c r="B1761" s="44" t="str">
        <x:v>Canola/Rapeseed</x:v>
      </x:c>
      <x:c r="C1761" s="44" t="str">
        <x:v>B4015</x:v>
      </x:c>
      <x:c r="D1761" s="66" t="n">
        <x:v>2025</x:v>
      </x:c>
      <x:c r="E1761" s="67" t="n">
        <x:v>522</x:v>
      </x:c>
      <x:c r="F1761" s="68" t="n">
        <x:v>45.7</x:v>
      </x:c>
      <x:c r="G1761" s="69" t="n">
        <x:f>IF(COUNT(E1761:F1761)=2,E1761*F1761,"")</x:f>
        <x:v>23855.4</x:v>
      </x:c>
    </x:row>
    <x:row r="1762">
      <x:c r="A1762" s="66" t="n">
        <x:v>15</x:v>
      </x:c>
      <x:c r="B1762" s="44" t="str">
        <x:v>Canola/Rapeseed</x:v>
      </x:c>
      <x:c r="C1762" s="44" t="str">
        <x:v>CS3300 TF</x:v>
      </x:c>
      <x:c r="D1762" s="66" t="n">
        <x:v>2021</x:v>
      </x:c>
      <x:c r="E1762" s="67"/>
      <x:c r="F1762" s="68"/>
      <x:c r="G1762" s="69" t="str">
        <x:f>IF(COUNT(E1762:F1762)=2,E1762*F1762,"")</x:f>
      </x:c>
    </x:row>
    <x:row r="1763">
      <x:c r="A1763" s="66" t="n">
        <x:v>15</x:v>
      </x:c>
      <x:c r="B1763" s="44" t="str">
        <x:v>Canola/Rapeseed</x:v>
      </x:c>
      <x:c r="C1763" s="44" t="str">
        <x:v>CS3300 TF</x:v>
      </x:c>
      <x:c r="D1763" s="66" t="n">
        <x:v>2022</x:v>
      </x:c>
      <x:c r="E1763" s="67"/>
      <x:c r="F1763" s="68"/>
      <x:c r="G1763" s="69" t="str">
        <x:f>IF(COUNT(E1763:F1763)=2,E1763*F1763,"")</x:f>
      </x:c>
    </x:row>
    <x:row r="1764">
      <x:c r="A1764" s="66" t="n">
        <x:v>15</x:v>
      </x:c>
      <x:c r="B1764" s="44" t="str">
        <x:v>Canola/Rapeseed</x:v>
      </x:c>
      <x:c r="C1764" s="44" t="str">
        <x:v>CS3300 TF</x:v>
      </x:c>
      <x:c r="D1764" s="66" t="n">
        <x:v>2023</x:v>
      </x:c>
      <x:c r="E1764" s="67"/>
      <x:c r="F1764" s="68"/>
      <x:c r="G1764" s="69" t="str">
        <x:f>IF(COUNT(E1764:F1764)=2,E1764*F1764,"")</x:f>
      </x:c>
    </x:row>
    <x:row r="1765">
      <x:c r="A1765" s="66" t="n">
        <x:v>15</x:v>
      </x:c>
      <x:c r="B1765" s="44" t="str">
        <x:v>Canola/Rapeseed</x:v>
      </x:c>
      <x:c r="C1765" s="44" t="str">
        <x:v>CS3300 TF</x:v>
      </x:c>
      <x:c r="D1765" s="66" t="n">
        <x:v>2024</x:v>
      </x:c>
      <x:c r="E1765" s="67"/>
      <x:c r="F1765" s="68"/>
      <x:c r="G1765" s="69" t="str">
        <x:f>IF(COUNT(E1765:F1765)=2,E1765*F1765,"")</x:f>
      </x:c>
    </x:row>
    <x:row r="1766">
      <x:c r="A1766" s="66" t="n">
        <x:v>15</x:v>
      </x:c>
      <x:c r="B1766" s="44" t="str">
        <x:v>Canola/Rapeseed</x:v>
      </x:c>
      <x:c r="C1766" s="44" t="str">
        <x:v>CS3300 TF</x:v>
      </x:c>
      <x:c r="D1766" s="66" t="n">
        <x:v>2025</x:v>
      </x:c>
      <x:c r="E1766" s="67" t="n">
        <x:v>692</x:v>
      </x:c>
      <x:c r="F1766" s="68" t="n">
        <x:v>38.1</x:v>
      </x:c>
      <x:c r="G1766" s="69" t="n">
        <x:f>IF(COUNT(E1766:F1766)=2,E1766*F1766,"")</x:f>
        <x:v>26365.2</x:v>
      </x:c>
    </x:row>
    <x:row r="1767">
      <x:c r="A1767" s="66" t="n">
        <x:v>15</x:v>
      </x:c>
      <x:c r="B1767" s="44" t="str">
        <x:v>Canola/Rapeseed</x:v>
      </x:c>
      <x:c r="C1767" s="44" t="str">
        <x:v>CS4000 LL</x:v>
      </x:c>
      <x:c r="D1767" s="66" t="n">
        <x:v>2021</x:v>
      </x:c>
      <x:c r="E1767" s="67" t="n">
        <x:v>1212</x:v>
      </x:c>
      <x:c r="F1767" s="68" t="n">
        <x:v>23.8</x:v>
      </x:c>
      <x:c r="G1767" s="69" t="n">
        <x:f>IF(COUNT(E1767:F1767)=2,E1767*F1767,"")</x:f>
        <x:v>28845.600000000002</x:v>
      </x:c>
    </x:row>
    <x:row r="1768">
      <x:c r="A1768" s="66" t="n">
        <x:v>15</x:v>
      </x:c>
      <x:c r="B1768" s="44" t="str">
        <x:v>Canola/Rapeseed</x:v>
      </x:c>
      <x:c r="C1768" s="44" t="str">
        <x:v>CS4000 LL</x:v>
      </x:c>
      <x:c r="D1768" s="66" t="n">
        <x:v>2022</x:v>
      </x:c>
      <x:c r="E1768" s="67" t="n">
        <x:v>3531</x:v>
      </x:c>
      <x:c r="F1768" s="68" t="n">
        <x:v>40.7</x:v>
      </x:c>
      <x:c r="G1768" s="69" t="n">
        <x:f>IF(COUNT(E1768:F1768)=2,E1768*F1768,"")</x:f>
        <x:v>143711.7</x:v>
      </x:c>
    </x:row>
    <x:row r="1769">
      <x:c r="A1769" s="66" t="n">
        <x:v>15</x:v>
      </x:c>
      <x:c r="B1769" s="44" t="str">
        <x:v>Canola/Rapeseed</x:v>
      </x:c>
      <x:c r="C1769" s="44" t="str">
        <x:v>CS4000 LL</x:v>
      </x:c>
      <x:c r="D1769" s="66" t="n">
        <x:v>2023</x:v>
      </x:c>
      <x:c r="E1769" s="67" t="n">
        <x:v>8388</x:v>
      </x:c>
      <x:c r="F1769" s="68" t="n">
        <x:v>41.3</x:v>
      </x:c>
      <x:c r="G1769" s="69" t="n">
        <x:f>IF(COUNT(E1769:F1769)=2,E1769*F1769,"")</x:f>
        <x:v>346424.39999999997</x:v>
      </x:c>
    </x:row>
    <x:row r="1770">
      <x:c r="A1770" s="66" t="n">
        <x:v>15</x:v>
      </x:c>
      <x:c r="B1770" s="44" t="str">
        <x:v>Canola/Rapeseed</x:v>
      </x:c>
      <x:c r="C1770" s="44" t="str">
        <x:v>CS4000 LL</x:v>
      </x:c>
      <x:c r="D1770" s="66" t="n">
        <x:v>2024</x:v>
      </x:c>
      <x:c r="E1770" s="67" t="n">
        <x:v>14092</x:v>
      </x:c>
      <x:c r="F1770" s="68" t="n">
        <x:v>37.9</x:v>
      </x:c>
      <x:c r="G1770" s="69" t="n">
        <x:f>IF(COUNT(E1770:F1770)=2,E1770*F1770,"")</x:f>
        <x:v>534086.7999999999</x:v>
      </x:c>
    </x:row>
    <x:row r="1771">
      <x:c r="A1771" s="66" t="n">
        <x:v>15</x:v>
      </x:c>
      <x:c r="B1771" s="44" t="str">
        <x:v>Canola/Rapeseed</x:v>
      </x:c>
      <x:c r="C1771" s="44" t="str">
        <x:v>CS4000 LL</x:v>
      </x:c>
      <x:c r="D1771" s="66" t="n">
        <x:v>2025</x:v>
      </x:c>
      <x:c r="E1771" s="67" t="n">
        <x:v>8319</x:v>
      </x:c>
      <x:c r="F1771" s="68" t="n">
        <x:v>46.8</x:v>
      </x:c>
      <x:c r="G1771" s="69" t="n">
        <x:f>IF(COUNT(E1771:F1771)=2,E1771*F1771,"")</x:f>
        <x:v>389329.19999999995</x:v>
      </x:c>
    </x:row>
    <x:row r="1772">
      <x:c r="A1772" s="66" t="n">
        <x:v>15</x:v>
      </x:c>
      <x:c r="B1772" s="44" t="str">
        <x:v>Canola/Rapeseed</x:v>
      </x:c>
      <x:c r="C1772" s="44" t="str">
        <x:v>CS4100 LL</x:v>
      </x:c>
      <x:c r="D1772" s="66" t="n">
        <x:v>2021</x:v>
      </x:c>
      <x:c r="E1772" s="67"/>
      <x:c r="F1772" s="68"/>
      <x:c r="G1772" s="69" t="str">
        <x:f>IF(COUNT(E1772:F1772)=2,E1772*F1772,"")</x:f>
      </x:c>
    </x:row>
    <x:row r="1773">
      <x:c r="A1773" s="66" t="n">
        <x:v>15</x:v>
      </x:c>
      <x:c r="B1773" s="44" t="str">
        <x:v>Canola/Rapeseed</x:v>
      </x:c>
      <x:c r="C1773" s="44" t="str">
        <x:v>CS4100 LL</x:v>
      </x:c>
      <x:c r="D1773" s="66" t="n">
        <x:v>2022</x:v>
      </x:c>
      <x:c r="E1773" s="67"/>
      <x:c r="F1773" s="68"/>
      <x:c r="G1773" s="69" t="str">
        <x:f>IF(COUNT(E1773:F1773)=2,E1773*F1773,"")</x:f>
      </x:c>
    </x:row>
    <x:row r="1774">
      <x:c r="A1774" s="66" t="n">
        <x:v>15</x:v>
      </x:c>
      <x:c r="B1774" s="44" t="str">
        <x:v>Canola/Rapeseed</x:v>
      </x:c>
      <x:c r="C1774" s="44" t="str">
        <x:v>CS4100 LL</x:v>
      </x:c>
      <x:c r="D1774" s="66" t="n">
        <x:v>2023</x:v>
      </x:c>
      <x:c r="E1774" s="67"/>
      <x:c r="F1774" s="68"/>
      <x:c r="G1774" s="69" t="str">
        <x:f>IF(COUNT(E1774:F1774)=2,E1774*F1774,"")</x:f>
      </x:c>
    </x:row>
    <x:row r="1775">
      <x:c r="A1775" s="66" t="n">
        <x:v>15</x:v>
      </x:c>
      <x:c r="B1775" s="44" t="str">
        <x:v>Canola/Rapeseed</x:v>
      </x:c>
      <x:c r="C1775" s="44" t="str">
        <x:v>CS4100 LL</x:v>
      </x:c>
      <x:c r="D1775" s="66" t="n">
        <x:v>2024</x:v>
      </x:c>
      <x:c r="E1775" s="67"/>
      <x:c r="F1775" s="68"/>
      <x:c r="G1775" s="69" t="str">
        <x:f>IF(COUNT(E1775:F1775)=2,E1775*F1775,"")</x:f>
      </x:c>
    </x:row>
    <x:row r="1776">
      <x:c r="A1776" s="66" t="n">
        <x:v>15</x:v>
      </x:c>
      <x:c r="B1776" s="44" t="str">
        <x:v>Canola/Rapeseed</x:v>
      </x:c>
      <x:c r="C1776" s="44" t="str">
        <x:v>CS4100 LL</x:v>
      </x:c>
      <x:c r="D1776" s="66" t="n">
        <x:v>2025</x:v>
      </x:c>
      <x:c r="E1776" s="67" t="n">
        <x:v>6476</x:v>
      </x:c>
      <x:c r="F1776" s="68" t="n">
        <x:v>48.6</x:v>
      </x:c>
      <x:c r="G1776" s="69" t="n">
        <x:f>IF(COUNT(E1776:F1776)=2,E1776*F1776,"")</x:f>
        <x:v>314733.60000000003</x:v>
      </x:c>
    </x:row>
    <x:row r="1777">
      <x:c r="A1777" s="66" t="n">
        <x:v>15</x:v>
      </x:c>
      <x:c r="B1777" s="44" t="str">
        <x:v>Canola/Rapeseed</x:v>
      </x:c>
      <x:c r="C1777" s="44" t="str">
        <x:v>DK 801 LL</x:v>
      </x:c>
      <x:c r="D1777" s="66" t="n">
        <x:v>2021</x:v>
      </x:c>
      <x:c r="E1777" s="67"/>
      <x:c r="F1777" s="68"/>
      <x:c r="G1777" s="69" t="str">
        <x:f>IF(COUNT(E1777:F1777)=2,E1777*F1777,"")</x:f>
      </x:c>
    </x:row>
    <x:row r="1778">
      <x:c r="A1778" s="66" t="n">
        <x:v>15</x:v>
      </x:c>
      <x:c r="B1778" s="44" t="str">
        <x:v>Canola/Rapeseed</x:v>
      </x:c>
      <x:c r="C1778" s="44" t="str">
        <x:v>DK 801 LL</x:v>
      </x:c>
      <x:c r="D1778" s="66" t="n">
        <x:v>2022</x:v>
      </x:c>
      <x:c r="E1778" s="67"/>
      <x:c r="F1778" s="68"/>
      <x:c r="G1778" s="69" t="str">
        <x:f>IF(COUNT(E1778:F1778)=2,E1778*F1778,"")</x:f>
      </x:c>
    </x:row>
    <x:row r="1779">
      <x:c r="A1779" s="66" t="n">
        <x:v>15</x:v>
      </x:c>
      <x:c r="B1779" s="44" t="str">
        <x:v>Canola/Rapeseed</x:v>
      </x:c>
      <x:c r="C1779" s="44" t="str">
        <x:v>DK 801 LL</x:v>
      </x:c>
      <x:c r="D1779" s="66" t="n">
        <x:v>2023</x:v>
      </x:c>
      <x:c r="E1779" s="67"/>
      <x:c r="F1779" s="68"/>
      <x:c r="G1779" s="69" t="str">
        <x:f>IF(COUNT(E1779:F1779)=2,E1779*F1779,"")</x:f>
      </x:c>
    </x:row>
    <x:row r="1780">
      <x:c r="A1780" s="66" t="n">
        <x:v>15</x:v>
      </x:c>
      <x:c r="B1780" s="44" t="str">
        <x:v>Canola/Rapeseed</x:v>
      </x:c>
      <x:c r="C1780" s="44" t="str">
        <x:v>DK 801 LL</x:v>
      </x:c>
      <x:c r="D1780" s="66" t="n">
        <x:v>2024</x:v>
      </x:c>
      <x:c r="E1780" s="67" t="n">
        <x:v>704</x:v>
      </x:c>
      <x:c r="F1780" s="68" t="n">
        <x:v>41.5</x:v>
      </x:c>
      <x:c r="G1780" s="69" t="n">
        <x:f>IF(COUNT(E1780:F1780)=2,E1780*F1780,"")</x:f>
        <x:v>29216</x:v>
      </x:c>
    </x:row>
    <x:row r="1781">
      <x:c r="A1781" s="66" t="n">
        <x:v>15</x:v>
      </x:c>
      <x:c r="B1781" s="44" t="str">
        <x:v>Canola/Rapeseed</x:v>
      </x:c>
      <x:c r="C1781" s="44" t="str">
        <x:v>DK 801 LL</x:v>
      </x:c>
      <x:c r="D1781" s="66" t="n">
        <x:v>2025</x:v>
      </x:c>
      <x:c r="E1781" s="67" t="n">
        <x:v>6357</x:v>
      </x:c>
      <x:c r="F1781" s="68" t="n">
        <x:v>46.5</x:v>
      </x:c>
      <x:c r="G1781" s="69" t="n">
        <x:f>IF(COUNT(E1781:F1781)=2,E1781*F1781,"")</x:f>
        <x:v>295600.5</x:v>
      </x:c>
    </x:row>
    <x:row r="1782">
      <x:c r="A1782" s="66" t="n">
        <x:v>15</x:v>
      </x:c>
      <x:c r="B1782" s="44" t="str">
        <x:v>Canola/Rapeseed</x:v>
      </x:c>
      <x:c r="C1782" s="44" t="str">
        <x:v>DKTFLL 21 SC</x:v>
      </x:c>
      <x:c r="D1782" s="66" t="n">
        <x:v>2021</x:v>
      </x:c>
      <x:c r="E1782" s="67"/>
      <x:c r="F1782" s="68"/>
      <x:c r="G1782" s="69" t="str">
        <x:f>IF(COUNT(E1782:F1782)=2,E1782*F1782,"")</x:f>
      </x:c>
    </x:row>
    <x:row r="1783">
      <x:c r="A1783" s="66" t="n">
        <x:v>15</x:v>
      </x:c>
      <x:c r="B1783" s="44" t="str">
        <x:v>Canola/Rapeseed</x:v>
      </x:c>
      <x:c r="C1783" s="44" t="str">
        <x:v>DKTFLL 21 SC</x:v>
      </x:c>
      <x:c r="D1783" s="66" t="n">
        <x:v>2022</x:v>
      </x:c>
      <x:c r="E1783" s="67" t="n">
        <x:v>2406</x:v>
      </x:c>
      <x:c r="F1783" s="68" t="n">
        <x:v>37.5</x:v>
      </x:c>
      <x:c r="G1783" s="69" t="n">
        <x:f>IF(COUNT(E1783:F1783)=2,E1783*F1783,"")</x:f>
        <x:v>90225</x:v>
      </x:c>
    </x:row>
    <x:row r="1784">
      <x:c r="A1784" s="66" t="n">
        <x:v>15</x:v>
      </x:c>
      <x:c r="B1784" s="44" t="str">
        <x:v>Canola/Rapeseed</x:v>
      </x:c>
      <x:c r="C1784" s="44" t="str">
        <x:v>DKTFLL 21 SC</x:v>
      </x:c>
      <x:c r="D1784" s="66" t="n">
        <x:v>2023</x:v>
      </x:c>
      <x:c r="E1784" s="67" t="n">
        <x:v>2993</x:v>
      </x:c>
      <x:c r="F1784" s="68" t="n">
        <x:v>33.9</x:v>
      </x:c>
      <x:c r="G1784" s="69" t="n">
        <x:f>IF(COUNT(E1784:F1784)=2,E1784*F1784,"")</x:f>
        <x:v>101462.7</x:v>
      </x:c>
    </x:row>
    <x:row r="1785">
      <x:c r="A1785" s="66" t="n">
        <x:v>15</x:v>
      </x:c>
      <x:c r="B1785" s="44" t="str">
        <x:v>Canola/Rapeseed</x:v>
      </x:c>
      <x:c r="C1785" s="44" t="str">
        <x:v>DKTFLL 21 SC</x:v>
      </x:c>
      <x:c r="D1785" s="66" t="n">
        <x:v>2024</x:v>
      </x:c>
      <x:c r="E1785" s="67" t="n">
        <x:v>7702</x:v>
      </x:c>
      <x:c r="F1785" s="68" t="n">
        <x:v>37.3</x:v>
      </x:c>
      <x:c r="G1785" s="69" t="n">
        <x:f>IF(COUNT(E1785:F1785)=2,E1785*F1785,"")</x:f>
        <x:v>287284.6</x:v>
      </x:c>
    </x:row>
    <x:row r="1786">
      <x:c r="A1786" s="66" t="n">
        <x:v>15</x:v>
      </x:c>
      <x:c r="B1786" s="44" t="str">
        <x:v>Canola/Rapeseed</x:v>
      </x:c>
      <x:c r="C1786" s="44" t="str">
        <x:v>DKTFLL 21 SC</x:v>
      </x:c>
      <x:c r="D1786" s="66" t="n">
        <x:v>2025</x:v>
      </x:c>
      <x:c r="E1786" s="67" t="n">
        <x:v>1242</x:v>
      </x:c>
      <x:c r="F1786" s="68" t="n">
        <x:v>27.8</x:v>
      </x:c>
      <x:c r="G1786" s="69" t="n">
        <x:f>IF(COUNT(E1786:F1786)=2,E1786*F1786,"")</x:f>
        <x:v>34527.6</x:v>
      </x:c>
    </x:row>
    <x:row r="1787">
      <x:c r="A1787" s="66" t="n">
        <x:v>15</x:v>
      </x:c>
      <x:c r="B1787" s="44" t="str">
        <x:v>Canola/Rapeseed</x:v>
      </x:c>
      <x:c r="C1787" s="44" t="str">
        <x:v>DK400TL</x:v>
      </x:c>
      <x:c r="D1787" s="66" t="n">
        <x:v>2021</x:v>
      </x:c>
      <x:c r="E1787" s="67"/>
      <x:c r="F1787" s="68"/>
      <x:c r="G1787" s="69" t="str">
        <x:f>IF(COUNT(E1787:F1787)=2,E1787*F1787,"")</x:f>
      </x:c>
    </x:row>
    <x:row r="1788">
      <x:c r="A1788" s="66" t="n">
        <x:v>15</x:v>
      </x:c>
      <x:c r="B1788" s="44" t="str">
        <x:v>Canola/Rapeseed</x:v>
      </x:c>
      <x:c r="C1788" s="44" t="str">
        <x:v>DK400TL</x:v>
      </x:c>
      <x:c r="D1788" s="66" t="n">
        <x:v>2022</x:v>
      </x:c>
      <x:c r="E1788" s="67"/>
      <x:c r="F1788" s="68"/>
      <x:c r="G1788" s="69" t="str">
        <x:f>IF(COUNT(E1788:F1788)=2,E1788*F1788,"")</x:f>
      </x:c>
    </x:row>
    <x:row r="1789">
      <x:c r="A1789" s="66" t="n">
        <x:v>15</x:v>
      </x:c>
      <x:c r="B1789" s="44" t="str">
        <x:v>Canola/Rapeseed</x:v>
      </x:c>
      <x:c r="C1789" s="44" t="str">
        <x:v>DK400TL</x:v>
      </x:c>
      <x:c r="D1789" s="66" t="n">
        <x:v>2023</x:v>
      </x:c>
      <x:c r="E1789" s="67"/>
      <x:c r="F1789" s="68"/>
      <x:c r="G1789" s="69" t="str">
        <x:f>IF(COUNT(E1789:F1789)=2,E1789*F1789,"")</x:f>
      </x:c>
    </x:row>
    <x:row r="1790">
      <x:c r="A1790" s="66" t="n">
        <x:v>15</x:v>
      </x:c>
      <x:c r="B1790" s="44" t="str">
        <x:v>Canola/Rapeseed</x:v>
      </x:c>
      <x:c r="C1790" s="44" t="str">
        <x:v>DK400TL</x:v>
      </x:c>
      <x:c r="D1790" s="66" t="n">
        <x:v>2024</x:v>
      </x:c>
      <x:c r="E1790" s="67" t="n">
        <x:v>951</x:v>
      </x:c>
      <x:c r="F1790" s="68" t="n">
        <x:v>30.2</x:v>
      </x:c>
      <x:c r="G1790" s="69" t="n">
        <x:f>IF(COUNT(E1790:F1790)=2,E1790*F1790,"")</x:f>
        <x:v>28720.2</x:v>
      </x:c>
    </x:row>
    <x:row r="1791">
      <x:c r="A1791" s="66" t="n">
        <x:v>15</x:v>
      </x:c>
      <x:c r="B1791" s="44" t="str">
        <x:v>Canola/Rapeseed</x:v>
      </x:c>
      <x:c r="C1791" s="44" t="str">
        <x:v>DK400TL</x:v>
      </x:c>
      <x:c r="D1791" s="66" t="n">
        <x:v>2025</x:v>
      </x:c>
      <x:c r="E1791" s="67" t="n">
        <x:v>1188</x:v>
      </x:c>
      <x:c r="F1791" s="68" t="n">
        <x:v>40.3</x:v>
      </x:c>
      <x:c r="G1791" s="69" t="n">
        <x:f>IF(COUNT(E1791:F1791)=2,E1791*F1791,"")</x:f>
        <x:v>47876.399999999994</x:v>
      </x:c>
    </x:row>
    <x:row r="1792">
      <x:c r="A1792" s="66" t="n">
        <x:v>15</x:v>
      </x:c>
      <x:c r="B1792" s="44" t="str">
        <x:v>Canola/Rapeseed</x:v>
      </x:c>
      <x:c r="C1792" s="44" t="str">
        <x:v>DK401TK</x:v>
      </x:c>
      <x:c r="D1792" s="66" t="n">
        <x:v>2021</x:v>
      </x:c>
      <x:c r="E1792" s="67"/>
      <x:c r="F1792" s="68"/>
      <x:c r="G1792" s="69" t="str">
        <x:f>IF(COUNT(E1792:F1792)=2,E1792*F1792,"")</x:f>
      </x:c>
    </x:row>
    <x:row r="1793">
      <x:c r="A1793" s="66" t="n">
        <x:v>15</x:v>
      </x:c>
      <x:c r="B1793" s="44" t="str">
        <x:v>Canola/Rapeseed</x:v>
      </x:c>
      <x:c r="C1793" s="44" t="str">
        <x:v>DK401TK</x:v>
      </x:c>
      <x:c r="D1793" s="66" t="n">
        <x:v>2022</x:v>
      </x:c>
      <x:c r="E1793" s="67"/>
      <x:c r="F1793" s="68"/>
      <x:c r="G1793" s="69" t="str">
        <x:f>IF(COUNT(E1793:F1793)=2,E1793*F1793,"")</x:f>
      </x:c>
    </x:row>
    <x:row r="1794">
      <x:c r="A1794" s="66" t="n">
        <x:v>15</x:v>
      </x:c>
      <x:c r="B1794" s="44" t="str">
        <x:v>Canola/Rapeseed</x:v>
      </x:c>
      <x:c r="C1794" s="44" t="str">
        <x:v>DK401TK</x:v>
      </x:c>
      <x:c r="D1794" s="66" t="n">
        <x:v>2023</x:v>
      </x:c>
      <x:c r="E1794" s="67"/>
      <x:c r="F1794" s="68"/>
      <x:c r="G1794" s="69" t="str">
        <x:f>IF(COUNT(E1794:F1794)=2,E1794*F1794,"")</x:f>
      </x:c>
    </x:row>
    <x:row r="1795">
      <x:c r="A1795" s="66" t="n">
        <x:v>15</x:v>
      </x:c>
      <x:c r="B1795" s="44" t="str">
        <x:v>Canola/Rapeseed</x:v>
      </x:c>
      <x:c r="C1795" s="44" t="str">
        <x:v>DK401TK</x:v>
      </x:c>
      <x:c r="D1795" s="66" t="n">
        <x:v>2024</x:v>
      </x:c>
      <x:c r="E1795" s="67"/>
      <x:c r="F1795" s="68"/>
      <x:c r="G1795" s="69" t="str">
        <x:f>IF(COUNT(E1795:F1795)=2,E1795*F1795,"")</x:f>
      </x:c>
    </x:row>
    <x:row r="1796">
      <x:c r="A1796" s="66" t="n">
        <x:v>15</x:v>
      </x:c>
      <x:c r="B1796" s="44" t="str">
        <x:v>Canola/Rapeseed</x:v>
      </x:c>
      <x:c r="C1796" s="44" t="str">
        <x:v>DK401TK</x:v>
      </x:c>
      <x:c r="D1796" s="66" t="n">
        <x:v>2025</x:v>
      </x:c>
      <x:c r="E1796" s="67" t="n">
        <x:v>10478</x:v>
      </x:c>
      <x:c r="F1796" s="68" t="n">
        <x:v>43.5</x:v>
      </x:c>
      <x:c r="G1796" s="69" t="n">
        <x:f>IF(COUNT(E1796:F1796)=2,E1796*F1796,"")</x:f>
        <x:v>455793</x:v>
      </x:c>
    </x:row>
    <x:row r="1797">
      <x:c r="A1797" s="66" t="n">
        <x:v>15</x:v>
      </x:c>
      <x:c r="B1797" s="44" t="str">
        <x:v>Canola/Rapeseed</x:v>
      </x:c>
      <x:c r="C1797" s="44" t="str">
        <x:v>DK401TL</x:v>
      </x:c>
      <x:c r="D1797" s="66" t="n">
        <x:v>2021</x:v>
      </x:c>
      <x:c r="E1797" s="67"/>
      <x:c r="F1797" s="68"/>
      <x:c r="G1797" s="69" t="str">
        <x:f>IF(COUNT(E1797:F1797)=2,E1797*F1797,"")</x:f>
      </x:c>
    </x:row>
    <x:row r="1798">
      <x:c r="A1798" s="66" t="n">
        <x:v>15</x:v>
      </x:c>
      <x:c r="B1798" s="44" t="str">
        <x:v>Canola/Rapeseed</x:v>
      </x:c>
      <x:c r="C1798" s="44" t="str">
        <x:v>DK401TL</x:v>
      </x:c>
      <x:c r="D1798" s="66" t="n">
        <x:v>2022</x:v>
      </x:c>
      <x:c r="E1798" s="67"/>
      <x:c r="F1798" s="68"/>
      <x:c r="G1798" s="69" t="str">
        <x:f>IF(COUNT(E1798:F1798)=2,E1798*F1798,"")</x:f>
      </x:c>
    </x:row>
    <x:row r="1799">
      <x:c r="A1799" s="66" t="n">
        <x:v>15</x:v>
      </x:c>
      <x:c r="B1799" s="44" t="str">
        <x:v>Canola/Rapeseed</x:v>
      </x:c>
      <x:c r="C1799" s="44" t="str">
        <x:v>DK401TL</x:v>
      </x:c>
      <x:c r="D1799" s="66" t="n">
        <x:v>2023</x:v>
      </x:c>
      <x:c r="E1799" s="67"/>
      <x:c r="F1799" s="68"/>
      <x:c r="G1799" s="69" t="str">
        <x:f>IF(COUNT(E1799:F1799)=2,E1799*F1799,"")</x:f>
      </x:c>
    </x:row>
    <x:row r="1800">
      <x:c r="A1800" s="66" t="n">
        <x:v>15</x:v>
      </x:c>
      <x:c r="B1800" s="44" t="str">
        <x:v>Canola/Rapeseed</x:v>
      </x:c>
      <x:c r="C1800" s="44" t="str">
        <x:v>DK401TL</x:v>
      </x:c>
      <x:c r="D1800" s="66" t="n">
        <x:v>2024</x:v>
      </x:c>
      <x:c r="E1800" s="67"/>
      <x:c r="F1800" s="68"/>
      <x:c r="G1800" s="69" t="str">
        <x:f>IF(COUNT(E1800:F1800)=2,E1800*F1800,"")</x:f>
      </x:c>
    </x:row>
    <x:row r="1801">
      <x:c r="A1801" s="66" t="n">
        <x:v>15</x:v>
      </x:c>
      <x:c r="B1801" s="44" t="str">
        <x:v>Canola/Rapeseed</x:v>
      </x:c>
      <x:c r="C1801" s="44" t="str">
        <x:v>DK401TL</x:v>
      </x:c>
      <x:c r="D1801" s="66" t="n">
        <x:v>2025</x:v>
      </x:c>
      <x:c r="E1801" s="67" t="n">
        <x:v>4119</x:v>
      </x:c>
      <x:c r="F1801" s="68" t="n">
        <x:v>47.2</x:v>
      </x:c>
      <x:c r="G1801" s="69" t="n">
        <x:f>IF(COUNT(E1801:F1801)=2,E1801*F1801,"")</x:f>
        <x:v>194416.80000000002</x:v>
      </x:c>
    </x:row>
    <x:row r="1802">
      <x:c r="A1802" s="66" t="n">
        <x:v>15</x:v>
      </x:c>
      <x:c r="B1802" s="44" t="str">
        <x:v>Canola/Rapeseed</x:v>
      </x:c>
      <x:c r="C1802" s="44" t="str">
        <x:v>DK800LL</x:v>
      </x:c>
      <x:c r="D1802" s="66" t="n">
        <x:v>2021</x:v>
      </x:c>
      <x:c r="E1802" s="67"/>
      <x:c r="F1802" s="68"/>
      <x:c r="G1802" s="69" t="str">
        <x:f>IF(COUNT(E1802:F1802)=2,E1802*F1802,"")</x:f>
      </x:c>
    </x:row>
    <x:row r="1803">
      <x:c r="A1803" s="66" t="n">
        <x:v>15</x:v>
      </x:c>
      <x:c r="B1803" s="44" t="str">
        <x:v>Canola/Rapeseed</x:v>
      </x:c>
      <x:c r="C1803" s="44" t="str">
        <x:v>DK800LL</x:v>
      </x:c>
      <x:c r="D1803" s="66" t="n">
        <x:v>2022</x:v>
      </x:c>
      <x:c r="E1803" s="67"/>
      <x:c r="F1803" s="68"/>
      <x:c r="G1803" s="69" t="str">
        <x:f>IF(COUNT(E1803:F1803)=2,E1803*F1803,"")</x:f>
      </x:c>
    </x:row>
    <x:row r="1804">
      <x:c r="A1804" s="66" t="n">
        <x:v>15</x:v>
      </x:c>
      <x:c r="B1804" s="44" t="str">
        <x:v>Canola/Rapeseed</x:v>
      </x:c>
      <x:c r="C1804" s="44" t="str">
        <x:v>DK800LL</x:v>
      </x:c>
      <x:c r="D1804" s="66" t="n">
        <x:v>2023</x:v>
      </x:c>
      <x:c r="E1804" s="67"/>
      <x:c r="F1804" s="68"/>
      <x:c r="G1804" s="69" t="str">
        <x:f>IF(COUNT(E1804:F1804)=2,E1804*F1804,"")</x:f>
      </x:c>
    </x:row>
    <x:row r="1805">
      <x:c r="A1805" s="66" t="n">
        <x:v>15</x:v>
      </x:c>
      <x:c r="B1805" s="44" t="str">
        <x:v>Canola/Rapeseed</x:v>
      </x:c>
      <x:c r="C1805" s="44" t="str">
        <x:v>DK800LL</x:v>
      </x:c>
      <x:c r="D1805" s="66" t="n">
        <x:v>2024</x:v>
      </x:c>
      <x:c r="E1805" s="67" t="n">
        <x:v>1485</x:v>
      </x:c>
      <x:c r="F1805" s="68" t="n">
        <x:v>39.1</x:v>
      </x:c>
      <x:c r="G1805" s="69" t="n">
        <x:f>IF(COUNT(E1805:F1805)=2,E1805*F1805,"")</x:f>
        <x:v>58063.5</x:v>
      </x:c>
    </x:row>
    <x:row r="1806">
      <x:c r="A1806" s="66" t="n">
        <x:v>15</x:v>
      </x:c>
      <x:c r="B1806" s="44" t="str">
        <x:v>Canola/Rapeseed</x:v>
      </x:c>
      <x:c r="C1806" s="44" t="str">
        <x:v>DK800LL</x:v>
      </x:c>
      <x:c r="D1806" s="66" t="n">
        <x:v>2025</x:v>
      </x:c>
      <x:c r="E1806" s="67" t="n">
        <x:v>11596</x:v>
      </x:c>
      <x:c r="F1806" s="68" t="n">
        <x:v>45.8</x:v>
      </x:c>
      <x:c r="G1806" s="69" t="n">
        <x:f>IF(COUNT(E1806:F1806)=2,E1806*F1806,"")</x:f>
        <x:v>531096.7999999999</x:v>
      </x:c>
    </x:row>
    <x:row r="1807">
      <x:c r="A1807" s="66" t="n">
        <x:v>15</x:v>
      </x:c>
      <x:c r="B1807" s="44" t="str">
        <x:v>Canola/Rapeseed</x:v>
      </x:c>
      <x:c r="C1807" s="44" t="str">
        <x:v>DK801LL</x:v>
      </x:c>
      <x:c r="D1807" s="66" t="n">
        <x:v>2021</x:v>
      </x:c>
      <x:c r="E1807" s="67"/>
      <x:c r="F1807" s="68"/>
      <x:c r="G1807" s="69" t="str">
        <x:f>IF(COUNT(E1807:F1807)=2,E1807*F1807,"")</x:f>
      </x:c>
    </x:row>
    <x:row r="1808">
      <x:c r="A1808" s="66" t="n">
        <x:v>15</x:v>
      </x:c>
      <x:c r="B1808" s="44" t="str">
        <x:v>Canola/Rapeseed</x:v>
      </x:c>
      <x:c r="C1808" s="44" t="str">
        <x:v>DK801LL</x:v>
      </x:c>
      <x:c r="D1808" s="66" t="n">
        <x:v>2022</x:v>
      </x:c>
      <x:c r="E1808" s="67"/>
      <x:c r="F1808" s="68"/>
      <x:c r="G1808" s="69" t="str">
        <x:f>IF(COUNT(E1808:F1808)=2,E1808*F1808,"")</x:f>
      </x:c>
    </x:row>
    <x:row r="1809">
      <x:c r="A1809" s="66" t="n">
        <x:v>15</x:v>
      </x:c>
      <x:c r="B1809" s="44" t="str">
        <x:v>Canola/Rapeseed</x:v>
      </x:c>
      <x:c r="C1809" s="44" t="str">
        <x:v>DK801LL</x:v>
      </x:c>
      <x:c r="D1809" s="66" t="n">
        <x:v>2023</x:v>
      </x:c>
      <x:c r="E1809" s="67"/>
      <x:c r="F1809" s="68"/>
      <x:c r="G1809" s="69" t="str">
        <x:f>IF(COUNT(E1809:F1809)=2,E1809*F1809,"")</x:f>
      </x:c>
    </x:row>
    <x:row r="1810">
      <x:c r="A1810" s="66" t="n">
        <x:v>15</x:v>
      </x:c>
      <x:c r="B1810" s="44" t="str">
        <x:v>Canola/Rapeseed</x:v>
      </x:c>
      <x:c r="C1810" s="44" t="str">
        <x:v>DK801LL</x:v>
      </x:c>
      <x:c r="D1810" s="66" t="n">
        <x:v>2024</x:v>
      </x:c>
      <x:c r="E1810" s="67"/>
      <x:c r="F1810" s="68"/>
      <x:c r="G1810" s="69" t="str">
        <x:f>IF(COUNT(E1810:F1810)=2,E1810*F1810,"")</x:f>
      </x:c>
    </x:row>
    <x:row r="1811">
      <x:c r="A1811" s="66" t="n">
        <x:v>15</x:v>
      </x:c>
      <x:c r="B1811" s="44" t="str">
        <x:v>Canola/Rapeseed</x:v>
      </x:c>
      <x:c r="C1811" s="44" t="str">
        <x:v>DK801LL</x:v>
      </x:c>
      <x:c r="D1811" s="66" t="n">
        <x:v>2025</x:v>
      </x:c>
      <x:c r="E1811" s="67" t="n">
        <x:v>3063</x:v>
      </x:c>
      <x:c r="F1811" s="68" t="n">
        <x:v>50</x:v>
      </x:c>
      <x:c r="G1811" s="69" t="n">
        <x:f>IF(COUNT(E1811:F1811)=2,E1811*F1811,"")</x:f>
        <x:v>153150</x:v>
      </x:c>
    </x:row>
    <x:row r="1812">
      <x:c r="A1812" s="66" t="n">
        <x:v>15</x:v>
      </x:c>
      <x:c r="B1812" s="44" t="str">
        <x:v>Canola/Rapeseed</x:v>
      </x:c>
      <x:c r="C1812" s="44" t="str">
        <x:v>DK900TF</x:v>
      </x:c>
      <x:c r="D1812" s="66" t="n">
        <x:v>2021</x:v>
      </x:c>
      <x:c r="E1812" s="67"/>
      <x:c r="F1812" s="68"/>
      <x:c r="G1812" s="69" t="str">
        <x:f>IF(COUNT(E1812:F1812)=2,E1812*F1812,"")</x:f>
      </x:c>
    </x:row>
    <x:row r="1813">
      <x:c r="A1813" s="66" t="n">
        <x:v>15</x:v>
      </x:c>
      <x:c r="B1813" s="44" t="str">
        <x:v>Canola/Rapeseed</x:v>
      </x:c>
      <x:c r="C1813" s="44" t="str">
        <x:v>DK900TF</x:v>
      </x:c>
      <x:c r="D1813" s="66" t="n">
        <x:v>2022</x:v>
      </x:c>
      <x:c r="E1813" s="67"/>
      <x:c r="F1813" s="68"/>
      <x:c r="G1813" s="69" t="str">
        <x:f>IF(COUNT(E1813:F1813)=2,E1813*F1813,"")</x:f>
      </x:c>
    </x:row>
    <x:row r="1814">
      <x:c r="A1814" s="66" t="n">
        <x:v>15</x:v>
      </x:c>
      <x:c r="B1814" s="44" t="str">
        <x:v>Canola/Rapeseed</x:v>
      </x:c>
      <x:c r="C1814" s="44" t="str">
        <x:v>DK900TF</x:v>
      </x:c>
      <x:c r="D1814" s="66" t="n">
        <x:v>2023</x:v>
      </x:c>
      <x:c r="E1814" s="67" t="n">
        <x:v>7022</x:v>
      </x:c>
      <x:c r="F1814" s="68" t="n">
        <x:v>38.2</x:v>
      </x:c>
      <x:c r="G1814" s="69" t="n">
        <x:f>IF(COUNT(E1814:F1814)=2,E1814*F1814,"")</x:f>
        <x:v>268240.4</x:v>
      </x:c>
    </x:row>
    <x:row r="1815">
      <x:c r="A1815" s="66" t="n">
        <x:v>15</x:v>
      </x:c>
      <x:c r="B1815" s="44" t="str">
        <x:v>Canola/Rapeseed</x:v>
      </x:c>
      <x:c r="C1815" s="44" t="str">
        <x:v>DK900TF</x:v>
      </x:c>
      <x:c r="D1815" s="66" t="n">
        <x:v>2024</x:v>
      </x:c>
      <x:c r="E1815" s="67" t="n">
        <x:v>10119</x:v>
      </x:c>
      <x:c r="F1815" s="68" t="n">
        <x:v>34.9</x:v>
      </x:c>
      <x:c r="G1815" s="69" t="n">
        <x:f>IF(COUNT(E1815:F1815)=2,E1815*F1815,"")</x:f>
        <x:v>353153.1</x:v>
      </x:c>
    </x:row>
    <x:row r="1816">
      <x:c r="A1816" s="66" t="n">
        <x:v>15</x:v>
      </x:c>
      <x:c r="B1816" s="44" t="str">
        <x:v>Canola/Rapeseed</x:v>
      </x:c>
      <x:c r="C1816" s="44" t="str">
        <x:v>DK900TF</x:v>
      </x:c>
      <x:c r="D1816" s="66" t="n">
        <x:v>2025</x:v>
      </x:c>
      <x:c r="E1816" s="67" t="n">
        <x:v>4635</x:v>
      </x:c>
      <x:c r="F1816" s="68" t="n">
        <x:v>47.2</x:v>
      </x:c>
      <x:c r="G1816" s="69" t="n">
        <x:f>IF(COUNT(E1816:F1816)=2,E1816*F1816,"")</x:f>
        <x:v>218772</x:v>
      </x:c>
    </x:row>
    <x:row r="1817">
      <x:c r="A1817" s="66" t="n">
        <x:v>15</x:v>
      </x:c>
      <x:c r="B1817" s="44" t="str">
        <x:v>Canola/Rapeseed</x:v>
      </x:c>
      <x:c r="C1817" s="44" t="str">
        <x:v>DK901TF</x:v>
      </x:c>
      <x:c r="D1817" s="66" t="n">
        <x:v>2021</x:v>
      </x:c>
      <x:c r="E1817" s="67"/>
      <x:c r="F1817" s="68"/>
      <x:c r="G1817" s="69" t="str">
        <x:f>IF(COUNT(E1817:F1817)=2,E1817*F1817,"")</x:f>
      </x:c>
    </x:row>
    <x:row r="1818">
      <x:c r="A1818" s="66" t="n">
        <x:v>15</x:v>
      </x:c>
      <x:c r="B1818" s="44" t="str">
        <x:v>Canola/Rapeseed</x:v>
      </x:c>
      <x:c r="C1818" s="44" t="str">
        <x:v>DK901TF</x:v>
      </x:c>
      <x:c r="D1818" s="66" t="n">
        <x:v>2022</x:v>
      </x:c>
      <x:c r="E1818" s="67"/>
      <x:c r="F1818" s="68"/>
      <x:c r="G1818" s="69" t="str">
        <x:f>IF(COUNT(E1818:F1818)=2,E1818*F1818,"")</x:f>
      </x:c>
    </x:row>
    <x:row r="1819">
      <x:c r="A1819" s="66" t="n">
        <x:v>15</x:v>
      </x:c>
      <x:c r="B1819" s="44" t="str">
        <x:v>Canola/Rapeseed</x:v>
      </x:c>
      <x:c r="C1819" s="44" t="str">
        <x:v>DK901TF</x:v>
      </x:c>
      <x:c r="D1819" s="66" t="n">
        <x:v>2023</x:v>
      </x:c>
      <x:c r="E1819" s="67" t="n">
        <x:v>1351</x:v>
      </x:c>
      <x:c r="F1819" s="68" t="n">
        <x:v>52.8</x:v>
      </x:c>
      <x:c r="G1819" s="69" t="n">
        <x:f>IF(COUNT(E1819:F1819)=2,E1819*F1819,"")</x:f>
        <x:v>71332.8</x:v>
      </x:c>
    </x:row>
    <x:row r="1820">
      <x:c r="A1820" s="66" t="n">
        <x:v>15</x:v>
      </x:c>
      <x:c r="B1820" s="44" t="str">
        <x:v>Canola/Rapeseed</x:v>
      </x:c>
      <x:c r="C1820" s="44" t="str">
        <x:v>DK901TF</x:v>
      </x:c>
      <x:c r="D1820" s="66" t="n">
        <x:v>2024</x:v>
      </x:c>
      <x:c r="E1820" s="67" t="n">
        <x:v>1698</x:v>
      </x:c>
      <x:c r="F1820" s="68" t="n">
        <x:v>32.5</x:v>
      </x:c>
      <x:c r="G1820" s="69" t="n">
        <x:f>IF(COUNT(E1820:F1820)=2,E1820*F1820,"")</x:f>
        <x:v>55185</x:v>
      </x:c>
    </x:row>
    <x:row r="1821">
      <x:c r="A1821" s="66" t="n">
        <x:v>15</x:v>
      </x:c>
      <x:c r="B1821" s="44" t="str">
        <x:v>Canola/Rapeseed</x:v>
      </x:c>
      <x:c r="C1821" s="44" t="str">
        <x:v>DK901TF</x:v>
      </x:c>
      <x:c r="D1821" s="66" t="n">
        <x:v>2025</x:v>
      </x:c>
      <x:c r="E1821" s="67" t="n">
        <x:v>922</x:v>
      </x:c>
      <x:c r="F1821" s="68" t="n">
        <x:v>42.4</x:v>
      </x:c>
      <x:c r="G1821" s="69" t="n">
        <x:f>IF(COUNT(E1821:F1821)=2,E1821*F1821,"")</x:f>
        <x:v>39092.799999999996</x:v>
      </x:c>
    </x:row>
    <x:row r="1822">
      <x:c r="A1822" s="66" t="n">
        <x:v>15</x:v>
      </x:c>
      <x:c r="B1822" s="44" t="str">
        <x:v>Canola/Rapeseed</x:v>
      </x:c>
      <x:c r="C1822" s="44" t="str">
        <x:v>DK902TF</x:v>
      </x:c>
      <x:c r="D1822" s="66" t="n">
        <x:v>2021</x:v>
      </x:c>
      <x:c r="E1822" s="67"/>
      <x:c r="F1822" s="68"/>
      <x:c r="G1822" s="69" t="str">
        <x:f>IF(COUNT(E1822:F1822)=2,E1822*F1822,"")</x:f>
      </x:c>
    </x:row>
    <x:row r="1823">
      <x:c r="A1823" s="66" t="n">
        <x:v>15</x:v>
      </x:c>
      <x:c r="B1823" s="44" t="str">
        <x:v>Canola/Rapeseed</x:v>
      </x:c>
      <x:c r="C1823" s="44" t="str">
        <x:v>DK902TF</x:v>
      </x:c>
      <x:c r="D1823" s="66" t="n">
        <x:v>2022</x:v>
      </x:c>
      <x:c r="E1823" s="67"/>
      <x:c r="F1823" s="68"/>
      <x:c r="G1823" s="69" t="str">
        <x:f>IF(COUNT(E1823:F1823)=2,E1823*F1823,"")</x:f>
      </x:c>
    </x:row>
    <x:row r="1824">
      <x:c r="A1824" s="66" t="n">
        <x:v>15</x:v>
      </x:c>
      <x:c r="B1824" s="44" t="str">
        <x:v>Canola/Rapeseed</x:v>
      </x:c>
      <x:c r="C1824" s="44" t="str">
        <x:v>DK902TF</x:v>
      </x:c>
      <x:c r="D1824" s="66" t="n">
        <x:v>2023</x:v>
      </x:c>
      <x:c r="E1824" s="67" t="n">
        <x:v>1830</x:v>
      </x:c>
      <x:c r="F1824" s="68" t="n">
        <x:v>42.8</x:v>
      </x:c>
      <x:c r="G1824" s="69" t="n">
        <x:f>IF(COUNT(E1824:F1824)=2,E1824*F1824,"")</x:f>
        <x:v>78324</x:v>
      </x:c>
    </x:row>
    <x:row r="1825">
      <x:c r="A1825" s="66" t="n">
        <x:v>15</x:v>
      </x:c>
      <x:c r="B1825" s="44" t="str">
        <x:v>Canola/Rapeseed</x:v>
      </x:c>
      <x:c r="C1825" s="44" t="str">
        <x:v>DK902TF</x:v>
      </x:c>
      <x:c r="D1825" s="66" t="n">
        <x:v>2024</x:v>
      </x:c>
      <x:c r="E1825" s="67" t="n">
        <x:v>5032</x:v>
      </x:c>
      <x:c r="F1825" s="68" t="n">
        <x:v>37.3</x:v>
      </x:c>
      <x:c r="G1825" s="69" t="n">
        <x:f>IF(COUNT(E1825:F1825)=2,E1825*F1825,"")</x:f>
        <x:v>187693.59999999998</x:v>
      </x:c>
    </x:row>
    <x:row r="1826">
      <x:c r="A1826" s="66" t="n">
        <x:v>15</x:v>
      </x:c>
      <x:c r="B1826" s="44" t="str">
        <x:v>Canola/Rapeseed</x:v>
      </x:c>
      <x:c r="C1826" s="44" t="str">
        <x:v>DK902TF</x:v>
      </x:c>
      <x:c r="D1826" s="66" t="n">
        <x:v>2025</x:v>
      </x:c>
      <x:c r="E1826" s="67" t="n">
        <x:v>1249</x:v>
      </x:c>
      <x:c r="F1826" s="68" t="n">
        <x:v>36.4</x:v>
      </x:c>
      <x:c r="G1826" s="69" t="n">
        <x:f>IF(COUNT(E1826:F1826)=2,E1826*F1826,"")</x:f>
        <x:v>45463.6</x:v>
      </x:c>
    </x:row>
    <x:row r="1827">
      <x:c r="A1827" s="66" t="n">
        <x:v>15</x:v>
      </x:c>
      <x:c r="B1827" s="44" t="str">
        <x:v>Canola/Rapeseed</x:v>
      </x:c>
      <x:c r="C1827" s="44" t="str">
        <x:v>LR354PC</x:v>
      </x:c>
      <x:c r="D1827" s="66" t="n">
        <x:v>2021</x:v>
      </x:c>
      <x:c r="E1827" s="67"/>
      <x:c r="F1827" s="68"/>
      <x:c r="G1827" s="69" t="str">
        <x:f>IF(COUNT(E1827:F1827)=2,E1827*F1827,"")</x:f>
      </x:c>
    </x:row>
    <x:row r="1828">
      <x:c r="A1828" s="66" t="n">
        <x:v>15</x:v>
      </x:c>
      <x:c r="B1828" s="44" t="str">
        <x:v>Canola/Rapeseed</x:v>
      </x:c>
      <x:c r="C1828" s="44" t="str">
        <x:v>LR354PC</x:v>
      </x:c>
      <x:c r="D1828" s="66" t="n">
        <x:v>2022</x:v>
      </x:c>
      <x:c r="E1828" s="67"/>
      <x:c r="F1828" s="68"/>
      <x:c r="G1828" s="69" t="str">
        <x:f>IF(COUNT(E1828:F1828)=2,E1828*F1828,"")</x:f>
      </x:c>
    </x:row>
    <x:row r="1829">
      <x:c r="A1829" s="66" t="n">
        <x:v>15</x:v>
      </x:c>
      <x:c r="B1829" s="44" t="str">
        <x:v>Canola/Rapeseed</x:v>
      </x:c>
      <x:c r="C1829" s="44" t="str">
        <x:v>LR354PC</x:v>
      </x:c>
      <x:c r="D1829" s="66" t="n">
        <x:v>2023</x:v>
      </x:c>
      <x:c r="E1829" s="67" t="n">
        <x:v>4338</x:v>
      </x:c>
      <x:c r="F1829" s="68" t="n">
        <x:v>36.8</x:v>
      </x:c>
      <x:c r="G1829" s="69" t="n">
        <x:f>IF(COUNT(E1829:F1829)=2,E1829*F1829,"")</x:f>
        <x:v>159638.4</x:v>
      </x:c>
    </x:row>
    <x:row r="1830">
      <x:c r="A1830" s="66" t="n">
        <x:v>15</x:v>
      </x:c>
      <x:c r="B1830" s="44" t="str">
        <x:v>Canola/Rapeseed</x:v>
      </x:c>
      <x:c r="C1830" s="44" t="str">
        <x:v>LR354PC</x:v>
      </x:c>
      <x:c r="D1830" s="66" t="n">
        <x:v>2024</x:v>
      </x:c>
      <x:c r="E1830" s="67" t="n">
        <x:v>3958</x:v>
      </x:c>
      <x:c r="F1830" s="68" t="n">
        <x:v>37.4</x:v>
      </x:c>
      <x:c r="G1830" s="69" t="n">
        <x:f>IF(COUNT(E1830:F1830)=2,E1830*F1830,"")</x:f>
        <x:v>148029.19999999998</x:v>
      </x:c>
    </x:row>
    <x:row r="1831">
      <x:c r="A1831" s="66" t="n">
        <x:v>15</x:v>
      </x:c>
      <x:c r="B1831" s="44" t="str">
        <x:v>Canola/Rapeseed</x:v>
      </x:c>
      <x:c r="C1831" s="44" t="str">
        <x:v>LR354PC</x:v>
      </x:c>
      <x:c r="D1831" s="66" t="n">
        <x:v>2025</x:v>
      </x:c>
      <x:c r="E1831" s="67" t="n">
        <x:v>3881</x:v>
      </x:c>
      <x:c r="F1831" s="68" t="n">
        <x:v>51</x:v>
      </x:c>
      <x:c r="G1831" s="69" t="n">
        <x:f>IF(COUNT(E1831:F1831)=2,E1831*F1831,"")</x:f>
        <x:v>197931</x:v>
      </x:c>
    </x:row>
    <x:row r="1832">
      <x:c r="A1832" s="66" t="n">
        <x:v>15</x:v>
      </x:c>
      <x:c r="B1832" s="44" t="str">
        <x:v>Canola/Rapeseed</x:v>
      </x:c>
      <x:c r="C1832" s="44" t="str">
        <x:v>L140P</x:v>
      </x:c>
      <x:c r="D1832" s="66" t="n">
        <x:v>2021</x:v>
      </x:c>
      <x:c r="E1832" s="67"/>
      <x:c r="F1832" s="68"/>
      <x:c r="G1832" s="69" t="str">
        <x:f>IF(COUNT(E1832:F1832)=2,E1832*F1832,"")</x:f>
      </x:c>
    </x:row>
    <x:row r="1833">
      <x:c r="A1833" s="66" t="n">
        <x:v>15</x:v>
      </x:c>
      <x:c r="B1833" s="44" t="str">
        <x:v>Canola/Rapeseed</x:v>
      </x:c>
      <x:c r="C1833" s="44" t="str">
        <x:v>L140P</x:v>
      </x:c>
      <x:c r="D1833" s="66" t="n">
        <x:v>2022</x:v>
      </x:c>
      <x:c r="E1833" s="67"/>
      <x:c r="F1833" s="68"/>
      <x:c r="G1833" s="69" t="str">
        <x:f>IF(COUNT(E1833:F1833)=2,E1833*F1833,"")</x:f>
      </x:c>
    </x:row>
    <x:row r="1834">
      <x:c r="A1834" s="66" t="n">
        <x:v>15</x:v>
      </x:c>
      <x:c r="B1834" s="44" t="str">
        <x:v>Canola/Rapeseed</x:v>
      </x:c>
      <x:c r="C1834" s="44" t="str">
        <x:v>L140P</x:v>
      </x:c>
      <x:c r="D1834" s="66" t="n">
        <x:v>2023</x:v>
      </x:c>
      <x:c r="E1834" s="67"/>
      <x:c r="F1834" s="68"/>
      <x:c r="G1834" s="69" t="str">
        <x:f>IF(COUNT(E1834:F1834)=2,E1834*F1834,"")</x:f>
      </x:c>
    </x:row>
    <x:row r="1835">
      <x:c r="A1835" s="66" t="n">
        <x:v>15</x:v>
      </x:c>
      <x:c r="B1835" s="44" t="str">
        <x:v>Canola/Rapeseed</x:v>
      </x:c>
      <x:c r="C1835" s="44" t="str">
        <x:v>L140P</x:v>
      </x:c>
      <x:c r="D1835" s="66" t="n">
        <x:v>2024</x:v>
      </x:c>
      <x:c r="E1835" s="67"/>
      <x:c r="F1835" s="68"/>
      <x:c r="G1835" s="69" t="str">
        <x:f>IF(COUNT(E1835:F1835)=2,E1835*F1835,"")</x:f>
      </x:c>
    </x:row>
    <x:row r="1836">
      <x:c r="A1836" s="66" t="n">
        <x:v>15</x:v>
      </x:c>
      <x:c r="B1836" s="44" t="str">
        <x:v>Canola/Rapeseed</x:v>
      </x:c>
      <x:c r="C1836" s="44" t="str">
        <x:v>L140P</x:v>
      </x:c>
      <x:c r="D1836" s="66" t="n">
        <x:v>2025</x:v>
      </x:c>
      <x:c r="E1836" s="67" t="n">
        <x:v>482</x:v>
      </x:c>
      <x:c r="F1836" s="68" t="n">
        <x:v>36.6</x:v>
      </x:c>
      <x:c r="G1836" s="69" t="n">
        <x:f>IF(COUNT(E1836:F1836)=2,E1836*F1836,"")</x:f>
        <x:v>17641.2</x:v>
      </x:c>
    </x:row>
    <x:row r="1837">
      <x:c r="A1837" s="66" t="n">
        <x:v>15</x:v>
      </x:c>
      <x:c r="B1837" s="44" t="str">
        <x:v>Canola/Rapeseed</x:v>
      </x:c>
      <x:c r="C1837" s="44" t="str">
        <x:v>L150</x:v>
      </x:c>
      <x:c r="D1837" s="66" t="n">
        <x:v>2021</x:v>
      </x:c>
      <x:c r="E1837" s="67"/>
      <x:c r="F1837" s="68"/>
      <x:c r="G1837" s="69" t="str">
        <x:f>IF(COUNT(E1837:F1837)=2,E1837*F1837,"")</x:f>
      </x:c>
    </x:row>
    <x:row r="1838">
      <x:c r="A1838" s="66" t="n">
        <x:v>15</x:v>
      </x:c>
      <x:c r="B1838" s="44" t="str">
        <x:v>Canola/Rapeseed</x:v>
      </x:c>
      <x:c r="C1838" s="44" t="str">
        <x:v>L150</x:v>
      </x:c>
      <x:c r="D1838" s="66" t="n">
        <x:v>2022</x:v>
      </x:c>
      <x:c r="E1838" s="67"/>
      <x:c r="F1838" s="68"/>
      <x:c r="G1838" s="69" t="str">
        <x:f>IF(COUNT(E1838:F1838)=2,E1838*F1838,"")</x:f>
      </x:c>
    </x:row>
    <x:row r="1839">
      <x:c r="A1839" s="66" t="n">
        <x:v>15</x:v>
      </x:c>
      <x:c r="B1839" s="44" t="str">
        <x:v>Canola/Rapeseed</x:v>
      </x:c>
      <x:c r="C1839" s="44" t="str">
        <x:v>L150</x:v>
      </x:c>
      <x:c r="D1839" s="66" t="n">
        <x:v>2023</x:v>
      </x:c>
      <x:c r="E1839" s="67"/>
      <x:c r="F1839" s="68"/>
      <x:c r="G1839" s="69" t="str">
        <x:f>IF(COUNT(E1839:F1839)=2,E1839*F1839,"")</x:f>
      </x:c>
    </x:row>
    <x:row r="1840">
      <x:c r="A1840" s="66" t="n">
        <x:v>15</x:v>
      </x:c>
      <x:c r="B1840" s="44" t="str">
        <x:v>Canola/Rapeseed</x:v>
      </x:c>
      <x:c r="C1840" s="44" t="str">
        <x:v>L150</x:v>
      </x:c>
      <x:c r="D1840" s="66" t="n">
        <x:v>2024</x:v>
      </x:c>
      <x:c r="E1840" s="67"/>
      <x:c r="F1840" s="68"/>
      <x:c r="G1840" s="69" t="str">
        <x:f>IF(COUNT(E1840:F1840)=2,E1840*F1840,"")</x:f>
      </x:c>
    </x:row>
    <x:row r="1841">
      <x:c r="A1841" s="66" t="n">
        <x:v>15</x:v>
      </x:c>
      <x:c r="B1841" s="44" t="str">
        <x:v>Canola/Rapeseed</x:v>
      </x:c>
      <x:c r="C1841" s="44" t="str">
        <x:v>L150</x:v>
      </x:c>
      <x:c r="D1841" s="66" t="n">
        <x:v>2025</x:v>
      </x:c>
      <x:c r="E1841" s="67" t="n">
        <x:v>1306</x:v>
      </x:c>
      <x:c r="F1841" s="68" t="n">
        <x:v>38</x:v>
      </x:c>
      <x:c r="G1841" s="69" t="n">
        <x:f>IF(COUNT(E1841:F1841)=2,E1841*F1841,"")</x:f>
        <x:v>49628</x:v>
      </x:c>
    </x:row>
    <x:row r="1842">
      <x:c r="A1842" s="66" t="n">
        <x:v>15</x:v>
      </x:c>
      <x:c r="B1842" s="44" t="str">
        <x:v>Canola/Rapeseed</x:v>
      </x:c>
      <x:c r="C1842" s="44" t="str">
        <x:v>L233P</x:v>
      </x:c>
      <x:c r="D1842" s="66" t="n">
        <x:v>2021</x:v>
      </x:c>
      <x:c r="E1842" s="67" t="n">
        <x:v>142298</x:v>
      </x:c>
      <x:c r="F1842" s="68" t="n">
        <x:v>20.8</x:v>
      </x:c>
      <x:c r="G1842" s="69" t="n">
        <x:f>IF(COUNT(E1842:F1842)=2,E1842*F1842,"")</x:f>
        <x:v>2959798.4</x:v>
      </x:c>
    </x:row>
    <x:row r="1843">
      <x:c r="A1843" s="66" t="n">
        <x:v>15</x:v>
      </x:c>
      <x:c r="B1843" s="44" t="str">
        <x:v>Canola/Rapeseed</x:v>
      </x:c>
      <x:c r="C1843" s="44" t="str">
        <x:v>L233P</x:v>
      </x:c>
      <x:c r="D1843" s="66" t="n">
        <x:v>2022</x:v>
      </x:c>
      <x:c r="E1843" s="67" t="n">
        <x:v>122703</x:v>
      </x:c>
      <x:c r="F1843" s="68" t="n">
        <x:v>44.1</x:v>
      </x:c>
      <x:c r="G1843" s="69" t="n">
        <x:f>IF(COUNT(E1843:F1843)=2,E1843*F1843,"")</x:f>
        <x:v>5411202.3</x:v>
      </x:c>
    </x:row>
    <x:row r="1844">
      <x:c r="A1844" s="66" t="n">
        <x:v>15</x:v>
      </x:c>
      <x:c r="B1844" s="44" t="str">
        <x:v>Canola/Rapeseed</x:v>
      </x:c>
      <x:c r="C1844" s="44" t="str">
        <x:v>L233P</x:v>
      </x:c>
      <x:c r="D1844" s="66" t="n">
        <x:v>2023</x:v>
      </x:c>
      <x:c r="E1844" s="67" t="n">
        <x:v>85155</x:v>
      </x:c>
      <x:c r="F1844" s="68" t="n">
        <x:v>40.3</x:v>
      </x:c>
      <x:c r="G1844" s="69" t="n">
        <x:f>IF(COUNT(E1844:F1844)=2,E1844*F1844,"")</x:f>
        <x:v>3431746.4999999995</x:v>
      </x:c>
    </x:row>
    <x:row r="1845">
      <x:c r="A1845" s="66" t="n">
        <x:v>15</x:v>
      </x:c>
      <x:c r="B1845" s="44" t="str">
        <x:v>Canola/Rapeseed</x:v>
      </x:c>
      <x:c r="C1845" s="44" t="str">
        <x:v>L233P</x:v>
      </x:c>
      <x:c r="D1845" s="66" t="n">
        <x:v>2024</x:v>
      </x:c>
      <x:c r="E1845" s="67" t="n">
        <x:v>41444</x:v>
      </x:c>
      <x:c r="F1845" s="68" t="n">
        <x:v>35.6</x:v>
      </x:c>
      <x:c r="G1845" s="69" t="n">
        <x:f>IF(COUNT(E1845:F1845)=2,E1845*F1845,"")</x:f>
        <x:v>1475406.4000000001</x:v>
      </x:c>
    </x:row>
    <x:row r="1846">
      <x:c r="A1846" s="66" t="n">
        <x:v>15</x:v>
      </x:c>
      <x:c r="B1846" s="44" t="str">
        <x:v>Canola/Rapeseed</x:v>
      </x:c>
      <x:c r="C1846" s="44" t="str">
        <x:v>L233P</x:v>
      </x:c>
      <x:c r="D1846" s="66" t="n">
        <x:v>2025</x:v>
      </x:c>
      <x:c r="E1846" s="67" t="n">
        <x:v>7257</x:v>
      </x:c>
      <x:c r="F1846" s="68" t="n">
        <x:v>41.4</x:v>
      </x:c>
      <x:c r="G1846" s="69" t="n">
        <x:f>IF(COUNT(E1846:F1846)=2,E1846*F1846,"")</x:f>
        <x:v>300439.8</x:v>
      </x:c>
    </x:row>
    <x:row r="1847">
      <x:c r="A1847" s="66" t="n">
        <x:v>15</x:v>
      </x:c>
      <x:c r="B1847" s="44" t="str">
        <x:v>Canola/Rapeseed</x:v>
      </x:c>
      <x:c r="C1847" s="44" t="str">
        <x:v>L234PC</x:v>
      </x:c>
      <x:c r="D1847" s="66" t="n">
        <x:v>2021</x:v>
      </x:c>
      <x:c r="E1847" s="67" t="n">
        <x:v>11070</x:v>
      </x:c>
      <x:c r="F1847" s="68" t="n">
        <x:v>21.3</x:v>
      </x:c>
      <x:c r="G1847" s="69" t="n">
        <x:f>IF(COUNT(E1847:F1847)=2,E1847*F1847,"")</x:f>
        <x:v>235791</x:v>
      </x:c>
    </x:row>
    <x:row r="1848">
      <x:c r="A1848" s="66" t="n">
        <x:v>15</x:v>
      </x:c>
      <x:c r="B1848" s="44" t="str">
        <x:v>Canola/Rapeseed</x:v>
      </x:c>
      <x:c r="C1848" s="44" t="str">
        <x:v>L234PC</x:v>
      </x:c>
      <x:c r="D1848" s="66" t="n">
        <x:v>2022</x:v>
      </x:c>
      <x:c r="E1848" s="67" t="n">
        <x:v>2911</x:v>
      </x:c>
      <x:c r="F1848" s="68" t="n">
        <x:v>43.4</x:v>
      </x:c>
      <x:c r="G1848" s="69" t="n">
        <x:f>IF(COUNT(E1848:F1848)=2,E1848*F1848,"")</x:f>
        <x:v>126337.4</x:v>
      </x:c>
    </x:row>
    <x:row r="1849">
      <x:c r="A1849" s="66" t="n">
        <x:v>15</x:v>
      </x:c>
      <x:c r="B1849" s="44" t="str">
        <x:v>Canola/Rapeseed</x:v>
      </x:c>
      <x:c r="C1849" s="44" t="str">
        <x:v>L234PC</x:v>
      </x:c>
      <x:c r="D1849" s="66" t="n">
        <x:v>2023</x:v>
      </x:c>
      <x:c r="E1849" s="67" t="n">
        <x:v>2349</x:v>
      </x:c>
      <x:c r="F1849" s="68" t="n">
        <x:v>45.7</x:v>
      </x:c>
      <x:c r="G1849" s="69" t="n">
        <x:f>IF(COUNT(E1849:F1849)=2,E1849*F1849,"")</x:f>
        <x:v>107349.3</x:v>
      </x:c>
    </x:row>
    <x:row r="1850">
      <x:c r="A1850" s="66" t="n">
        <x:v>15</x:v>
      </x:c>
      <x:c r="B1850" s="44" t="str">
        <x:v>Canola/Rapeseed</x:v>
      </x:c>
      <x:c r="C1850" s="44" t="str">
        <x:v>L234PC</x:v>
      </x:c>
      <x:c r="D1850" s="66" t="n">
        <x:v>2024</x:v>
      </x:c>
      <x:c r="E1850" s="67" t="n">
        <x:v>1449</x:v>
      </x:c>
      <x:c r="F1850" s="68" t="n">
        <x:v>42.8</x:v>
      </x:c>
      <x:c r="G1850" s="69" t="n">
        <x:f>IF(COUNT(E1850:F1850)=2,E1850*F1850,"")</x:f>
        <x:v>62017.2</x:v>
      </x:c>
    </x:row>
    <x:row r="1851">
      <x:c r="A1851" s="66" t="n">
        <x:v>15</x:v>
      </x:c>
      <x:c r="B1851" s="44" t="str">
        <x:v>Canola/Rapeseed</x:v>
      </x:c>
      <x:c r="C1851" s="44" t="str">
        <x:v>L234PC</x:v>
      </x:c>
      <x:c r="D1851" s="66" t="n">
        <x:v>2025</x:v>
      </x:c>
      <x:c r="E1851" s="67" t="n">
        <x:v>1995</x:v>
      </x:c>
      <x:c r="F1851" s="68" t="n">
        <x:v>42.9</x:v>
      </x:c>
      <x:c r="G1851" s="69" t="n">
        <x:f>IF(COUNT(E1851:F1851)=2,E1851*F1851,"")</x:f>
        <x:v>85585.5</x:v>
      </x:c>
    </x:row>
    <x:row r="1852">
      <x:c r="A1852" s="66" t="n">
        <x:v>15</x:v>
      </x:c>
      <x:c r="B1852" s="44" t="str">
        <x:v>Canola/Rapeseed</x:v>
      </x:c>
      <x:c r="C1852" s="44" t="str">
        <x:v>L330PC</x:v>
      </x:c>
      <x:c r="D1852" s="66" t="n">
        <x:v>2021</x:v>
      </x:c>
      <x:c r="E1852" s="67"/>
      <x:c r="F1852" s="68"/>
      <x:c r="G1852" s="69" t="str">
        <x:f>IF(COUNT(E1852:F1852)=2,E1852*F1852,"")</x:f>
      </x:c>
    </x:row>
    <x:row r="1853">
      <x:c r="A1853" s="66" t="n">
        <x:v>15</x:v>
      </x:c>
      <x:c r="B1853" s="44" t="str">
        <x:v>Canola/Rapeseed</x:v>
      </x:c>
      <x:c r="C1853" s="44" t="str">
        <x:v>L330PC</x:v>
      </x:c>
      <x:c r="D1853" s="66" t="n">
        <x:v>2022</x:v>
      </x:c>
      <x:c r="E1853" s="67"/>
      <x:c r="F1853" s="68"/>
      <x:c r="G1853" s="69" t="str">
        <x:f>IF(COUNT(E1853:F1853)=2,E1853*F1853,"")</x:f>
      </x:c>
    </x:row>
    <x:row r="1854">
      <x:c r="A1854" s="66" t="n">
        <x:v>15</x:v>
      </x:c>
      <x:c r="B1854" s="44" t="str">
        <x:v>Canola/Rapeseed</x:v>
      </x:c>
      <x:c r="C1854" s="44" t="str">
        <x:v>L330PC</x:v>
      </x:c>
      <x:c r="D1854" s="66" t="n">
        <x:v>2023</x:v>
      </x:c>
      <x:c r="E1854" s="67"/>
      <x:c r="F1854" s="68"/>
      <x:c r="G1854" s="69" t="str">
        <x:f>IF(COUNT(E1854:F1854)=2,E1854*F1854,"")</x:f>
      </x:c>
    </x:row>
    <x:row r="1855">
      <x:c r="A1855" s="66" t="n">
        <x:v>15</x:v>
      </x:c>
      <x:c r="B1855" s="44" t="str">
        <x:v>Canola/Rapeseed</x:v>
      </x:c>
      <x:c r="C1855" s="44" t="str">
        <x:v>L330PC</x:v>
      </x:c>
      <x:c r="D1855" s="66" t="n">
        <x:v>2024</x:v>
      </x:c>
      <x:c r="E1855" s="67"/>
      <x:c r="F1855" s="68"/>
      <x:c r="G1855" s="69" t="str">
        <x:f>IF(COUNT(E1855:F1855)=2,E1855*F1855,"")</x:f>
      </x:c>
    </x:row>
    <x:row r="1856">
      <x:c r="A1856" s="66" t="n">
        <x:v>15</x:v>
      </x:c>
      <x:c r="B1856" s="44" t="str">
        <x:v>Canola/Rapeseed</x:v>
      </x:c>
      <x:c r="C1856" s="44" t="str">
        <x:v>L330PC</x:v>
      </x:c>
      <x:c r="D1856" s="66" t="n">
        <x:v>2025</x:v>
      </x:c>
      <x:c r="E1856" s="67" t="n">
        <x:v>25338</x:v>
      </x:c>
      <x:c r="F1856" s="68" t="n">
        <x:v>47.2</x:v>
      </x:c>
      <x:c r="G1856" s="69" t="n">
        <x:f>IF(COUNT(E1856:F1856)=2,E1856*F1856,"")</x:f>
        <x:v>1195953.6</x:v>
      </x:c>
    </x:row>
    <x:row r="1857">
      <x:c r="A1857" s="66" t="n">
        <x:v>15</x:v>
      </x:c>
      <x:c r="B1857" s="44" t="str">
        <x:v>Canola/Rapeseed</x:v>
      </x:c>
      <x:c r="C1857" s="44" t="str">
        <x:v>L333PC</x:v>
      </x:c>
      <x:c r="D1857" s="66" t="n">
        <x:v>2021</x:v>
      </x:c>
      <x:c r="E1857" s="67"/>
      <x:c r="F1857" s="68"/>
      <x:c r="G1857" s="69" t="str">
        <x:f>IF(COUNT(E1857:F1857)=2,E1857*F1857,"")</x:f>
      </x:c>
    </x:row>
    <x:row r="1858">
      <x:c r="A1858" s="66" t="n">
        <x:v>15</x:v>
      </x:c>
      <x:c r="B1858" s="44" t="str">
        <x:v>Canola/Rapeseed</x:v>
      </x:c>
      <x:c r="C1858" s="44" t="str">
        <x:v>L333PC</x:v>
      </x:c>
      <x:c r="D1858" s="66" t="n">
        <x:v>2022</x:v>
      </x:c>
      <x:c r="E1858" s="67"/>
      <x:c r="F1858" s="68"/>
      <x:c r="G1858" s="69" t="str">
        <x:f>IF(COUNT(E1858:F1858)=2,E1858*F1858,"")</x:f>
      </x:c>
    </x:row>
    <x:row r="1859">
      <x:c r="A1859" s="66" t="n">
        <x:v>15</x:v>
      </x:c>
      <x:c r="B1859" s="44" t="str">
        <x:v>Canola/Rapeseed</x:v>
      </x:c>
      <x:c r="C1859" s="44" t="str">
        <x:v>L333PC</x:v>
      </x:c>
      <x:c r="D1859" s="66" t="n">
        <x:v>2023</x:v>
      </x:c>
      <x:c r="E1859" s="67"/>
      <x:c r="F1859" s="68"/>
      <x:c r="G1859" s="69" t="str">
        <x:f>IF(COUNT(E1859:F1859)=2,E1859*F1859,"")</x:f>
      </x:c>
    </x:row>
    <x:row r="1860">
      <x:c r="A1860" s="66" t="n">
        <x:v>15</x:v>
      </x:c>
      <x:c r="B1860" s="44" t="str">
        <x:v>Canola/Rapeseed</x:v>
      </x:c>
      <x:c r="C1860" s="44" t="str">
        <x:v>L333PC</x:v>
      </x:c>
      <x:c r="D1860" s="66" t="n">
        <x:v>2024</x:v>
      </x:c>
      <x:c r="E1860" s="67"/>
      <x:c r="F1860" s="68"/>
      <x:c r="G1860" s="69" t="str">
        <x:f>IF(COUNT(E1860:F1860)=2,E1860*F1860,"")</x:f>
      </x:c>
    </x:row>
    <x:row r="1861">
      <x:c r="A1861" s="66" t="n">
        <x:v>15</x:v>
      </x:c>
      <x:c r="B1861" s="44" t="str">
        <x:v>Canola/Rapeseed</x:v>
      </x:c>
      <x:c r="C1861" s="44" t="str">
        <x:v>L333PC</x:v>
      </x:c>
      <x:c r="D1861" s="66" t="n">
        <x:v>2025</x:v>
      </x:c>
      <x:c r="E1861" s="67" t="n">
        <x:v>14376</x:v>
      </x:c>
      <x:c r="F1861" s="68" t="n">
        <x:v>49.3</x:v>
      </x:c>
      <x:c r="G1861" s="69" t="n">
        <x:f>IF(COUNT(E1861:F1861)=2,E1861*F1861,"")</x:f>
        <x:v>708736.7999999999</x:v>
      </x:c>
    </x:row>
    <x:row r="1862">
      <x:c r="A1862" s="66" t="n">
        <x:v>15</x:v>
      </x:c>
      <x:c r="B1862" s="44" t="str">
        <x:v>Canola/Rapeseed</x:v>
      </x:c>
      <x:c r="C1862" s="44" t="str">
        <x:v>L340PC</x:v>
      </x:c>
      <x:c r="D1862" s="66" t="n">
        <x:v>2021</x:v>
      </x:c>
      <x:c r="E1862" s="67" t="n">
        <x:v>43150</x:v>
      </x:c>
      <x:c r="F1862" s="68" t="n">
        <x:v>22.5</x:v>
      </x:c>
      <x:c r="G1862" s="69" t="n">
        <x:f>IF(COUNT(E1862:F1862)=2,E1862*F1862,"")</x:f>
        <x:v>970875</x:v>
      </x:c>
    </x:row>
    <x:row r="1863">
      <x:c r="A1863" s="66" t="n">
        <x:v>15</x:v>
      </x:c>
      <x:c r="B1863" s="44" t="str">
        <x:v>Canola/Rapeseed</x:v>
      </x:c>
      <x:c r="C1863" s="44" t="str">
        <x:v>L340PC</x:v>
      </x:c>
      <x:c r="D1863" s="66" t="n">
        <x:v>2022</x:v>
      </x:c>
      <x:c r="E1863" s="67" t="n">
        <x:v>123151</x:v>
      </x:c>
      <x:c r="F1863" s="68" t="n">
        <x:v>47.7</x:v>
      </x:c>
      <x:c r="G1863" s="69" t="n">
        <x:f>IF(COUNT(E1863:F1863)=2,E1863*F1863,"")</x:f>
        <x:v>5874302.7</x:v>
      </x:c>
    </x:row>
    <x:row r="1864">
      <x:c r="A1864" s="66" t="n">
        <x:v>15</x:v>
      </x:c>
      <x:c r="B1864" s="44" t="str">
        <x:v>Canola/Rapeseed</x:v>
      </x:c>
      <x:c r="C1864" s="44" t="str">
        <x:v>L340PC</x:v>
      </x:c>
      <x:c r="D1864" s="66" t="n">
        <x:v>2023</x:v>
      </x:c>
      <x:c r="E1864" s="67" t="n">
        <x:v>228314</x:v>
      </x:c>
      <x:c r="F1864" s="68" t="n">
        <x:v>43.5</x:v>
      </x:c>
      <x:c r="G1864" s="69" t="n">
        <x:f>IF(COUNT(E1864:F1864)=2,E1864*F1864,"")</x:f>
        <x:v>9931659</x:v>
      </x:c>
    </x:row>
    <x:row r="1865">
      <x:c r="A1865" s="66" t="n">
        <x:v>15</x:v>
      </x:c>
      <x:c r="B1865" s="44" t="str">
        <x:v>Canola/Rapeseed</x:v>
      </x:c>
      <x:c r="C1865" s="44" t="str">
        <x:v>L340PC</x:v>
      </x:c>
      <x:c r="D1865" s="66" t="n">
        <x:v>2024</x:v>
      </x:c>
      <x:c r="E1865" s="67" t="n">
        <x:v>291916</x:v>
      </x:c>
      <x:c r="F1865" s="68" t="n">
        <x:v>40.7</x:v>
      </x:c>
      <x:c r="G1865" s="69" t="n">
        <x:f>IF(COUNT(E1865:F1865)=2,E1865*F1865,"")</x:f>
        <x:v>11880981.200000001</x:v>
      </x:c>
    </x:row>
    <x:row r="1866">
      <x:c r="A1866" s="66" t="n">
        <x:v>15</x:v>
      </x:c>
      <x:c r="B1866" s="44" t="str">
        <x:v>Canola/Rapeseed</x:v>
      </x:c>
      <x:c r="C1866" s="44" t="str">
        <x:v>L340PC</x:v>
      </x:c>
      <x:c r="D1866" s="66" t="n">
        <x:v>2025</x:v>
      </x:c>
      <x:c r="E1866" s="67" t="n">
        <x:v>319211</x:v>
      </x:c>
      <x:c r="F1866" s="68" t="n">
        <x:v>44.9</x:v>
      </x:c>
      <x:c r="G1866" s="69" t="n">
        <x:f>IF(COUNT(E1866:F1866)=2,E1866*F1866,"")</x:f>
        <x:v>14332573.9</x:v>
      </x:c>
    </x:row>
    <x:row r="1867">
      <x:c r="A1867" s="66" t="n">
        <x:v>15</x:v>
      </x:c>
      <x:c r="B1867" s="44" t="str">
        <x:v>Canola/Rapeseed</x:v>
      </x:c>
      <x:c r="C1867" s="44" t="str">
        <x:v>L341PC</x:v>
      </x:c>
      <x:c r="D1867" s="66" t="n">
        <x:v>2021</x:v>
      </x:c>
      <x:c r="E1867" s="67"/>
      <x:c r="F1867" s="68"/>
      <x:c r="G1867" s="69" t="str">
        <x:f>IF(COUNT(E1867:F1867)=2,E1867*F1867,"")</x:f>
      </x:c>
    </x:row>
    <x:row r="1868">
      <x:c r="A1868" s="66" t="n">
        <x:v>15</x:v>
      </x:c>
      <x:c r="B1868" s="44" t="str">
        <x:v>Canola/Rapeseed</x:v>
      </x:c>
      <x:c r="C1868" s="44" t="str">
        <x:v>L341PC</x:v>
      </x:c>
      <x:c r="D1868" s="66" t="n">
        <x:v>2022</x:v>
      </x:c>
      <x:c r="E1868" s="67"/>
      <x:c r="F1868" s="68"/>
      <x:c r="G1868" s="69" t="str">
        <x:f>IF(COUNT(E1868:F1868)=2,E1868*F1868,"")</x:f>
      </x:c>
    </x:row>
    <x:row r="1869">
      <x:c r="A1869" s="66" t="n">
        <x:v>15</x:v>
      </x:c>
      <x:c r="B1869" s="44" t="str">
        <x:v>Canola/Rapeseed</x:v>
      </x:c>
      <x:c r="C1869" s="44" t="str">
        <x:v>L341PC</x:v>
      </x:c>
      <x:c r="D1869" s="66" t="n">
        <x:v>2023</x:v>
      </x:c>
      <x:c r="E1869" s="67"/>
      <x:c r="F1869" s="68"/>
      <x:c r="G1869" s="69" t="str">
        <x:f>IF(COUNT(E1869:F1869)=2,E1869*F1869,"")</x:f>
      </x:c>
    </x:row>
    <x:row r="1870">
      <x:c r="A1870" s="66" t="n">
        <x:v>15</x:v>
      </x:c>
      <x:c r="B1870" s="44" t="str">
        <x:v>Canola/Rapeseed</x:v>
      </x:c>
      <x:c r="C1870" s="44" t="str">
        <x:v>L341PC</x:v>
      </x:c>
      <x:c r="D1870" s="66" t="n">
        <x:v>2024</x:v>
      </x:c>
      <x:c r="E1870" s="67"/>
      <x:c r="F1870" s="68"/>
      <x:c r="G1870" s="69" t="str">
        <x:f>IF(COUNT(E1870:F1870)=2,E1870*F1870,"")</x:f>
      </x:c>
    </x:row>
    <x:row r="1871">
      <x:c r="A1871" s="66" t="n">
        <x:v>15</x:v>
      </x:c>
      <x:c r="B1871" s="44" t="str">
        <x:v>Canola/Rapeseed</x:v>
      </x:c>
      <x:c r="C1871" s="44" t="str">
        <x:v>L341PC</x:v>
      </x:c>
      <x:c r="D1871" s="66" t="n">
        <x:v>2025</x:v>
      </x:c>
      <x:c r="E1871" s="67" t="n">
        <x:v>4391</x:v>
      </x:c>
      <x:c r="F1871" s="68" t="n">
        <x:v>47</x:v>
      </x:c>
      <x:c r="G1871" s="69" t="n">
        <x:f>IF(COUNT(E1871:F1871)=2,E1871*F1871,"")</x:f>
        <x:v>206377</x:v>
      </x:c>
    </x:row>
    <x:row r="1872">
      <x:c r="A1872" s="66" t="n">
        <x:v>15</x:v>
      </x:c>
      <x:c r="B1872" s="44" t="str">
        <x:v>Canola/Rapeseed</x:v>
      </x:c>
      <x:c r="C1872" s="44" t="str">
        <x:v>L343PC</x:v>
      </x:c>
      <x:c r="D1872" s="66" t="n">
        <x:v>2021</x:v>
      </x:c>
      <x:c r="E1872" s="67"/>
      <x:c r="F1872" s="68"/>
      <x:c r="G1872" s="69" t="str">
        <x:f>IF(COUNT(E1872:F1872)=2,E1872*F1872,"")</x:f>
      </x:c>
    </x:row>
    <x:row r="1873">
      <x:c r="A1873" s="66" t="n">
        <x:v>15</x:v>
      </x:c>
      <x:c r="B1873" s="44" t="str">
        <x:v>Canola/Rapeseed</x:v>
      </x:c>
      <x:c r="C1873" s="44" t="str">
        <x:v>L343PC</x:v>
      </x:c>
      <x:c r="D1873" s="66" t="n">
        <x:v>2022</x:v>
      </x:c>
      <x:c r="E1873" s="67" t="n">
        <x:v>7908</x:v>
      </x:c>
      <x:c r="F1873" s="68" t="n">
        <x:v>51.1</x:v>
      </x:c>
      <x:c r="G1873" s="69" t="n">
        <x:f>IF(COUNT(E1873:F1873)=2,E1873*F1873,"")</x:f>
        <x:v>404098.8</x:v>
      </x:c>
    </x:row>
    <x:row r="1874">
      <x:c r="A1874" s="66" t="n">
        <x:v>15</x:v>
      </x:c>
      <x:c r="B1874" s="44" t="str">
        <x:v>Canola/Rapeseed</x:v>
      </x:c>
      <x:c r="C1874" s="44" t="str">
        <x:v>L343PC</x:v>
      </x:c>
      <x:c r="D1874" s="66" t="n">
        <x:v>2023</x:v>
      </x:c>
      <x:c r="E1874" s="67" t="n">
        <x:v>19705</x:v>
      </x:c>
      <x:c r="F1874" s="68" t="n">
        <x:v>42.6</x:v>
      </x:c>
      <x:c r="G1874" s="69" t="n">
        <x:f>IF(COUNT(E1874:F1874)=2,E1874*F1874,"")</x:f>
        <x:v>839433</x:v>
      </x:c>
    </x:row>
    <x:row r="1875">
      <x:c r="A1875" s="66" t="n">
        <x:v>15</x:v>
      </x:c>
      <x:c r="B1875" s="44" t="str">
        <x:v>Canola/Rapeseed</x:v>
      </x:c>
      <x:c r="C1875" s="44" t="str">
        <x:v>L343PC</x:v>
      </x:c>
      <x:c r="D1875" s="66" t="n">
        <x:v>2024</x:v>
      </x:c>
      <x:c r="E1875" s="67" t="n">
        <x:v>10197</x:v>
      </x:c>
      <x:c r="F1875" s="68" t="n">
        <x:v>43.6</x:v>
      </x:c>
      <x:c r="G1875" s="69" t="n">
        <x:f>IF(COUNT(E1875:F1875)=2,E1875*F1875,"")</x:f>
        <x:v>444589.2</x:v>
      </x:c>
    </x:row>
    <x:row r="1876">
      <x:c r="A1876" s="66" t="n">
        <x:v>15</x:v>
      </x:c>
      <x:c r="B1876" s="44" t="str">
        <x:v>Canola/Rapeseed</x:v>
      </x:c>
      <x:c r="C1876" s="44" t="str">
        <x:v>L343PC</x:v>
      </x:c>
      <x:c r="D1876" s="66" t="n">
        <x:v>2025</x:v>
      </x:c>
      <x:c r="E1876" s="67" t="n">
        <x:v>6978</x:v>
      </x:c>
      <x:c r="F1876" s="68" t="n">
        <x:v>51.3</x:v>
      </x:c>
      <x:c r="G1876" s="69" t="n">
        <x:f>IF(COUNT(E1876:F1876)=2,E1876*F1876,"")</x:f>
        <x:v>357971.39999999997</x:v>
      </x:c>
    </x:row>
    <x:row r="1877">
      <x:c r="A1877" s="66" t="n">
        <x:v>15</x:v>
      </x:c>
      <x:c r="B1877" s="44" t="str">
        <x:v>Canola/Rapeseed</x:v>
      </x:c>
      <x:c r="C1877" s="44" t="str">
        <x:v>L345PC</x:v>
      </x:c>
      <x:c r="D1877" s="66" t="n">
        <x:v>2021</x:v>
      </x:c>
      <x:c r="E1877" s="67" t="n">
        <x:v>121165</x:v>
      </x:c>
      <x:c r="F1877" s="68" t="n">
        <x:v>21.9</x:v>
      </x:c>
      <x:c r="G1877" s="69" t="n">
        <x:f>IF(COUNT(E1877:F1877)=2,E1877*F1877,"")</x:f>
        <x:v>2653513.5</x:v>
      </x:c>
    </x:row>
    <x:row r="1878">
      <x:c r="A1878" s="66" t="n">
        <x:v>15</x:v>
      </x:c>
      <x:c r="B1878" s="44" t="str">
        <x:v>Canola/Rapeseed</x:v>
      </x:c>
      <x:c r="C1878" s="44" t="str">
        <x:v>L345PC</x:v>
      </x:c>
      <x:c r="D1878" s="66" t="n">
        <x:v>2022</x:v>
      </x:c>
      <x:c r="E1878" s="67" t="n">
        <x:v>115734</x:v>
      </x:c>
      <x:c r="F1878" s="68" t="n">
        <x:v>47.3</x:v>
      </x:c>
      <x:c r="G1878" s="69" t="n">
        <x:f>IF(COUNT(E1878:F1878)=2,E1878*F1878,"")</x:f>
        <x:v>5474218.199999999</x:v>
      </x:c>
    </x:row>
    <x:row r="1879">
      <x:c r="A1879" s="66" t="n">
        <x:v>15</x:v>
      </x:c>
      <x:c r="B1879" s="44" t="str">
        <x:v>Canola/Rapeseed</x:v>
      </x:c>
      <x:c r="C1879" s="44" t="str">
        <x:v>L345PC</x:v>
      </x:c>
      <x:c r="D1879" s="66" t="n">
        <x:v>2023</x:v>
      </x:c>
      <x:c r="E1879" s="67" t="n">
        <x:v>91491</x:v>
      </x:c>
      <x:c r="F1879" s="68" t="n">
        <x:v>45.2</x:v>
      </x:c>
      <x:c r="G1879" s="69" t="n">
        <x:f>IF(COUNT(E1879:F1879)=2,E1879*F1879,"")</x:f>
        <x:v>4135393.2</x:v>
      </x:c>
    </x:row>
    <x:row r="1880">
      <x:c r="A1880" s="66" t="n">
        <x:v>15</x:v>
      </x:c>
      <x:c r="B1880" s="44" t="str">
        <x:v>Canola/Rapeseed</x:v>
      </x:c>
      <x:c r="C1880" s="44" t="str">
        <x:v>L345PC</x:v>
      </x:c>
      <x:c r="D1880" s="66" t="n">
        <x:v>2024</x:v>
      </x:c>
      <x:c r="E1880" s="67" t="n">
        <x:v>88623</x:v>
      </x:c>
      <x:c r="F1880" s="68" t="n">
        <x:v>39.7</x:v>
      </x:c>
      <x:c r="G1880" s="69" t="n">
        <x:f>IF(COUNT(E1880:F1880)=2,E1880*F1880,"")</x:f>
        <x:v>3518333.1</x:v>
      </x:c>
    </x:row>
    <x:row r="1881">
      <x:c r="A1881" s="66" t="n">
        <x:v>15</x:v>
      </x:c>
      <x:c r="B1881" s="44" t="str">
        <x:v>Canola/Rapeseed</x:v>
      </x:c>
      <x:c r="C1881" s="44" t="str">
        <x:v>L345PC</x:v>
      </x:c>
      <x:c r="D1881" s="66" t="n">
        <x:v>2025</x:v>
      </x:c>
      <x:c r="E1881" s="67" t="n">
        <x:v>40392</x:v>
      </x:c>
      <x:c r="F1881" s="68" t="n">
        <x:v>44.2</x:v>
      </x:c>
      <x:c r="G1881" s="69" t="n">
        <x:f>IF(COUNT(E1881:F1881)=2,E1881*F1881,"")</x:f>
        <x:v>1785326.4000000001</x:v>
      </x:c>
    </x:row>
    <x:row r="1882">
      <x:c r="A1882" s="66" t="n">
        <x:v>15</x:v>
      </x:c>
      <x:c r="B1882" s="44" t="str">
        <x:v>Canola/Rapeseed</x:v>
      </x:c>
      <x:c r="C1882" s="44" t="str">
        <x:v>L350PC</x:v>
      </x:c>
      <x:c r="D1882" s="66" t="n">
        <x:v>2021</x:v>
      </x:c>
      <x:c r="E1882" s="67"/>
      <x:c r="F1882" s="68"/>
      <x:c r="G1882" s="69" t="str">
        <x:f>IF(COUNT(E1882:F1882)=2,E1882*F1882,"")</x:f>
      </x:c>
    </x:row>
    <x:row r="1883">
      <x:c r="A1883" s="66" t="n">
        <x:v>15</x:v>
      </x:c>
      <x:c r="B1883" s="44" t="str">
        <x:v>Canola/Rapeseed</x:v>
      </x:c>
      <x:c r="C1883" s="44" t="str">
        <x:v>L350PC</x:v>
      </x:c>
      <x:c r="D1883" s="66" t="n">
        <x:v>2022</x:v>
      </x:c>
      <x:c r="E1883" s="67"/>
      <x:c r="F1883" s="68"/>
      <x:c r="G1883" s="69" t="str">
        <x:f>IF(COUNT(E1883:F1883)=2,E1883*F1883,"")</x:f>
      </x:c>
    </x:row>
    <x:row r="1884">
      <x:c r="A1884" s="66" t="n">
        <x:v>15</x:v>
      </x:c>
      <x:c r="B1884" s="44" t="str">
        <x:v>Canola/Rapeseed</x:v>
      </x:c>
      <x:c r="C1884" s="44" t="str">
        <x:v>L350PC</x:v>
      </x:c>
      <x:c r="D1884" s="66" t="n">
        <x:v>2023</x:v>
      </x:c>
      <x:c r="E1884" s="67" t="n">
        <x:v>46564</x:v>
      </x:c>
      <x:c r="F1884" s="68" t="n">
        <x:v>44.1</x:v>
      </x:c>
      <x:c r="G1884" s="69" t="n">
        <x:f>IF(COUNT(E1884:F1884)=2,E1884*F1884,"")</x:f>
        <x:v>2053472.4000000001</x:v>
      </x:c>
    </x:row>
    <x:row r="1885">
      <x:c r="A1885" s="66" t="n">
        <x:v>15</x:v>
      </x:c>
      <x:c r="B1885" s="44" t="str">
        <x:v>Canola/Rapeseed</x:v>
      </x:c>
      <x:c r="C1885" s="44" t="str">
        <x:v>L350PC</x:v>
      </x:c>
      <x:c r="D1885" s="66" t="n">
        <x:v>2024</x:v>
      </x:c>
      <x:c r="E1885" s="67" t="n">
        <x:v>36486</x:v>
      </x:c>
      <x:c r="F1885" s="68" t="n">
        <x:v>40.4</x:v>
      </x:c>
      <x:c r="G1885" s="69" t="n">
        <x:f>IF(COUNT(E1885:F1885)=2,E1885*F1885,"")</x:f>
        <x:v>1474034.4</x:v>
      </x:c>
    </x:row>
    <x:row r="1886">
      <x:c r="A1886" s="66" t="n">
        <x:v>15</x:v>
      </x:c>
      <x:c r="B1886" s="44" t="str">
        <x:v>Canola/Rapeseed</x:v>
      </x:c>
      <x:c r="C1886" s="44" t="str">
        <x:v>L350PC</x:v>
      </x:c>
      <x:c r="D1886" s="66" t="n">
        <x:v>2025</x:v>
      </x:c>
      <x:c r="E1886" s="67" t="n">
        <x:v>27935</x:v>
      </x:c>
      <x:c r="F1886" s="68" t="n">
        <x:v>46.7</x:v>
      </x:c>
      <x:c r="G1886" s="69" t="n">
        <x:f>IF(COUNT(E1886:F1886)=2,E1886*F1886,"")</x:f>
        <x:v>1304564.5</x:v>
      </x:c>
    </x:row>
    <x:row r="1887">
      <x:c r="A1887" s="66" t="n">
        <x:v>15</x:v>
      </x:c>
      <x:c r="B1887" s="44" t="str">
        <x:v>Canola/Rapeseed</x:v>
      </x:c>
      <x:c r="C1887" s="44" t="str">
        <x:v>L356PC</x:v>
      </x:c>
      <x:c r="D1887" s="66" t="n">
        <x:v>2021</x:v>
      </x:c>
      <x:c r="E1887" s="67"/>
      <x:c r="F1887" s="68"/>
      <x:c r="G1887" s="69" t="str">
        <x:f>IF(COUNT(E1887:F1887)=2,E1887*F1887,"")</x:f>
      </x:c>
    </x:row>
    <x:row r="1888">
      <x:c r="A1888" s="66" t="n">
        <x:v>15</x:v>
      </x:c>
      <x:c r="B1888" s="44" t="str">
        <x:v>Canola/Rapeseed</x:v>
      </x:c>
      <x:c r="C1888" s="44" t="str">
        <x:v>L356PC</x:v>
      </x:c>
      <x:c r="D1888" s="66" t="n">
        <x:v>2022</x:v>
      </x:c>
      <x:c r="E1888" s="67" t="n">
        <x:v>15471</x:v>
      </x:c>
      <x:c r="F1888" s="68" t="n">
        <x:v>43.9</x:v>
      </x:c>
      <x:c r="G1888" s="69" t="n">
        <x:f>IF(COUNT(E1888:F1888)=2,E1888*F1888,"")</x:f>
        <x:v>679176.9</x:v>
      </x:c>
    </x:row>
    <x:row r="1889">
      <x:c r="A1889" s="66" t="n">
        <x:v>15</x:v>
      </x:c>
      <x:c r="B1889" s="44" t="str">
        <x:v>Canola/Rapeseed</x:v>
      </x:c>
      <x:c r="C1889" s="44" t="str">
        <x:v>L356PC</x:v>
      </x:c>
      <x:c r="D1889" s="66" t="n">
        <x:v>2023</x:v>
      </x:c>
      <x:c r="E1889" s="67" t="n">
        <x:v>58175</x:v>
      </x:c>
      <x:c r="F1889" s="68" t="n">
        <x:v>43.2</x:v>
      </x:c>
      <x:c r="G1889" s="69" t="n">
        <x:f>IF(COUNT(E1889:F1889)=2,E1889*F1889,"")</x:f>
        <x:v>2513160</x:v>
      </x:c>
    </x:row>
    <x:row r="1890">
      <x:c r="A1890" s="66" t="n">
        <x:v>15</x:v>
      </x:c>
      <x:c r="B1890" s="44" t="str">
        <x:v>Canola/Rapeseed</x:v>
      </x:c>
      <x:c r="C1890" s="44" t="str">
        <x:v>L356PC</x:v>
      </x:c>
      <x:c r="D1890" s="66" t="n">
        <x:v>2024</x:v>
      </x:c>
      <x:c r="E1890" s="67" t="n">
        <x:v>78007</x:v>
      </x:c>
      <x:c r="F1890" s="68" t="n">
        <x:v>40.7</x:v>
      </x:c>
      <x:c r="G1890" s="69" t="n">
        <x:f>IF(COUNT(E1890:F1890)=2,E1890*F1890,"")</x:f>
        <x:v>3174884.9000000004</x:v>
      </x:c>
    </x:row>
    <x:row r="1891">
      <x:c r="A1891" s="66" t="n">
        <x:v>15</x:v>
      </x:c>
      <x:c r="B1891" s="44" t="str">
        <x:v>Canola/Rapeseed</x:v>
      </x:c>
      <x:c r="C1891" s="44" t="str">
        <x:v>L356PC</x:v>
      </x:c>
      <x:c r="D1891" s="66" t="n">
        <x:v>2025</x:v>
      </x:c>
      <x:c r="E1891" s="67" t="n">
        <x:v>77344</x:v>
      </x:c>
      <x:c r="F1891" s="68" t="n">
        <x:v>46.5</x:v>
      </x:c>
      <x:c r="G1891" s="69" t="n">
        <x:f>IF(COUNT(E1891:F1891)=2,E1891*F1891,"")</x:f>
        <x:v>3596496</x:v>
      </x:c>
    </x:row>
    <x:row r="1892">
      <x:c r="A1892" s="66" t="n">
        <x:v>15</x:v>
      </x:c>
      <x:c r="B1892" s="44" t="str">
        <x:v>Canola/Rapeseed</x:v>
      </x:c>
      <x:c r="C1892" s="44" t="str">
        <x:v>PV 661 LCM</x:v>
      </x:c>
      <x:c r="D1892" s="66" t="n">
        <x:v>2021</x:v>
      </x:c>
      <x:c r="E1892" s="67"/>
      <x:c r="F1892" s="68"/>
      <x:c r="G1892" s="69" t="str">
        <x:f>IF(COUNT(E1892:F1892)=2,E1892*F1892,"")</x:f>
      </x:c>
    </x:row>
    <x:row r="1893">
      <x:c r="A1893" s="66" t="n">
        <x:v>15</x:v>
      </x:c>
      <x:c r="B1893" s="44" t="str">
        <x:v>Canola/Rapeseed</x:v>
      </x:c>
      <x:c r="C1893" s="44" t="str">
        <x:v>PV 661 LCM</x:v>
      </x:c>
      <x:c r="D1893" s="66" t="n">
        <x:v>2022</x:v>
      </x:c>
      <x:c r="E1893" s="67"/>
      <x:c r="F1893" s="68"/>
      <x:c r="G1893" s="69" t="str">
        <x:f>IF(COUNT(E1893:F1893)=2,E1893*F1893,"")</x:f>
      </x:c>
    </x:row>
    <x:row r="1894">
      <x:c r="A1894" s="66" t="n">
        <x:v>15</x:v>
      </x:c>
      <x:c r="B1894" s="44" t="str">
        <x:v>Canola/Rapeseed</x:v>
      </x:c>
      <x:c r="C1894" s="44" t="str">
        <x:v>PV 661 LCM</x:v>
      </x:c>
      <x:c r="D1894" s="66" t="n">
        <x:v>2023</x:v>
      </x:c>
      <x:c r="E1894" s="67"/>
      <x:c r="F1894" s="68"/>
      <x:c r="G1894" s="69" t="str">
        <x:f>IF(COUNT(E1894:F1894)=2,E1894*F1894,"")</x:f>
      </x:c>
    </x:row>
    <x:row r="1895">
      <x:c r="A1895" s="66" t="n">
        <x:v>15</x:v>
      </x:c>
      <x:c r="B1895" s="44" t="str">
        <x:v>Canola/Rapeseed</x:v>
      </x:c>
      <x:c r="C1895" s="44" t="str">
        <x:v>PV 661 LCM</x:v>
      </x:c>
      <x:c r="D1895" s="66" t="n">
        <x:v>2024</x:v>
      </x:c>
      <x:c r="E1895" s="67" t="n">
        <x:v>1911</x:v>
      </x:c>
      <x:c r="F1895" s="68" t="n">
        <x:v>36.7</x:v>
      </x:c>
      <x:c r="G1895" s="69" t="n">
        <x:f>IF(COUNT(E1895:F1895)=2,E1895*F1895,"")</x:f>
        <x:v>70133.70000000001</x:v>
      </x:c>
    </x:row>
    <x:row r="1896">
      <x:c r="A1896" s="66" t="n">
        <x:v>15</x:v>
      </x:c>
      <x:c r="B1896" s="44" t="str">
        <x:v>Canola/Rapeseed</x:v>
      </x:c>
      <x:c r="C1896" s="44" t="str">
        <x:v>PV 661 LCM</x:v>
      </x:c>
      <x:c r="D1896" s="66" t="n">
        <x:v>2025</x:v>
      </x:c>
      <x:c r="E1896" s="67" t="n">
        <x:v>5571</x:v>
      </x:c>
      <x:c r="F1896" s="68" t="n">
        <x:v>40.4</x:v>
      </x:c>
      <x:c r="G1896" s="69" t="n">
        <x:f>IF(COUNT(E1896:F1896)=2,E1896*F1896,"")</x:f>
        <x:v>225068.4</x:v>
      </x:c>
    </x:row>
    <x:row r="1897">
      <x:c r="A1897" s="66" t="n">
        <x:v>15</x:v>
      </x:c>
      <x:c r="B1897" s="44" t="str">
        <x:v>Canola/Rapeseed</x:v>
      </x:c>
      <x:c r="C1897" s="44" t="str">
        <x:v>PV 681 LC</x:v>
      </x:c>
      <x:c r="D1897" s="66" t="n">
        <x:v>2021</x:v>
      </x:c>
      <x:c r="E1897" s="67" t="n">
        <x:v>557</x:v>
      </x:c>
      <x:c r="F1897" s="68" t="n">
        <x:v>16.2</x:v>
      </x:c>
      <x:c r="G1897" s="69" t="n">
        <x:f>IF(COUNT(E1897:F1897)=2,E1897*F1897,"")</x:f>
        <x:v>9023.4</x:v>
      </x:c>
    </x:row>
    <x:row r="1898">
      <x:c r="A1898" s="66" t="n">
        <x:v>15</x:v>
      </x:c>
      <x:c r="B1898" s="44" t="str">
        <x:v>Canola/Rapeseed</x:v>
      </x:c>
      <x:c r="C1898" s="44" t="str">
        <x:v>PV 681 LC</x:v>
      </x:c>
      <x:c r="D1898" s="66" t="n">
        <x:v>2022</x:v>
      </x:c>
      <x:c r="E1898" s="67"/>
      <x:c r="F1898" s="68"/>
      <x:c r="G1898" s="69" t="str">
        <x:f>IF(COUNT(E1898:F1898)=2,E1898*F1898,"")</x:f>
      </x:c>
    </x:row>
    <x:row r="1899">
      <x:c r="A1899" s="66" t="n">
        <x:v>15</x:v>
      </x:c>
      <x:c r="B1899" s="44" t="str">
        <x:v>Canola/Rapeseed</x:v>
      </x:c>
      <x:c r="C1899" s="44" t="str">
        <x:v>PV 681 LC</x:v>
      </x:c>
      <x:c r="D1899" s="66" t="n">
        <x:v>2023</x:v>
      </x:c>
      <x:c r="E1899" s="67" t="n">
        <x:v>4419</x:v>
      </x:c>
      <x:c r="F1899" s="68" t="n">
        <x:v>35.1</x:v>
      </x:c>
      <x:c r="G1899" s="69" t="n">
        <x:f>IF(COUNT(E1899:F1899)=2,E1899*F1899,"")</x:f>
        <x:v>155106.9</x:v>
      </x:c>
    </x:row>
    <x:row r="1900">
      <x:c r="A1900" s="66" t="n">
        <x:v>15</x:v>
      </x:c>
      <x:c r="B1900" s="44" t="str">
        <x:v>Canola/Rapeseed</x:v>
      </x:c>
      <x:c r="C1900" s="44" t="str">
        <x:v>PV 681 LC</x:v>
      </x:c>
      <x:c r="D1900" s="66" t="n">
        <x:v>2024</x:v>
      </x:c>
      <x:c r="E1900" s="67" t="n">
        <x:v>4073</x:v>
      </x:c>
      <x:c r="F1900" s="68" t="n">
        <x:v>34.6</x:v>
      </x:c>
      <x:c r="G1900" s="69" t="n">
        <x:f>IF(COUNT(E1900:F1900)=2,E1900*F1900,"")</x:f>
        <x:v>140925.80000000002</x:v>
      </x:c>
    </x:row>
    <x:row r="1901">
      <x:c r="A1901" s="66" t="n">
        <x:v>15</x:v>
      </x:c>
      <x:c r="B1901" s="44" t="str">
        <x:v>Canola/Rapeseed</x:v>
      </x:c>
      <x:c r="C1901" s="44" t="str">
        <x:v>PV 681 LC</x:v>
      </x:c>
      <x:c r="D1901" s="66" t="n">
        <x:v>2025</x:v>
      </x:c>
      <x:c r="E1901" s="67" t="n">
        <x:v>3109</x:v>
      </x:c>
      <x:c r="F1901" s="68" t="n">
        <x:v>46.5</x:v>
      </x:c>
      <x:c r="G1901" s="69" t="n">
        <x:f>IF(COUNT(E1901:F1901)=2,E1901*F1901,"")</x:f>
        <x:v>144568.5</x:v>
      </x:c>
    </x:row>
    <x:row r="1902">
      <x:c r="A1902" s="66" t="n">
        <x:v>15</x:v>
      </x:c>
      <x:c r="B1902" s="44" t="str">
        <x:v>Canola/Rapeseed</x:v>
      </x:c>
      <x:c r="C1902" s="44" t="str">
        <x:v>PV 781 TCM</x:v>
      </x:c>
      <x:c r="D1902" s="66" t="n">
        <x:v>2021</x:v>
      </x:c>
      <x:c r="E1902" s="67"/>
      <x:c r="F1902" s="68"/>
      <x:c r="G1902" s="69" t="str">
        <x:f>IF(COUNT(E1902:F1902)=2,E1902*F1902,"")</x:f>
      </x:c>
    </x:row>
    <x:row r="1903">
      <x:c r="A1903" s="66" t="n">
        <x:v>15</x:v>
      </x:c>
      <x:c r="B1903" s="44" t="str">
        <x:v>Canola/Rapeseed</x:v>
      </x:c>
      <x:c r="C1903" s="44" t="str">
        <x:v>PV 781 TCM</x:v>
      </x:c>
      <x:c r="D1903" s="66" t="n">
        <x:v>2022</x:v>
      </x:c>
      <x:c r="E1903" s="67"/>
      <x:c r="F1903" s="68"/>
      <x:c r="G1903" s="69" t="str">
        <x:f>IF(COUNT(E1903:F1903)=2,E1903*F1903,"")</x:f>
      </x:c>
    </x:row>
    <x:row r="1904">
      <x:c r="A1904" s="66" t="n">
        <x:v>15</x:v>
      </x:c>
      <x:c r="B1904" s="44" t="str">
        <x:v>Canola/Rapeseed</x:v>
      </x:c>
      <x:c r="C1904" s="44" t="str">
        <x:v>PV 781 TCM</x:v>
      </x:c>
      <x:c r="D1904" s="66" t="n">
        <x:v>2023</x:v>
      </x:c>
      <x:c r="E1904" s="67" t="n">
        <x:v>3223</x:v>
      </x:c>
      <x:c r="F1904" s="68" t="n">
        <x:v>39.2</x:v>
      </x:c>
      <x:c r="G1904" s="69" t="n">
        <x:f>IF(COUNT(E1904:F1904)=2,E1904*F1904,"")</x:f>
        <x:v>126341.6</x:v>
      </x:c>
    </x:row>
    <x:row r="1905">
      <x:c r="A1905" s="66" t="n">
        <x:v>15</x:v>
      </x:c>
      <x:c r="B1905" s="44" t="str">
        <x:v>Canola/Rapeseed</x:v>
      </x:c>
      <x:c r="C1905" s="44" t="str">
        <x:v>PV 781 TCM</x:v>
      </x:c>
      <x:c r="D1905" s="66" t="n">
        <x:v>2024</x:v>
      </x:c>
      <x:c r="E1905" s="67" t="n">
        <x:v>5507</x:v>
      </x:c>
      <x:c r="F1905" s="68" t="n">
        <x:v>28.6</x:v>
      </x:c>
      <x:c r="G1905" s="69" t="n">
        <x:f>IF(COUNT(E1905:F1905)=2,E1905*F1905,"")</x:f>
        <x:v>157500.2</x:v>
      </x:c>
    </x:row>
    <x:row r="1906">
      <x:c r="A1906" s="66" t="n">
        <x:v>15</x:v>
      </x:c>
      <x:c r="B1906" s="44" t="str">
        <x:v>Canola/Rapeseed</x:v>
      </x:c>
      <x:c r="C1906" s="44" t="str">
        <x:v>PV 781 TCM</x:v>
      </x:c>
      <x:c r="D1906" s="66" t="n">
        <x:v>2025</x:v>
      </x:c>
      <x:c r="E1906" s="67" t="n">
        <x:v>1493</x:v>
      </x:c>
      <x:c r="F1906" s="68" t="n">
        <x:v>38.4</x:v>
      </x:c>
      <x:c r="G1906" s="69" t="n">
        <x:f>IF(COUNT(E1906:F1906)=2,E1906*F1906,"")</x:f>
        <x:v>57331.2</x:v>
      </x:c>
    </x:row>
    <x:row r="1907">
      <x:c r="A1907" s="66" t="n">
        <x:v>15</x:v>
      </x:c>
      <x:c r="B1907" s="44" t="str">
        <x:v>Canola/Rapeseed</x:v>
      </x:c>
      <x:c r="C1907" s="44" t="str">
        <x:v>PV 881 OCM</x:v>
      </x:c>
      <x:c r="D1907" s="66" t="n">
        <x:v>2021</x:v>
      </x:c>
      <x:c r="E1907" s="67"/>
      <x:c r="F1907" s="68"/>
      <x:c r="G1907" s="69" t="str">
        <x:f>IF(COUNT(E1907:F1907)=2,E1907*F1907,"")</x:f>
      </x:c>
    </x:row>
    <x:row r="1908">
      <x:c r="A1908" s="66" t="n">
        <x:v>15</x:v>
      </x:c>
      <x:c r="B1908" s="44" t="str">
        <x:v>Canola/Rapeseed</x:v>
      </x:c>
      <x:c r="C1908" s="44" t="str">
        <x:v>PV 881 OCM</x:v>
      </x:c>
      <x:c r="D1908" s="66" t="n">
        <x:v>2022</x:v>
      </x:c>
      <x:c r="E1908" s="67"/>
      <x:c r="F1908" s="68"/>
      <x:c r="G1908" s="69" t="str">
        <x:f>IF(COUNT(E1908:F1908)=2,E1908*F1908,"")</x:f>
      </x:c>
    </x:row>
    <x:row r="1909">
      <x:c r="A1909" s="66" t="n">
        <x:v>15</x:v>
      </x:c>
      <x:c r="B1909" s="44" t="str">
        <x:v>Canola/Rapeseed</x:v>
      </x:c>
      <x:c r="C1909" s="44" t="str">
        <x:v>PV 881 OCM</x:v>
      </x:c>
      <x:c r="D1909" s="66" t="n">
        <x:v>2023</x:v>
      </x:c>
      <x:c r="E1909" s="67"/>
      <x:c r="F1909" s="68"/>
      <x:c r="G1909" s="69" t="str">
        <x:f>IF(COUNT(E1909:F1909)=2,E1909*F1909,"")</x:f>
      </x:c>
    </x:row>
    <x:row r="1910">
      <x:c r="A1910" s="66" t="n">
        <x:v>15</x:v>
      </x:c>
      <x:c r="B1910" s="44" t="str">
        <x:v>Canola/Rapeseed</x:v>
      </x:c>
      <x:c r="C1910" s="44" t="str">
        <x:v>PV 881 OCM</x:v>
      </x:c>
      <x:c r="D1910" s="66" t="n">
        <x:v>2024</x:v>
      </x:c>
      <x:c r="E1910" s="67"/>
      <x:c r="F1910" s="68"/>
      <x:c r="G1910" s="69" t="str">
        <x:f>IF(COUNT(E1910:F1910)=2,E1910*F1910,"")</x:f>
      </x:c>
    </x:row>
    <x:row r="1911">
      <x:c r="A1911" s="66" t="n">
        <x:v>15</x:v>
      </x:c>
      <x:c r="B1911" s="44" t="str">
        <x:v>Canola/Rapeseed</x:v>
      </x:c>
      <x:c r="C1911" s="44" t="str">
        <x:v>PV 881 OCM</x:v>
      </x:c>
      <x:c r="D1911" s="66" t="n">
        <x:v>2025</x:v>
      </x:c>
      <x:c r="E1911" s="67" t="n">
        <x:v>803</x:v>
      </x:c>
      <x:c r="F1911" s="68" t="n">
        <x:v>37.6</x:v>
      </x:c>
      <x:c r="G1911" s="69" t="n">
        <x:f>IF(COUNT(E1911:F1911)=2,E1911*F1911,"")</x:f>
        <x:v>30192.800000000003</x:v>
      </x:c>
    </x:row>
    <x:row r="1912">
      <x:c r="A1912" s="66" t="n">
        <x:v>15</x:v>
      </x:c>
      <x:c r="B1912" s="44" t="str">
        <x:v>Canola/Rapeseed</x:v>
      </x:c>
      <x:c r="C1912" s="44" t="str">
        <x:v>PV783</x:v>
      </x:c>
      <x:c r="D1912" s="66" t="n">
        <x:v>2021</x:v>
      </x:c>
      <x:c r="E1912" s="67"/>
      <x:c r="F1912" s="68"/>
      <x:c r="G1912" s="69" t="str">
        <x:f>IF(COUNT(E1912:F1912)=2,E1912*F1912,"")</x:f>
      </x:c>
    </x:row>
    <x:row r="1913">
      <x:c r="A1913" s="66" t="n">
        <x:v>15</x:v>
      </x:c>
      <x:c r="B1913" s="44" t="str">
        <x:v>Canola/Rapeseed</x:v>
      </x:c>
      <x:c r="C1913" s="44" t="str">
        <x:v>PV783</x:v>
      </x:c>
      <x:c r="D1913" s="66" t="n">
        <x:v>2022</x:v>
      </x:c>
      <x:c r="E1913" s="67"/>
      <x:c r="F1913" s="68"/>
      <x:c r="G1913" s="69" t="str">
        <x:f>IF(COUNT(E1913:F1913)=2,E1913*F1913,"")</x:f>
      </x:c>
    </x:row>
    <x:row r="1914">
      <x:c r="A1914" s="66" t="n">
        <x:v>15</x:v>
      </x:c>
      <x:c r="B1914" s="44" t="str">
        <x:v>Canola/Rapeseed</x:v>
      </x:c>
      <x:c r="C1914" s="44" t="str">
        <x:v>PV783</x:v>
      </x:c>
      <x:c r="D1914" s="66" t="n">
        <x:v>2023</x:v>
      </x:c>
      <x:c r="E1914" s="67"/>
      <x:c r="F1914" s="68"/>
      <x:c r="G1914" s="69" t="str">
        <x:f>IF(COUNT(E1914:F1914)=2,E1914*F1914,"")</x:f>
      </x:c>
    </x:row>
    <x:row r="1915">
      <x:c r="A1915" s="66" t="n">
        <x:v>15</x:v>
      </x:c>
      <x:c r="B1915" s="44" t="str">
        <x:v>Canola/Rapeseed</x:v>
      </x:c>
      <x:c r="C1915" s="44" t="str">
        <x:v>PV783</x:v>
      </x:c>
      <x:c r="D1915" s="66" t="n">
        <x:v>2024</x:v>
      </x:c>
      <x:c r="E1915" s="67"/>
      <x:c r="F1915" s="68"/>
      <x:c r="G1915" s="69" t="str">
        <x:f>IF(COUNT(E1915:F1915)=2,E1915*F1915,"")</x:f>
      </x:c>
    </x:row>
    <x:row r="1916">
      <x:c r="A1916" s="66" t="n">
        <x:v>15</x:v>
      </x:c>
      <x:c r="B1916" s="44" t="str">
        <x:v>Canola/Rapeseed</x:v>
      </x:c>
      <x:c r="C1916" s="44" t="str">
        <x:v>PV783</x:v>
      </x:c>
      <x:c r="D1916" s="66" t="n">
        <x:v>2025</x:v>
      </x:c>
      <x:c r="E1916" s="67" t="n">
        <x:v>2664</x:v>
      </x:c>
      <x:c r="F1916" s="68" t="n">
        <x:v>43.6</x:v>
      </x:c>
      <x:c r="G1916" s="69" t="n">
        <x:f>IF(COUNT(E1916:F1916)=2,E1916*F1916,"")</x:f>
        <x:v>116150.40000000001</x:v>
      </x:c>
    </x:row>
    <x:row r="1917">
      <x:c r="A1917" s="66" t="n">
        <x:v>15</x:v>
      </x:c>
      <x:c r="B1917" s="44" t="str">
        <x:v>Canola/Rapeseed</x:v>
      </x:c>
      <x:c r="C1917" s="44" t="str">
        <x:v>P1530G</x:v>
      </x:c>
      <x:c r="D1917" s="66" t="n">
        <x:v>2021</x:v>
      </x:c>
      <x:c r="E1917" s="67"/>
      <x:c r="F1917" s="68"/>
      <x:c r="G1917" s="69" t="str">
        <x:f>IF(COUNT(E1917:F1917)=2,E1917*F1917,"")</x:f>
      </x:c>
    </x:row>
    <x:row r="1918">
      <x:c r="A1918" s="66" t="n">
        <x:v>15</x:v>
      </x:c>
      <x:c r="B1918" s="44" t="str">
        <x:v>Canola/Rapeseed</x:v>
      </x:c>
      <x:c r="C1918" s="44" t="str">
        <x:v>P1530G</x:v>
      </x:c>
      <x:c r="D1918" s="66" t="n">
        <x:v>2022</x:v>
      </x:c>
      <x:c r="E1918" s="67"/>
      <x:c r="F1918" s="68"/>
      <x:c r="G1918" s="69" t="str">
        <x:f>IF(COUNT(E1918:F1918)=2,E1918*F1918,"")</x:f>
      </x:c>
    </x:row>
    <x:row r="1919">
      <x:c r="A1919" s="66" t="n">
        <x:v>15</x:v>
      </x:c>
      <x:c r="B1919" s="44" t="str">
        <x:v>Canola/Rapeseed</x:v>
      </x:c>
      <x:c r="C1919" s="44" t="str">
        <x:v>P1530G</x:v>
      </x:c>
      <x:c r="D1919" s="66" t="n">
        <x:v>2023</x:v>
      </x:c>
      <x:c r="E1919" s="67"/>
      <x:c r="F1919" s="68"/>
      <x:c r="G1919" s="69" t="str">
        <x:f>IF(COUNT(E1919:F1919)=2,E1919*F1919,"")</x:f>
      </x:c>
    </x:row>
    <x:row r="1920">
      <x:c r="A1920" s="66" t="n">
        <x:v>15</x:v>
      </x:c>
      <x:c r="B1920" s="44" t="str">
        <x:v>Canola/Rapeseed</x:v>
      </x:c>
      <x:c r="C1920" s="44" t="str">
        <x:v>P1530G</x:v>
      </x:c>
      <x:c r="D1920" s="66" t="n">
        <x:v>2024</x:v>
      </x:c>
      <x:c r="E1920" s="67"/>
      <x:c r="F1920" s="68"/>
      <x:c r="G1920" s="69" t="str">
        <x:f>IF(COUNT(E1920:F1920)=2,E1920*F1920,"")</x:f>
      </x:c>
    </x:row>
    <x:row r="1921">
      <x:c r="A1921" s="66" t="n">
        <x:v>15</x:v>
      </x:c>
      <x:c r="B1921" s="44" t="str">
        <x:v>Canola/Rapeseed</x:v>
      </x:c>
      <x:c r="C1921" s="44" t="str">
        <x:v>P1530G</x:v>
      </x:c>
      <x:c r="D1921" s="66" t="n">
        <x:v>2025</x:v>
      </x:c>
      <x:c r="E1921" s="67" t="n">
        <x:v>486</x:v>
      </x:c>
      <x:c r="F1921" s="68" t="n">
        <x:v>52</x:v>
      </x:c>
      <x:c r="G1921" s="69" t="n">
        <x:f>IF(COUNT(E1921:F1921)=2,E1921*F1921,"")</x:f>
        <x:v>25272</x:v>
      </x:c>
    </x:row>
    <x:row r="1922">
      <x:c r="A1922" s="66" t="n">
        <x:v>15</x:v>
      </x:c>
      <x:c r="B1922" s="44" t="str">
        <x:v>Canola/Rapeseed</x:v>
      </x:c>
      <x:c r="C1922" s="44" t="str">
        <x:v>P1540L</x:v>
      </x:c>
      <x:c r="D1922" s="66" t="n">
        <x:v>2021</x:v>
      </x:c>
      <x:c r="E1922" s="67"/>
      <x:c r="F1922" s="68"/>
      <x:c r="G1922" s="69" t="str">
        <x:f>IF(COUNT(E1922:F1922)=2,E1922*F1922,"")</x:f>
      </x:c>
    </x:row>
    <x:row r="1923">
      <x:c r="A1923" s="66" t="n">
        <x:v>15</x:v>
      </x:c>
      <x:c r="B1923" s="44" t="str">
        <x:v>Canola/Rapeseed</x:v>
      </x:c>
      <x:c r="C1923" s="44" t="str">
        <x:v>P1540L</x:v>
      </x:c>
      <x:c r="D1923" s="66" t="n">
        <x:v>2022</x:v>
      </x:c>
      <x:c r="E1923" s="67"/>
      <x:c r="F1923" s="68"/>
      <x:c r="G1923" s="69" t="str">
        <x:f>IF(COUNT(E1923:F1923)=2,E1923*F1923,"")</x:f>
      </x:c>
    </x:row>
    <x:row r="1924">
      <x:c r="A1924" s="66" t="n">
        <x:v>15</x:v>
      </x:c>
      <x:c r="B1924" s="44" t="str">
        <x:v>Canola/Rapeseed</x:v>
      </x:c>
      <x:c r="C1924" s="44" t="str">
        <x:v>P1540L</x:v>
      </x:c>
      <x:c r="D1924" s="66" t="n">
        <x:v>2023</x:v>
      </x:c>
      <x:c r="E1924" s="67"/>
      <x:c r="F1924" s="68"/>
      <x:c r="G1924" s="69" t="str">
        <x:f>IF(COUNT(E1924:F1924)=2,E1924*F1924,"")</x:f>
      </x:c>
    </x:row>
    <x:row r="1925">
      <x:c r="A1925" s="66" t="n">
        <x:v>15</x:v>
      </x:c>
      <x:c r="B1925" s="44" t="str">
        <x:v>Canola/Rapeseed</x:v>
      </x:c>
      <x:c r="C1925" s="44" t="str">
        <x:v>P1540L</x:v>
      </x:c>
      <x:c r="D1925" s="66" t="n">
        <x:v>2024</x:v>
      </x:c>
      <x:c r="E1925" s="67"/>
      <x:c r="F1925" s="68"/>
      <x:c r="G1925" s="69" t="str">
        <x:f>IF(COUNT(E1925:F1925)=2,E1925*F1925,"")</x:f>
      </x:c>
    </x:row>
    <x:row r="1926">
      <x:c r="A1926" s="66" t="n">
        <x:v>15</x:v>
      </x:c>
      <x:c r="B1926" s="44" t="str">
        <x:v>Canola/Rapeseed</x:v>
      </x:c>
      <x:c r="C1926" s="44" t="str">
        <x:v>P1540L</x:v>
      </x:c>
      <x:c r="D1926" s="66" t="n">
        <x:v>2025</x:v>
      </x:c>
      <x:c r="E1926" s="67" t="n">
        <x:v>1582</x:v>
      </x:c>
      <x:c r="F1926" s="68" t="n">
        <x:v>47.2</x:v>
      </x:c>
      <x:c r="G1926" s="69" t="n">
        <x:f>IF(COUNT(E1926:F1926)=2,E1926*F1926,"")</x:f>
        <x:v>74670.40000000001</x:v>
      </x:c>
    </x:row>
    <x:row r="1927">
      <x:c r="A1927" s="66" t="n">
        <x:v>15</x:v>
      </x:c>
      <x:c r="B1927" s="44" t="str">
        <x:v>Canola/Rapeseed</x:v>
      </x:c>
      <x:c r="C1927" s="44" t="str">
        <x:v>P501L</x:v>
      </x:c>
      <x:c r="D1927" s="66" t="n">
        <x:v>2021</x:v>
      </x:c>
      <x:c r="E1927" s="67" t="n">
        <x:v>3879</x:v>
      </x:c>
      <x:c r="F1927" s="68" t="n">
        <x:v>20.7</x:v>
      </x:c>
      <x:c r="G1927" s="69" t="n">
        <x:f>IF(COUNT(E1927:F1927)=2,E1927*F1927,"")</x:f>
        <x:v>80295.3</x:v>
      </x:c>
    </x:row>
    <x:row r="1928">
      <x:c r="A1928" s="66" t="n">
        <x:v>15</x:v>
      </x:c>
      <x:c r="B1928" s="44" t="str">
        <x:v>Canola/Rapeseed</x:v>
      </x:c>
      <x:c r="C1928" s="44" t="str">
        <x:v>P501L</x:v>
      </x:c>
      <x:c r="D1928" s="66" t="n">
        <x:v>2022</x:v>
      </x:c>
      <x:c r="E1928" s="67" t="n">
        <x:v>920</x:v>
      </x:c>
      <x:c r="F1928" s="68" t="n">
        <x:v>38.8</x:v>
      </x:c>
      <x:c r="G1928" s="69" t="n">
        <x:f>IF(COUNT(E1928:F1928)=2,E1928*F1928,"")</x:f>
        <x:v>35696</x:v>
      </x:c>
    </x:row>
    <x:row r="1929">
      <x:c r="A1929" s="66" t="n">
        <x:v>15</x:v>
      </x:c>
      <x:c r="B1929" s="44" t="str">
        <x:v>Canola/Rapeseed</x:v>
      </x:c>
      <x:c r="C1929" s="44" t="str">
        <x:v>P501L</x:v>
      </x:c>
      <x:c r="D1929" s="66" t="n">
        <x:v>2023</x:v>
      </x:c>
      <x:c r="E1929" s="67" t="n">
        <x:v>2787</x:v>
      </x:c>
      <x:c r="F1929" s="68" t="n">
        <x:v>35.7</x:v>
      </x:c>
      <x:c r="G1929" s="69" t="n">
        <x:f>IF(COUNT(E1929:F1929)=2,E1929*F1929,"")</x:f>
        <x:v>99495.90000000001</x:v>
      </x:c>
    </x:row>
    <x:row r="1930">
      <x:c r="A1930" s="66" t="n">
        <x:v>15</x:v>
      </x:c>
      <x:c r="B1930" s="44" t="str">
        <x:v>Canola/Rapeseed</x:v>
      </x:c>
      <x:c r="C1930" s="44" t="str">
        <x:v>P501L</x:v>
      </x:c>
      <x:c r="D1930" s="66" t="n">
        <x:v>2024</x:v>
      </x:c>
      <x:c r="E1930" s="67" t="n">
        <x:v>3375</x:v>
      </x:c>
      <x:c r="F1930" s="68" t="n">
        <x:v>39</x:v>
      </x:c>
      <x:c r="G1930" s="69" t="n">
        <x:f>IF(COUNT(E1930:F1930)=2,E1930*F1930,"")</x:f>
        <x:v>131625</x:v>
      </x:c>
    </x:row>
    <x:row r="1931">
      <x:c r="A1931" s="66" t="n">
        <x:v>15</x:v>
      </x:c>
      <x:c r="B1931" s="44" t="str">
        <x:v>Canola/Rapeseed</x:v>
      </x:c>
      <x:c r="C1931" s="44" t="str">
        <x:v>P501L</x:v>
      </x:c>
      <x:c r="D1931" s="66" t="n">
        <x:v>2025</x:v>
      </x:c>
      <x:c r="E1931" s="67" t="n">
        <x:v>4447</x:v>
      </x:c>
      <x:c r="F1931" s="68" t="n">
        <x:v>40.5</x:v>
      </x:c>
      <x:c r="G1931" s="69" t="n">
        <x:f>IF(COUNT(E1931:F1931)=2,E1931*F1931,"")</x:f>
        <x:v>180103.5</x:v>
      </x:c>
    </x:row>
    <x:row r="1932">
      <x:c r="A1932" s="66" t="n">
        <x:v>15</x:v>
      </x:c>
      <x:c r="B1932" s="44" t="str">
        <x:v>Canola/Rapeseed</x:v>
      </x:c>
      <x:c r="C1932" s="44" t="str">
        <x:v>P505MSL</x:v>
      </x:c>
      <x:c r="D1932" s="66" t="n">
        <x:v>2021</x:v>
      </x:c>
      <x:c r="E1932" s="67" t="n">
        <x:v>11519</x:v>
      </x:c>
      <x:c r="F1932" s="68" t="n">
        <x:v>20.2</x:v>
      </x:c>
      <x:c r="G1932" s="69" t="n">
        <x:f>IF(COUNT(E1932:F1932)=2,E1932*F1932,"")</x:f>
        <x:v>232683.8</x:v>
      </x:c>
    </x:row>
    <x:row r="1933">
      <x:c r="A1933" s="66" t="n">
        <x:v>15</x:v>
      </x:c>
      <x:c r="B1933" s="44" t="str">
        <x:v>Canola/Rapeseed</x:v>
      </x:c>
      <x:c r="C1933" s="44" t="str">
        <x:v>P505MSL</x:v>
      </x:c>
      <x:c r="D1933" s="66" t="n">
        <x:v>2022</x:v>
      </x:c>
      <x:c r="E1933" s="67" t="n">
        <x:v>7761</x:v>
      </x:c>
      <x:c r="F1933" s="68" t="n">
        <x:v>39.8</x:v>
      </x:c>
      <x:c r="G1933" s="69" t="n">
        <x:f>IF(COUNT(E1933:F1933)=2,E1933*F1933,"")</x:f>
        <x:v>308887.8</x:v>
      </x:c>
    </x:row>
    <x:row r="1934">
      <x:c r="A1934" s="66" t="n">
        <x:v>15</x:v>
      </x:c>
      <x:c r="B1934" s="44" t="str">
        <x:v>Canola/Rapeseed</x:v>
      </x:c>
      <x:c r="C1934" s="44" t="str">
        <x:v>P505MSL</x:v>
      </x:c>
      <x:c r="D1934" s="66" t="n">
        <x:v>2023</x:v>
      </x:c>
      <x:c r="E1934" s="67" t="n">
        <x:v>6860</x:v>
      </x:c>
      <x:c r="F1934" s="68" t="n">
        <x:v>38.8</x:v>
      </x:c>
      <x:c r="G1934" s="69" t="n">
        <x:f>IF(COUNT(E1934:F1934)=2,E1934*F1934,"")</x:f>
        <x:v>266168</x:v>
      </x:c>
    </x:row>
    <x:row r="1935">
      <x:c r="A1935" s="66" t="n">
        <x:v>15</x:v>
      </x:c>
      <x:c r="B1935" s="44" t="str">
        <x:v>Canola/Rapeseed</x:v>
      </x:c>
      <x:c r="C1935" s="44" t="str">
        <x:v>P505MSL</x:v>
      </x:c>
      <x:c r="D1935" s="66" t="n">
        <x:v>2024</x:v>
      </x:c>
      <x:c r="E1935" s="67" t="n">
        <x:v>14397</x:v>
      </x:c>
      <x:c r="F1935" s="68" t="n">
        <x:v>39.1</x:v>
      </x:c>
      <x:c r="G1935" s="69" t="n">
        <x:f>IF(COUNT(E1935:F1935)=2,E1935*F1935,"")</x:f>
        <x:v>562922.7000000001</x:v>
      </x:c>
    </x:row>
    <x:row r="1936">
      <x:c r="A1936" s="66" t="n">
        <x:v>15</x:v>
      </x:c>
      <x:c r="B1936" s="44" t="str">
        <x:v>Canola/Rapeseed</x:v>
      </x:c>
      <x:c r="C1936" s="44" t="str">
        <x:v>P505MSL</x:v>
      </x:c>
      <x:c r="D1936" s="66" t="n">
        <x:v>2025</x:v>
      </x:c>
      <x:c r="E1936" s="67" t="n">
        <x:v>7850</x:v>
      </x:c>
      <x:c r="F1936" s="68" t="n">
        <x:v>45.7</x:v>
      </x:c>
      <x:c r="G1936" s="69" t="n">
        <x:f>IF(COUNT(E1936:F1936)=2,E1936*F1936,"")</x:f>
        <x:v>358745</x:v>
      </x:c>
    </x:row>
    <x:row r="1937">
      <x:c r="A1937" s="66" t="n">
        <x:v>15</x:v>
      </x:c>
      <x:c r="B1937" s="44" t="str">
        <x:v>Canola/Rapeseed</x:v>
      </x:c>
      <x:c r="C1937" s="44" t="str">
        <x:v>P508CL</x:v>
      </x:c>
      <x:c r="D1937" s="66" t="n">
        <x:v>2021</x:v>
      </x:c>
      <x:c r="E1937" s="67"/>
      <x:c r="F1937" s="68"/>
      <x:c r="G1937" s="69" t="str">
        <x:f>IF(COUNT(E1937:F1937)=2,E1937*F1937,"")</x:f>
      </x:c>
    </x:row>
    <x:row r="1938">
      <x:c r="A1938" s="66" t="n">
        <x:v>15</x:v>
      </x:c>
      <x:c r="B1938" s="44" t="str">
        <x:v>Canola/Rapeseed</x:v>
      </x:c>
      <x:c r="C1938" s="44" t="str">
        <x:v>P508CL</x:v>
      </x:c>
      <x:c r="D1938" s="66" t="n">
        <x:v>2022</x:v>
      </x:c>
      <x:c r="E1938" s="67"/>
      <x:c r="F1938" s="68"/>
      <x:c r="G1938" s="69" t="str">
        <x:f>IF(COUNT(E1938:F1938)=2,E1938*F1938,"")</x:f>
      </x:c>
    </x:row>
    <x:row r="1939">
      <x:c r="A1939" s="66" t="n">
        <x:v>15</x:v>
      </x:c>
      <x:c r="B1939" s="44" t="str">
        <x:v>Canola/Rapeseed</x:v>
      </x:c>
      <x:c r="C1939" s="44" t="str">
        <x:v>P508CL</x:v>
      </x:c>
      <x:c r="D1939" s="66" t="n">
        <x:v>2023</x:v>
      </x:c>
      <x:c r="E1939" s="67"/>
      <x:c r="F1939" s="68"/>
      <x:c r="G1939" s="69" t="str">
        <x:f>IF(COUNT(E1939:F1939)=2,E1939*F1939,"")</x:f>
      </x:c>
    </x:row>
    <x:row r="1940">
      <x:c r="A1940" s="66" t="n">
        <x:v>15</x:v>
      </x:c>
      <x:c r="B1940" s="44" t="str">
        <x:v>Canola/Rapeseed</x:v>
      </x:c>
      <x:c r="C1940" s="44" t="str">
        <x:v>P508CL</x:v>
      </x:c>
      <x:c r="D1940" s="66" t="n">
        <x:v>2024</x:v>
      </x:c>
      <x:c r="E1940" s="67"/>
      <x:c r="F1940" s="68"/>
      <x:c r="G1940" s="69" t="str">
        <x:f>IF(COUNT(E1940:F1940)=2,E1940*F1940,"")</x:f>
      </x:c>
    </x:row>
    <x:row r="1941">
      <x:c r="A1941" s="66" t="n">
        <x:v>15</x:v>
      </x:c>
      <x:c r="B1941" s="44" t="str">
        <x:v>Canola/Rapeseed</x:v>
      </x:c>
      <x:c r="C1941" s="44" t="str">
        <x:v>P508CL</x:v>
      </x:c>
      <x:c r="D1941" s="66" t="n">
        <x:v>2025</x:v>
      </x:c>
      <x:c r="E1941" s="67" t="n">
        <x:v>1975</x:v>
      </x:c>
      <x:c r="F1941" s="68" t="n">
        <x:v>44.8</x:v>
      </x:c>
      <x:c r="G1941" s="69" t="n">
        <x:f>IF(COUNT(E1941:F1941)=2,E1941*F1941,"")</x:f>
        <x:v>88480</x:v>
      </x:c>
    </x:row>
    <x:row r="1942">
      <x:c r="A1942" s="66" t="n">
        <x:v>15</x:v>
      </x:c>
      <x:c r="B1942" s="44" t="str">
        <x:v>Canola/Rapeseed</x:v>
      </x:c>
      <x:c r="C1942" s="44" t="str">
        <x:v>P508MCL</x:v>
      </x:c>
      <x:c r="D1942" s="66" t="n">
        <x:v>2021</x:v>
      </x:c>
      <x:c r="E1942" s="67" t="n">
        <x:v>4982</x:v>
      </x:c>
      <x:c r="F1942" s="68" t="n">
        <x:v>14.3</x:v>
      </x:c>
      <x:c r="G1942" s="69" t="n">
        <x:f>IF(COUNT(E1942:F1942)=2,E1942*F1942,"")</x:f>
        <x:v>71242.6</x:v>
      </x:c>
    </x:row>
    <x:row r="1943">
      <x:c r="A1943" s="66" t="n">
        <x:v>15</x:v>
      </x:c>
      <x:c r="B1943" s="44" t="str">
        <x:v>Canola/Rapeseed</x:v>
      </x:c>
      <x:c r="C1943" s="44" t="str">
        <x:v>P508MCL</x:v>
      </x:c>
      <x:c r="D1943" s="66" t="n">
        <x:v>2022</x:v>
      </x:c>
      <x:c r="E1943" s="67" t="n">
        <x:v>5888</x:v>
      </x:c>
      <x:c r="F1943" s="68" t="n">
        <x:v>38.3</x:v>
      </x:c>
      <x:c r="G1943" s="69" t="n">
        <x:f>IF(COUNT(E1943:F1943)=2,E1943*F1943,"")</x:f>
        <x:v>225510.4</x:v>
      </x:c>
    </x:row>
    <x:row r="1944">
      <x:c r="A1944" s="66" t="n">
        <x:v>15</x:v>
      </x:c>
      <x:c r="B1944" s="44" t="str">
        <x:v>Canola/Rapeseed</x:v>
      </x:c>
      <x:c r="C1944" s="44" t="str">
        <x:v>P508MCL</x:v>
      </x:c>
      <x:c r="D1944" s="66" t="n">
        <x:v>2023</x:v>
      </x:c>
      <x:c r="E1944" s="67" t="n">
        <x:v>1144</x:v>
      </x:c>
      <x:c r="F1944" s="68" t="n">
        <x:v>40.3</x:v>
      </x:c>
      <x:c r="G1944" s="69" t="n">
        <x:f>IF(COUNT(E1944:F1944)=2,E1944*F1944,"")</x:f>
        <x:v>46103.2</x:v>
      </x:c>
    </x:row>
    <x:row r="1945">
      <x:c r="A1945" s="66" t="n">
        <x:v>15</x:v>
      </x:c>
      <x:c r="B1945" s="44" t="str">
        <x:v>Canola/Rapeseed</x:v>
      </x:c>
      <x:c r="C1945" s="44" t="str">
        <x:v>P508MCL</x:v>
      </x:c>
      <x:c r="D1945" s="66" t="n">
        <x:v>2024</x:v>
      </x:c>
      <x:c r="E1945" s="67" t="n">
        <x:v>1685</x:v>
      </x:c>
      <x:c r="F1945" s="68" t="n">
        <x:v>35.8</x:v>
      </x:c>
      <x:c r="G1945" s="69" t="n">
        <x:f>IF(COUNT(E1945:F1945)=2,E1945*F1945,"")</x:f>
        <x:v>60322.99999999999</x:v>
      </x:c>
    </x:row>
    <x:row r="1946">
      <x:c r="A1946" s="66" t="n">
        <x:v>15</x:v>
      </x:c>
      <x:c r="B1946" s="44" t="str">
        <x:v>Canola/Rapeseed</x:v>
      </x:c>
      <x:c r="C1946" s="44" t="str">
        <x:v>P508MCL</x:v>
      </x:c>
      <x:c r="D1946" s="66" t="n">
        <x:v>2025</x:v>
      </x:c>
      <x:c r="E1946" s="67" t="n">
        <x:v>2308</x:v>
      </x:c>
      <x:c r="F1946" s="68" t="n">
        <x:v>45.9</x:v>
      </x:c>
      <x:c r="G1946" s="69" t="n">
        <x:f>IF(COUNT(E1946:F1946)=2,E1946*F1946,"")</x:f>
        <x:v>105937.2</x:v>
      </x:c>
    </x:row>
    <x:row r="1947">
      <x:c r="A1947" s="66" t="n">
        <x:v>15</x:v>
      </x:c>
      <x:c r="B1947" s="44" t="str">
        <x:v>Canola/Rapeseed</x:v>
      </x:c>
      <x:c r="C1947" s="44" t="str">
        <x:v>P515G</x:v>
      </x:c>
      <x:c r="D1947" s="66" t="n">
        <x:v>2021</x:v>
      </x:c>
      <x:c r="E1947" s="67"/>
      <x:c r="F1947" s="68"/>
      <x:c r="G1947" s="69" t="str">
        <x:f>IF(COUNT(E1947:F1947)=2,E1947*F1947,"")</x:f>
      </x:c>
    </x:row>
    <x:row r="1948">
      <x:c r="A1948" s="66" t="n">
        <x:v>15</x:v>
      </x:c>
      <x:c r="B1948" s="44" t="str">
        <x:v>Canola/Rapeseed</x:v>
      </x:c>
      <x:c r="C1948" s="44" t="str">
        <x:v>P515G</x:v>
      </x:c>
      <x:c r="D1948" s="66" t="n">
        <x:v>2022</x:v>
      </x:c>
      <x:c r="E1948" s="67"/>
      <x:c r="F1948" s="68"/>
      <x:c r="G1948" s="69" t="str">
        <x:f>IF(COUNT(E1948:F1948)=2,E1948*F1948,"")</x:f>
      </x:c>
    </x:row>
    <x:row r="1949">
      <x:c r="A1949" s="66" t="n">
        <x:v>15</x:v>
      </x:c>
      <x:c r="B1949" s="44" t="str">
        <x:v>Canola/Rapeseed</x:v>
      </x:c>
      <x:c r="C1949" s="44" t="str">
        <x:v>P515G</x:v>
      </x:c>
      <x:c r="D1949" s="66" t="n">
        <x:v>2023</x:v>
      </x:c>
      <x:c r="E1949" s="67" t="n">
        <x:v>1848</x:v>
      </x:c>
      <x:c r="F1949" s="68" t="n">
        <x:v>52.1</x:v>
      </x:c>
      <x:c r="G1949" s="69" t="n">
        <x:f>IF(COUNT(E1949:F1949)=2,E1949*F1949,"")</x:f>
        <x:v>96280.8</x:v>
      </x:c>
    </x:row>
    <x:row r="1950">
      <x:c r="A1950" s="66" t="n">
        <x:v>15</x:v>
      </x:c>
      <x:c r="B1950" s="44" t="str">
        <x:v>Canola/Rapeseed</x:v>
      </x:c>
      <x:c r="C1950" s="44" t="str">
        <x:v>P515G</x:v>
      </x:c>
      <x:c r="D1950" s="66" t="n">
        <x:v>2024</x:v>
      </x:c>
      <x:c r="E1950" s="67" t="n">
        <x:v>10028</x:v>
      </x:c>
      <x:c r="F1950" s="68" t="n">
        <x:v>29.1</x:v>
      </x:c>
      <x:c r="G1950" s="69" t="n">
        <x:f>IF(COUNT(E1950:F1950)=2,E1950*F1950,"")</x:f>
        <x:v>291814.8</x:v>
      </x:c>
    </x:row>
    <x:row r="1951">
      <x:c r="A1951" s="66" t="n">
        <x:v>15</x:v>
      </x:c>
      <x:c r="B1951" s="44" t="str">
        <x:v>Canola/Rapeseed</x:v>
      </x:c>
      <x:c r="C1951" s="44" t="str">
        <x:v>P515G</x:v>
      </x:c>
      <x:c r="D1951" s="66" t="n">
        <x:v>2025</x:v>
      </x:c>
      <x:c r="E1951" s="67" t="n">
        <x:v>6462</x:v>
      </x:c>
      <x:c r="F1951" s="68" t="n">
        <x:v>32.9</x:v>
      </x:c>
      <x:c r="G1951" s="69" t="n">
        <x:f>IF(COUNT(E1951:F1951)=2,E1951*F1951,"")</x:f>
        <x:v>212599.8</x:v>
      </x:c>
    </x:row>
    <x:row r="1952">
      <x:c r="A1952" s="66" t="n">
        <x:v>15</x:v>
      </x:c>
      <x:c r="B1952" s="44" t="str">
        <x:v>Canola/Rapeseed</x:v>
      </x:c>
      <x:c r="C1952" s="44" t="str">
        <x:v>P516L</x:v>
      </x:c>
      <x:c r="D1952" s="66" t="n">
        <x:v>2021</x:v>
      </x:c>
      <x:c r="E1952" s="67"/>
      <x:c r="F1952" s="68"/>
      <x:c r="G1952" s="69" t="str">
        <x:f>IF(COUNT(E1952:F1952)=2,E1952*F1952,"")</x:f>
      </x:c>
    </x:row>
    <x:row r="1953">
      <x:c r="A1953" s="66" t="n">
        <x:v>15</x:v>
      </x:c>
      <x:c r="B1953" s="44" t="str">
        <x:v>Canola/Rapeseed</x:v>
      </x:c>
      <x:c r="C1953" s="44" t="str">
        <x:v>P516L</x:v>
      </x:c>
      <x:c r="D1953" s="66" t="n">
        <x:v>2022</x:v>
      </x:c>
      <x:c r="E1953" s="67"/>
      <x:c r="F1953" s="68"/>
      <x:c r="G1953" s="69" t="str">
        <x:f>IF(COUNT(E1953:F1953)=2,E1953*F1953,"")</x:f>
      </x:c>
    </x:row>
    <x:row r="1954">
      <x:c r="A1954" s="66" t="n">
        <x:v>15</x:v>
      </x:c>
      <x:c r="B1954" s="44" t="str">
        <x:v>Canola/Rapeseed</x:v>
      </x:c>
      <x:c r="C1954" s="44" t="str">
        <x:v>P516L</x:v>
      </x:c>
      <x:c r="D1954" s="66" t="n">
        <x:v>2023</x:v>
      </x:c>
      <x:c r="E1954" s="67" t="n">
        <x:v>3013</x:v>
      </x:c>
      <x:c r="F1954" s="68" t="n">
        <x:v>42.9</x:v>
      </x:c>
      <x:c r="G1954" s="69" t="n">
        <x:f>IF(COUNT(E1954:F1954)=2,E1954*F1954,"")</x:f>
        <x:v>129257.7</x:v>
      </x:c>
    </x:row>
    <x:row r="1955">
      <x:c r="A1955" s="66" t="n">
        <x:v>15</x:v>
      </x:c>
      <x:c r="B1955" s="44" t="str">
        <x:v>Canola/Rapeseed</x:v>
      </x:c>
      <x:c r="C1955" s="44" t="str">
        <x:v>P516L</x:v>
      </x:c>
      <x:c r="D1955" s="66" t="n">
        <x:v>2024</x:v>
      </x:c>
      <x:c r="E1955" s="67" t="n">
        <x:v>13532</x:v>
      </x:c>
      <x:c r="F1955" s="68" t="n">
        <x:v>34.6</x:v>
      </x:c>
      <x:c r="G1955" s="69" t="n">
        <x:f>IF(COUNT(E1955:F1955)=2,E1955*F1955,"")</x:f>
        <x:v>468207.2</x:v>
      </x:c>
    </x:row>
    <x:row r="1956">
      <x:c r="A1956" s="66" t="n">
        <x:v>15</x:v>
      </x:c>
      <x:c r="B1956" s="44" t="str">
        <x:v>Canola/Rapeseed</x:v>
      </x:c>
      <x:c r="C1956" s="44" t="str">
        <x:v>P516L</x:v>
      </x:c>
      <x:c r="D1956" s="66" t="n">
        <x:v>2025</x:v>
      </x:c>
      <x:c r="E1956" s="67" t="n">
        <x:v>6298</x:v>
      </x:c>
      <x:c r="F1956" s="68" t="n">
        <x:v>38.3</x:v>
      </x:c>
      <x:c r="G1956" s="69" t="n">
        <x:f>IF(COUNT(E1956:F1956)=2,E1956*F1956,"")</x:f>
        <x:v>241213.4</x:v>
      </x:c>
    </x:row>
    <x:row r="1957">
      <x:c r="A1957" s="66" t="n">
        <x:v>15</x:v>
      </x:c>
      <x:c r="B1957" s="44" t="str">
        <x:v>Canola/Rapeseed</x:v>
      </x:c>
      <x:c r="C1957" s="44" t="str">
        <x:v>P520L</x:v>
      </x:c>
      <x:c r="D1957" s="66" t="n">
        <x:v>2021</x:v>
      </x:c>
      <x:c r="E1957" s="67"/>
      <x:c r="F1957" s="68"/>
      <x:c r="G1957" s="69" t="str">
        <x:f>IF(COUNT(E1957:F1957)=2,E1957*F1957,"")</x:f>
      </x:c>
    </x:row>
    <x:row r="1958">
      <x:c r="A1958" s="66" t="n">
        <x:v>15</x:v>
      </x:c>
      <x:c r="B1958" s="44" t="str">
        <x:v>Canola/Rapeseed</x:v>
      </x:c>
      <x:c r="C1958" s="44" t="str">
        <x:v>P520L</x:v>
      </x:c>
      <x:c r="D1958" s="66" t="n">
        <x:v>2022</x:v>
      </x:c>
      <x:c r="E1958" s="67"/>
      <x:c r="F1958" s="68"/>
      <x:c r="G1958" s="69" t="str">
        <x:f>IF(COUNT(E1958:F1958)=2,E1958*F1958,"")</x:f>
      </x:c>
    </x:row>
    <x:row r="1959">
      <x:c r="A1959" s="66" t="n">
        <x:v>15</x:v>
      </x:c>
      <x:c r="B1959" s="44" t="str">
        <x:v>Canola/Rapeseed</x:v>
      </x:c>
      <x:c r="C1959" s="44" t="str">
        <x:v>P520L</x:v>
      </x:c>
      <x:c r="D1959" s="66" t="n">
        <x:v>2023</x:v>
      </x:c>
      <x:c r="E1959" s="67"/>
      <x:c r="F1959" s="68"/>
      <x:c r="G1959" s="69" t="str">
        <x:f>IF(COUNT(E1959:F1959)=2,E1959*F1959,"")</x:f>
      </x:c>
    </x:row>
    <x:row r="1960">
      <x:c r="A1960" s="66" t="n">
        <x:v>15</x:v>
      </x:c>
      <x:c r="B1960" s="44" t="str">
        <x:v>Canola/Rapeseed</x:v>
      </x:c>
      <x:c r="C1960" s="44" t="str">
        <x:v>P520L</x:v>
      </x:c>
      <x:c r="D1960" s="66" t="n">
        <x:v>2024</x:v>
      </x:c>
      <x:c r="E1960" s="67" t="n">
        <x:v>930</x:v>
      </x:c>
      <x:c r="F1960" s="68" t="n">
        <x:v>45.5</x:v>
      </x:c>
      <x:c r="G1960" s="69" t="n">
        <x:f>IF(COUNT(E1960:F1960)=2,E1960*F1960,"")</x:f>
        <x:v>42315</x:v>
      </x:c>
    </x:row>
    <x:row r="1961">
      <x:c r="A1961" s="66" t="n">
        <x:v>15</x:v>
      </x:c>
      <x:c r="B1961" s="44" t="str">
        <x:v>Canola/Rapeseed</x:v>
      </x:c>
      <x:c r="C1961" s="44" t="str">
        <x:v>P520L</x:v>
      </x:c>
      <x:c r="D1961" s="66" t="n">
        <x:v>2025</x:v>
      </x:c>
      <x:c r="E1961" s="67" t="n">
        <x:v>21488</x:v>
      </x:c>
      <x:c r="F1961" s="68" t="n">
        <x:v>44.5</x:v>
      </x:c>
      <x:c r="G1961" s="69" t="n">
        <x:f>IF(COUNT(E1961:F1961)=2,E1961*F1961,"")</x:f>
        <x:v>956216</x:v>
      </x:c>
    </x:row>
    <x:row r="1962">
      <x:c r="A1962" s="66" t="n">
        <x:v>15</x:v>
      </x:c>
      <x:c r="B1962" s="44" t="str">
        <x:v>Canola/Rapeseed</x:v>
      </x:c>
      <x:c r="C1962" s="44" t="str">
        <x:v>P617SL</x:v>
      </x:c>
      <x:c r="D1962" s="66" t="n">
        <x:v>2021</x:v>
      </x:c>
      <x:c r="E1962" s="67"/>
      <x:c r="F1962" s="68"/>
      <x:c r="G1962" s="69" t="str">
        <x:f>IF(COUNT(E1962:F1962)=2,E1962*F1962,"")</x:f>
      </x:c>
    </x:row>
    <x:row r="1963">
      <x:c r="A1963" s="66" t="n">
        <x:v>15</x:v>
      </x:c>
      <x:c r="B1963" s="44" t="str">
        <x:v>Canola/Rapeseed</x:v>
      </x:c>
      <x:c r="C1963" s="44" t="str">
        <x:v>P617SL</x:v>
      </x:c>
      <x:c r="D1963" s="66" t="n">
        <x:v>2022</x:v>
      </x:c>
      <x:c r="E1963" s="67"/>
      <x:c r="F1963" s="68"/>
      <x:c r="G1963" s="69" t="str">
        <x:f>IF(COUNT(E1963:F1963)=2,E1963*F1963,"")</x:f>
      </x:c>
    </x:row>
    <x:row r="1964">
      <x:c r="A1964" s="66" t="n">
        <x:v>15</x:v>
      </x:c>
      <x:c r="B1964" s="44" t="str">
        <x:v>Canola/Rapeseed</x:v>
      </x:c>
      <x:c r="C1964" s="44" t="str">
        <x:v>P617SL</x:v>
      </x:c>
      <x:c r="D1964" s="66" t="n">
        <x:v>2023</x:v>
      </x:c>
      <x:c r="E1964" s="67"/>
      <x:c r="F1964" s="68"/>
      <x:c r="G1964" s="69" t="str">
        <x:f>IF(COUNT(E1964:F1964)=2,E1964*F1964,"")</x:f>
      </x:c>
    </x:row>
    <x:row r="1965">
      <x:c r="A1965" s="66" t="n">
        <x:v>15</x:v>
      </x:c>
      <x:c r="B1965" s="44" t="str">
        <x:v>Canola/Rapeseed</x:v>
      </x:c>
      <x:c r="C1965" s="44" t="str">
        <x:v>P617SL</x:v>
      </x:c>
      <x:c r="D1965" s="66" t="n">
        <x:v>2024</x:v>
      </x:c>
      <x:c r="E1965" s="67"/>
      <x:c r="F1965" s="68"/>
      <x:c r="G1965" s="69" t="str">
        <x:f>IF(COUNT(E1965:F1965)=2,E1965*F1965,"")</x:f>
      </x:c>
    </x:row>
    <x:row r="1966">
      <x:c r="A1966" s="66" t="n">
        <x:v>15</x:v>
      </x:c>
      <x:c r="B1966" s="44" t="str">
        <x:v>Canola/Rapeseed</x:v>
      </x:c>
      <x:c r="C1966" s="44" t="str">
        <x:v>P617SL</x:v>
      </x:c>
      <x:c r="D1966" s="66" t="n">
        <x:v>2025</x:v>
      </x:c>
      <x:c r="E1966" s="67" t="n">
        <x:v>928</x:v>
      </x:c>
      <x:c r="F1966" s="68" t="n">
        <x:v>52.2</x:v>
      </x:c>
      <x:c r="G1966" s="69" t="n">
        <x:f>IF(COUNT(E1966:F1966)=2,E1966*F1966,"")</x:f>
        <x:v>48441.600000000006</x:v>
      </x:c>
    </x:row>
    <x:row r="1967">
      <x:c r="A1967" s="66" t="n">
        <x:v>15</x:v>
      </x:c>
      <x:c r="B1967" s="44" t="str">
        <x:v>Canola/Rapeseed</x:v>
      </x:c>
      <x:c r="C1967" s="44" t="str">
        <x:v>46A65</x:v>
      </x:c>
      <x:c r="D1967" s="66" t="n">
        <x:v>2021</x:v>
      </x:c>
      <x:c r="E1967" s="67"/>
      <x:c r="F1967" s="68"/>
      <x:c r="G1967" s="69" t="str">
        <x:f>IF(COUNT(E1967:F1967)=2,E1967*F1967,"")</x:f>
      </x:c>
    </x:row>
    <x:row r="1968">
      <x:c r="A1968" s="66" t="n">
        <x:v>15</x:v>
      </x:c>
      <x:c r="B1968" s="44" t="str">
        <x:v>Canola/Rapeseed</x:v>
      </x:c>
      <x:c r="C1968" s="44" t="str">
        <x:v>46A65</x:v>
      </x:c>
      <x:c r="D1968" s="66" t="n">
        <x:v>2022</x:v>
      </x:c>
      <x:c r="E1968" s="67"/>
      <x:c r="F1968" s="68"/>
      <x:c r="G1968" s="69" t="str">
        <x:f>IF(COUNT(E1968:F1968)=2,E1968*F1968,"")</x:f>
      </x:c>
    </x:row>
    <x:row r="1969">
      <x:c r="A1969" s="66" t="n">
        <x:v>15</x:v>
      </x:c>
      <x:c r="B1969" s="44" t="str">
        <x:v>Canola/Rapeseed</x:v>
      </x:c>
      <x:c r="C1969" s="44" t="str">
        <x:v>46A65</x:v>
      </x:c>
      <x:c r="D1969" s="66" t="n">
        <x:v>2023</x:v>
      </x:c>
      <x:c r="E1969" s="67" t="n">
        <x:v>732</x:v>
      </x:c>
      <x:c r="F1969" s="68" t="n">
        <x:v>22.3</x:v>
      </x:c>
      <x:c r="G1969" s="69" t="n">
        <x:f>IF(COUNT(E1969:F1969)=2,E1969*F1969,"")</x:f>
        <x:v>16323.6</x:v>
      </x:c>
    </x:row>
    <x:row r="1970">
      <x:c r="A1970" s="66" t="n">
        <x:v>15</x:v>
      </x:c>
      <x:c r="B1970" s="44" t="str">
        <x:v>Canola/Rapeseed</x:v>
      </x:c>
      <x:c r="C1970" s="44" t="str">
        <x:v>46A65</x:v>
      </x:c>
      <x:c r="D1970" s="66" t="n">
        <x:v>2024</x:v>
      </x:c>
      <x:c r="E1970" s="67" t="n">
        <x:v>1132</x:v>
      </x:c>
      <x:c r="F1970" s="68" t="n">
        <x:v>24.7</x:v>
      </x:c>
      <x:c r="G1970" s="69" t="n">
        <x:f>IF(COUNT(E1970:F1970)=2,E1970*F1970,"")</x:f>
        <x:v>27960.399999999998</x:v>
      </x:c>
    </x:row>
    <x:row r="1971">
      <x:c r="A1971" s="66" t="n">
        <x:v>15</x:v>
      </x:c>
      <x:c r="B1971" s="44" t="str">
        <x:v>Canola/Rapeseed</x:v>
      </x:c>
      <x:c r="C1971" s="44" t="str">
        <x:v>46A65</x:v>
      </x:c>
      <x:c r="D1971" s="66" t="n">
        <x:v>2025</x:v>
      </x:c>
      <x:c r="E1971" s="67" t="n">
        <x:v>2045</x:v>
      </x:c>
      <x:c r="F1971" s="68" t="n">
        <x:v>31.4</x:v>
      </x:c>
      <x:c r="G1971" s="69" t="n">
        <x:f>IF(COUNT(E1971:F1971)=2,E1971*F1971,"")</x:f>
        <x:v>64213</x:v>
      </x:c>
    </x:row>
    <x:row r="1972">
      <x:c r="A1972" s="66" t="n">
        <x:v>16</x:v>
      </x:c>
      <x:c r="B1972" s="44" t="str">
        <x:v>Canola/Rapeseed</x:v>
      </x:c>
      <x:c r="C1972" s="44" t="str">
        <x:v>BY 7204LL</x:v>
      </x:c>
      <x:c r="D1972" s="66" t="n">
        <x:v>2021</x:v>
      </x:c>
      <x:c r="E1972" s="67"/>
      <x:c r="F1972" s="68"/>
      <x:c r="G1972" s="69" t="str">
        <x:f>IF(COUNT(E1972:F1972)=2,E1972*F1972,"")</x:f>
      </x:c>
    </x:row>
    <x:row r="1973">
      <x:c r="A1973" s="66" t="n">
        <x:v>16</x:v>
      </x:c>
      <x:c r="B1973" s="44" t="str">
        <x:v>Canola/Rapeseed</x:v>
      </x:c>
      <x:c r="C1973" s="44" t="str">
        <x:v>BY 7204LL</x:v>
      </x:c>
      <x:c r="D1973" s="66" t="n">
        <x:v>2022</x:v>
      </x:c>
      <x:c r="E1973" s="67"/>
      <x:c r="F1973" s="68"/>
      <x:c r="G1973" s="69" t="str">
        <x:f>IF(COUNT(E1973:F1973)=2,E1973*F1973,"")</x:f>
      </x:c>
    </x:row>
    <x:row r="1974">
      <x:c r="A1974" s="66" t="n">
        <x:v>16</x:v>
      </x:c>
      <x:c r="B1974" s="44" t="str">
        <x:v>Canola/Rapeseed</x:v>
      </x:c>
      <x:c r="C1974" s="44" t="str">
        <x:v>BY 7204LL</x:v>
      </x:c>
      <x:c r="D1974" s="66" t="n">
        <x:v>2023</x:v>
      </x:c>
      <x:c r="E1974" s="67"/>
      <x:c r="F1974" s="68"/>
      <x:c r="G1974" s="69" t="str">
        <x:f>IF(COUNT(E1974:F1974)=2,E1974*F1974,"")</x:f>
      </x:c>
    </x:row>
    <x:row r="1975">
      <x:c r="A1975" s="66" t="n">
        <x:v>16</x:v>
      </x:c>
      <x:c r="B1975" s="44" t="str">
        <x:v>Canola/Rapeseed</x:v>
      </x:c>
      <x:c r="C1975" s="44" t="str">
        <x:v>BY 7204LL</x:v>
      </x:c>
      <x:c r="D1975" s="66" t="n">
        <x:v>2024</x:v>
      </x:c>
      <x:c r="E1975" s="67" t="n">
        <x:v>4059</x:v>
      </x:c>
      <x:c r="F1975" s="68" t="n">
        <x:v>26.8</x:v>
      </x:c>
      <x:c r="G1975" s="69" t="n">
        <x:f>IF(COUNT(E1975:F1975)=2,E1975*F1975,"")</x:f>
        <x:v>108781.2</x:v>
      </x:c>
    </x:row>
    <x:row r="1976">
      <x:c r="A1976" s="66" t="n">
        <x:v>16</x:v>
      </x:c>
      <x:c r="B1976" s="44" t="str">
        <x:v>Canola/Rapeseed</x:v>
      </x:c>
      <x:c r="C1976" s="44" t="str">
        <x:v>BY 7204LL</x:v>
      </x:c>
      <x:c r="D1976" s="66" t="n">
        <x:v>2025</x:v>
      </x:c>
      <x:c r="E1976" s="67" t="n">
        <x:v>4826</x:v>
      </x:c>
      <x:c r="F1976" s="68" t="n">
        <x:v>48.5</x:v>
      </x:c>
      <x:c r="G1976" s="69" t="n">
        <x:f>IF(COUNT(E1976:F1976)=2,E1976*F1976,"")</x:f>
        <x:v>234061</x:v>
      </x:c>
    </x:row>
    <x:row r="1977">
      <x:c r="A1977" s="66" t="n">
        <x:v>16</x:v>
      </x:c>
      <x:c r="B1977" s="44" t="str">
        <x:v>Canola/Rapeseed</x:v>
      </x:c>
      <x:c r="C1977" s="44" t="str">
        <x:v>B3012</x:v>
      </x:c>
      <x:c r="D1977" s="66" t="n">
        <x:v>2021</x:v>
      </x:c>
      <x:c r="E1977" s="67"/>
      <x:c r="F1977" s="68"/>
      <x:c r="G1977" s="69" t="str">
        <x:f>IF(COUNT(E1977:F1977)=2,E1977*F1977,"")</x:f>
      </x:c>
    </x:row>
    <x:row r="1978">
      <x:c r="A1978" s="66" t="n">
        <x:v>16</x:v>
      </x:c>
      <x:c r="B1978" s="44" t="str">
        <x:v>Canola/Rapeseed</x:v>
      </x:c>
      <x:c r="C1978" s="44" t="str">
        <x:v>B3012</x:v>
      </x:c>
      <x:c r="D1978" s="66" t="n">
        <x:v>2022</x:v>
      </x:c>
      <x:c r="E1978" s="67"/>
      <x:c r="F1978" s="68"/>
      <x:c r="G1978" s="69" t="str">
        <x:f>IF(COUNT(E1978:F1978)=2,E1978*F1978,"")</x:f>
      </x:c>
    </x:row>
    <x:row r="1979">
      <x:c r="A1979" s="66" t="n">
        <x:v>16</x:v>
      </x:c>
      <x:c r="B1979" s="44" t="str">
        <x:v>Canola/Rapeseed</x:v>
      </x:c>
      <x:c r="C1979" s="44" t="str">
        <x:v>B3012</x:v>
      </x:c>
      <x:c r="D1979" s="66" t="n">
        <x:v>2023</x:v>
      </x:c>
      <x:c r="E1979" s="67" t="n">
        <x:v>2625</x:v>
      </x:c>
      <x:c r="F1979" s="68" t="n">
        <x:v>24.6</x:v>
      </x:c>
      <x:c r="G1979" s="69" t="n">
        <x:f>IF(COUNT(E1979:F1979)=2,E1979*F1979,"")</x:f>
        <x:v>64575.00000000001</x:v>
      </x:c>
    </x:row>
    <x:row r="1980">
      <x:c r="A1980" s="66" t="n">
        <x:v>16</x:v>
      </x:c>
      <x:c r="B1980" s="44" t="str">
        <x:v>Canola/Rapeseed</x:v>
      </x:c>
      <x:c r="C1980" s="44" t="str">
        <x:v>B3012</x:v>
      </x:c>
      <x:c r="D1980" s="66" t="n">
        <x:v>2024</x:v>
      </x:c>
      <x:c r="E1980" s="67" t="n">
        <x:v>5537</x:v>
      </x:c>
      <x:c r="F1980" s="68" t="n">
        <x:v>31.3</x:v>
      </x:c>
      <x:c r="G1980" s="69" t="n">
        <x:f>IF(COUNT(E1980:F1980)=2,E1980*F1980,"")</x:f>
        <x:v>173308.1</x:v>
      </x:c>
    </x:row>
    <x:row r="1981">
      <x:c r="A1981" s="66" t="n">
        <x:v>16</x:v>
      </x:c>
      <x:c r="B1981" s="44" t="str">
        <x:v>Canola/Rapeseed</x:v>
      </x:c>
      <x:c r="C1981" s="44" t="str">
        <x:v>B3012</x:v>
      </x:c>
      <x:c r="D1981" s="66" t="n">
        <x:v>2025</x:v>
      </x:c>
      <x:c r="E1981" s="67" t="n">
        <x:v>795</x:v>
      </x:c>
      <x:c r="F1981" s="68" t="n">
        <x:v>43.6</x:v>
      </x:c>
      <x:c r="G1981" s="69" t="n">
        <x:f>IF(COUNT(E1981:F1981)=2,E1981*F1981,"")</x:f>
        <x:v>34662</x:v>
      </x:c>
    </x:row>
    <x:row r="1982">
      <x:c r="A1982" s="66" t="n">
        <x:v>16</x:v>
      </x:c>
      <x:c r="B1982" s="44" t="str">
        <x:v>Canola/Rapeseed</x:v>
      </x:c>
      <x:c r="C1982" s="44" t="str">
        <x:v>B3020</x:v>
      </x:c>
      <x:c r="D1982" s="66" t="n">
        <x:v>2021</x:v>
      </x:c>
      <x:c r="E1982" s="67"/>
      <x:c r="F1982" s="68"/>
      <x:c r="G1982" s="69" t="str">
        <x:f>IF(COUNT(E1982:F1982)=2,E1982*F1982,"")</x:f>
      </x:c>
    </x:row>
    <x:row r="1983">
      <x:c r="A1983" s="66" t="n">
        <x:v>16</x:v>
      </x:c>
      <x:c r="B1983" s="44" t="str">
        <x:v>Canola/Rapeseed</x:v>
      </x:c>
      <x:c r="C1983" s="44" t="str">
        <x:v>B3020</x:v>
      </x:c>
      <x:c r="D1983" s="66" t="n">
        <x:v>2022</x:v>
      </x:c>
      <x:c r="E1983" s="67"/>
      <x:c r="F1983" s="68"/>
      <x:c r="G1983" s="69" t="str">
        <x:f>IF(COUNT(E1983:F1983)=2,E1983*F1983,"")</x:f>
      </x:c>
    </x:row>
    <x:row r="1984">
      <x:c r="A1984" s="66" t="n">
        <x:v>16</x:v>
      </x:c>
      <x:c r="B1984" s="44" t="str">
        <x:v>Canola/Rapeseed</x:v>
      </x:c>
      <x:c r="C1984" s="44" t="str">
        <x:v>B3020</x:v>
      </x:c>
      <x:c r="D1984" s="66" t="n">
        <x:v>2023</x:v>
      </x:c>
      <x:c r="E1984" s="67"/>
      <x:c r="F1984" s="68"/>
      <x:c r="G1984" s="69" t="str">
        <x:f>IF(COUNT(E1984:F1984)=2,E1984*F1984,"")</x:f>
      </x:c>
    </x:row>
    <x:row r="1985">
      <x:c r="A1985" s="66" t="n">
        <x:v>16</x:v>
      </x:c>
      <x:c r="B1985" s="44" t="str">
        <x:v>Canola/Rapeseed</x:v>
      </x:c>
      <x:c r="C1985" s="44" t="str">
        <x:v>B3020</x:v>
      </x:c>
      <x:c r="D1985" s="66" t="n">
        <x:v>2024</x:v>
      </x:c>
      <x:c r="E1985" s="67"/>
      <x:c r="F1985" s="68"/>
      <x:c r="G1985" s="69" t="str">
        <x:f>IF(COUNT(E1985:F1985)=2,E1985*F1985,"")</x:f>
      </x:c>
    </x:row>
    <x:row r="1986">
      <x:c r="A1986" s="66" t="n">
        <x:v>16</x:v>
      </x:c>
      <x:c r="B1986" s="44" t="str">
        <x:v>Canola/Rapeseed</x:v>
      </x:c>
      <x:c r="C1986" s="44" t="str">
        <x:v>B3020</x:v>
      </x:c>
      <x:c r="D1986" s="66" t="n">
        <x:v>2025</x:v>
      </x:c>
      <x:c r="E1986" s="67" t="n">
        <x:v>3206</x:v>
      </x:c>
      <x:c r="F1986" s="68" t="n">
        <x:v>40.7</x:v>
      </x:c>
      <x:c r="G1986" s="69" t="n">
        <x:f>IF(COUNT(E1986:F1986)=2,E1986*F1986,"")</x:f>
        <x:v>130484.20000000001</x:v>
      </x:c>
    </x:row>
    <x:row r="1987">
      <x:c r="A1987" s="66" t="n">
        <x:v>16</x:v>
      </x:c>
      <x:c r="B1987" s="44" t="str">
        <x:v>Canola/Rapeseed</x:v>
      </x:c>
      <x:c r="C1987" s="44" t="str">
        <x:v>B4015</x:v>
      </x:c>
      <x:c r="D1987" s="66" t="n">
        <x:v>2021</x:v>
      </x:c>
      <x:c r="E1987" s="67"/>
      <x:c r="F1987" s="68"/>
      <x:c r="G1987" s="69" t="str">
        <x:f>IF(COUNT(E1987:F1987)=2,E1987*F1987,"")</x:f>
      </x:c>
    </x:row>
    <x:row r="1988">
      <x:c r="A1988" s="66" t="n">
        <x:v>16</x:v>
      </x:c>
      <x:c r="B1988" s="44" t="str">
        <x:v>Canola/Rapeseed</x:v>
      </x:c>
      <x:c r="C1988" s="44" t="str">
        <x:v>B4015</x:v>
      </x:c>
      <x:c r="D1988" s="66" t="n">
        <x:v>2022</x:v>
      </x:c>
      <x:c r="E1988" s="67"/>
      <x:c r="F1988" s="68"/>
      <x:c r="G1988" s="69" t="str">
        <x:f>IF(COUNT(E1988:F1988)=2,E1988*F1988,"")</x:f>
      </x:c>
    </x:row>
    <x:row r="1989">
      <x:c r="A1989" s="66" t="n">
        <x:v>16</x:v>
      </x:c>
      <x:c r="B1989" s="44" t="str">
        <x:v>Canola/Rapeseed</x:v>
      </x:c>
      <x:c r="C1989" s="44" t="str">
        <x:v>B4015</x:v>
      </x:c>
      <x:c r="D1989" s="66" t="n">
        <x:v>2023</x:v>
      </x:c>
      <x:c r="E1989" s="67"/>
      <x:c r="F1989" s="68"/>
      <x:c r="G1989" s="69" t="str">
        <x:f>IF(COUNT(E1989:F1989)=2,E1989*F1989,"")</x:f>
      </x:c>
    </x:row>
    <x:row r="1990">
      <x:c r="A1990" s="66" t="n">
        <x:v>16</x:v>
      </x:c>
      <x:c r="B1990" s="44" t="str">
        <x:v>Canola/Rapeseed</x:v>
      </x:c>
      <x:c r="C1990" s="44" t="str">
        <x:v>B4015</x:v>
      </x:c>
      <x:c r="D1990" s="66" t="n">
        <x:v>2024</x:v>
      </x:c>
      <x:c r="E1990" s="67"/>
      <x:c r="F1990" s="68"/>
      <x:c r="G1990" s="69" t="str">
        <x:f>IF(COUNT(E1990:F1990)=2,E1990*F1990,"")</x:f>
      </x:c>
    </x:row>
    <x:row r="1991">
      <x:c r="A1991" s="66" t="n">
        <x:v>16</x:v>
      </x:c>
      <x:c r="B1991" s="44" t="str">
        <x:v>Canola/Rapeseed</x:v>
      </x:c>
      <x:c r="C1991" s="44" t="str">
        <x:v>B4015</x:v>
      </x:c>
      <x:c r="D1991" s="66" t="n">
        <x:v>2025</x:v>
      </x:c>
      <x:c r="E1991" s="67" t="n">
        <x:v>1169</x:v>
      </x:c>
      <x:c r="F1991" s="68" t="n">
        <x:v>41.4</x:v>
      </x:c>
      <x:c r="G1991" s="69" t="n">
        <x:f>IF(COUNT(E1991:F1991)=2,E1991*F1991,"")</x:f>
        <x:v>48396.6</x:v>
      </x:c>
    </x:row>
    <x:row r="1992">
      <x:c r="A1992" s="66" t="n">
        <x:v>16</x:v>
      </x:c>
      <x:c r="B1992" s="44" t="str">
        <x:v>Canola/Rapeseed</x:v>
      </x:c>
      <x:c r="C1992" s="44" t="str">
        <x:v>CS4000 LL</x:v>
      </x:c>
      <x:c r="D1992" s="66" t="n">
        <x:v>2021</x:v>
      </x:c>
      <x:c r="E1992" s="67"/>
      <x:c r="F1992" s="68"/>
      <x:c r="G1992" s="69" t="str">
        <x:f>IF(COUNT(E1992:F1992)=2,E1992*F1992,"")</x:f>
      </x:c>
    </x:row>
    <x:row r="1993">
      <x:c r="A1993" s="66" t="n">
        <x:v>16</x:v>
      </x:c>
      <x:c r="B1993" s="44" t="str">
        <x:v>Canola/Rapeseed</x:v>
      </x:c>
      <x:c r="C1993" s="44" t="str">
        <x:v>CS4000 LL</x:v>
      </x:c>
      <x:c r="D1993" s="66" t="n">
        <x:v>2022</x:v>
      </x:c>
      <x:c r="E1993" s="67" t="n">
        <x:v>3424</x:v>
      </x:c>
      <x:c r="F1993" s="68" t="n">
        <x:v>14.6</x:v>
      </x:c>
      <x:c r="G1993" s="69" t="n">
        <x:f>IF(COUNT(E1993:F1993)=2,E1993*F1993,"")</x:f>
        <x:v>49990.4</x:v>
      </x:c>
    </x:row>
    <x:row r="1994">
      <x:c r="A1994" s="66" t="n">
        <x:v>16</x:v>
      </x:c>
      <x:c r="B1994" s="44" t="str">
        <x:v>Canola/Rapeseed</x:v>
      </x:c>
      <x:c r="C1994" s="44" t="str">
        <x:v>CS4000 LL</x:v>
      </x:c>
      <x:c r="D1994" s="66" t="n">
        <x:v>2023</x:v>
      </x:c>
      <x:c r="E1994" s="67" t="n">
        <x:v>20130</x:v>
      </x:c>
      <x:c r="F1994" s="68" t="n">
        <x:v>23</x:v>
      </x:c>
      <x:c r="G1994" s="69" t="n">
        <x:f>IF(COUNT(E1994:F1994)=2,E1994*F1994,"")</x:f>
        <x:v>462990</x:v>
      </x:c>
    </x:row>
    <x:row r="1995">
      <x:c r="A1995" s="66" t="n">
        <x:v>16</x:v>
      </x:c>
      <x:c r="B1995" s="44" t="str">
        <x:v>Canola/Rapeseed</x:v>
      </x:c>
      <x:c r="C1995" s="44" t="str">
        <x:v>CS4000 LL</x:v>
      </x:c>
      <x:c r="D1995" s="66" t="n">
        <x:v>2024</x:v>
      </x:c>
      <x:c r="E1995" s="67" t="n">
        <x:v>13302</x:v>
      </x:c>
      <x:c r="F1995" s="68" t="n">
        <x:v>35.1</x:v>
      </x:c>
      <x:c r="G1995" s="69" t="n">
        <x:f>IF(COUNT(E1995:F1995)=2,E1995*F1995,"")</x:f>
        <x:v>466900.2</x:v>
      </x:c>
    </x:row>
    <x:row r="1996">
      <x:c r="A1996" s="66" t="n">
        <x:v>16</x:v>
      </x:c>
      <x:c r="B1996" s="44" t="str">
        <x:v>Canola/Rapeseed</x:v>
      </x:c>
      <x:c r="C1996" s="44" t="str">
        <x:v>CS4000 LL</x:v>
      </x:c>
      <x:c r="D1996" s="66" t="n">
        <x:v>2025</x:v>
      </x:c>
      <x:c r="E1996" s="67" t="n">
        <x:v>4512</x:v>
      </x:c>
      <x:c r="F1996" s="68" t="n">
        <x:v>46.3</x:v>
      </x:c>
      <x:c r="G1996" s="69" t="n">
        <x:f>IF(COUNT(E1996:F1996)=2,E1996*F1996,"")</x:f>
        <x:v>208905.59999999998</x:v>
      </x:c>
    </x:row>
    <x:row r="1997">
      <x:c r="A1997" s="66" t="n">
        <x:v>16</x:v>
      </x:c>
      <x:c r="B1997" s="44" t="str">
        <x:v>Canola/Rapeseed</x:v>
      </x:c>
      <x:c r="C1997" s="44" t="str">
        <x:v>CS4100 LL</x:v>
      </x:c>
      <x:c r="D1997" s="66" t="n">
        <x:v>2021</x:v>
      </x:c>
      <x:c r="E1997" s="67"/>
      <x:c r="F1997" s="68"/>
      <x:c r="G1997" s="69" t="str">
        <x:f>IF(COUNT(E1997:F1997)=2,E1997*F1997,"")</x:f>
      </x:c>
    </x:row>
    <x:row r="1998">
      <x:c r="A1998" s="66" t="n">
        <x:v>16</x:v>
      </x:c>
      <x:c r="B1998" s="44" t="str">
        <x:v>Canola/Rapeseed</x:v>
      </x:c>
      <x:c r="C1998" s="44" t="str">
        <x:v>CS4100 LL</x:v>
      </x:c>
      <x:c r="D1998" s="66" t="n">
        <x:v>2022</x:v>
      </x:c>
      <x:c r="E1998" s="67"/>
      <x:c r="F1998" s="68"/>
      <x:c r="G1998" s="69" t="str">
        <x:f>IF(COUNT(E1998:F1998)=2,E1998*F1998,"")</x:f>
      </x:c>
    </x:row>
    <x:row r="1999">
      <x:c r="A1999" s="66" t="n">
        <x:v>16</x:v>
      </x:c>
      <x:c r="B1999" s="44" t="str">
        <x:v>Canola/Rapeseed</x:v>
      </x:c>
      <x:c r="C1999" s="44" t="str">
        <x:v>CS4100 LL</x:v>
      </x:c>
      <x:c r="D1999" s="66" t="n">
        <x:v>2023</x:v>
      </x:c>
      <x:c r="E1999" s="67"/>
      <x:c r="F1999" s="68"/>
      <x:c r="G1999" s="69" t="str">
        <x:f>IF(COUNT(E1999:F1999)=2,E1999*F1999,"")</x:f>
      </x:c>
    </x:row>
    <x:row r="2000">
      <x:c r="A2000" s="66" t="n">
        <x:v>16</x:v>
      </x:c>
      <x:c r="B2000" s="44" t="str">
        <x:v>Canola/Rapeseed</x:v>
      </x:c>
      <x:c r="C2000" s="44" t="str">
        <x:v>CS4100 LL</x:v>
      </x:c>
      <x:c r="D2000" s="66" t="n">
        <x:v>2024</x:v>
      </x:c>
      <x:c r="E2000" s="67"/>
      <x:c r="F2000" s="68"/>
      <x:c r="G2000" s="69" t="str">
        <x:f>IF(COUNT(E2000:F2000)=2,E2000*F2000,"")</x:f>
      </x:c>
    </x:row>
    <x:row r="2001">
      <x:c r="A2001" s="66" t="n">
        <x:v>16</x:v>
      </x:c>
      <x:c r="B2001" s="44" t="str">
        <x:v>Canola/Rapeseed</x:v>
      </x:c>
      <x:c r="C2001" s="44" t="str">
        <x:v>CS4100 LL</x:v>
      </x:c>
      <x:c r="D2001" s="66" t="n">
        <x:v>2025</x:v>
      </x:c>
      <x:c r="E2001" s="67" t="n">
        <x:v>4791</x:v>
      </x:c>
      <x:c r="F2001" s="68" t="n">
        <x:v>52.4</x:v>
      </x:c>
      <x:c r="G2001" s="69" t="n">
        <x:f>IF(COUNT(E2001:F2001)=2,E2001*F2001,"")</x:f>
        <x:v>251048.4</x:v>
      </x:c>
    </x:row>
    <x:row r="2002">
      <x:c r="A2002" s="66" t="n">
        <x:v>16</x:v>
      </x:c>
      <x:c r="B2002" s="44" t="str">
        <x:v>Canola/Rapeseed</x:v>
      </x:c>
      <x:c r="C2002" s="44" t="str">
        <x:v>DK 801 LL</x:v>
      </x:c>
      <x:c r="D2002" s="66" t="n">
        <x:v>2021</x:v>
      </x:c>
      <x:c r="E2002" s="67"/>
      <x:c r="F2002" s="68"/>
      <x:c r="G2002" s="69" t="str">
        <x:f>IF(COUNT(E2002:F2002)=2,E2002*F2002,"")</x:f>
      </x:c>
    </x:row>
    <x:row r="2003">
      <x:c r="A2003" s="66" t="n">
        <x:v>16</x:v>
      </x:c>
      <x:c r="B2003" s="44" t="str">
        <x:v>Canola/Rapeseed</x:v>
      </x:c>
      <x:c r="C2003" s="44" t="str">
        <x:v>DK 801 LL</x:v>
      </x:c>
      <x:c r="D2003" s="66" t="n">
        <x:v>2022</x:v>
      </x:c>
      <x:c r="E2003" s="67"/>
      <x:c r="F2003" s="68"/>
      <x:c r="G2003" s="69" t="str">
        <x:f>IF(COUNT(E2003:F2003)=2,E2003*F2003,"")</x:f>
      </x:c>
    </x:row>
    <x:row r="2004">
      <x:c r="A2004" s="66" t="n">
        <x:v>16</x:v>
      </x:c>
      <x:c r="B2004" s="44" t="str">
        <x:v>Canola/Rapeseed</x:v>
      </x:c>
      <x:c r="C2004" s="44" t="str">
        <x:v>DK 801 LL</x:v>
      </x:c>
      <x:c r="D2004" s="66" t="n">
        <x:v>2023</x:v>
      </x:c>
      <x:c r="E2004" s="67"/>
      <x:c r="F2004" s="68"/>
      <x:c r="G2004" s="69" t="str">
        <x:f>IF(COUNT(E2004:F2004)=2,E2004*F2004,"")</x:f>
      </x:c>
    </x:row>
    <x:row r="2005">
      <x:c r="A2005" s="66" t="n">
        <x:v>16</x:v>
      </x:c>
      <x:c r="B2005" s="44" t="str">
        <x:v>Canola/Rapeseed</x:v>
      </x:c>
      <x:c r="C2005" s="44" t="str">
        <x:v>DK 801 LL</x:v>
      </x:c>
      <x:c r="D2005" s="66" t="n">
        <x:v>2024</x:v>
      </x:c>
      <x:c r="E2005" s="67" t="n">
        <x:v>2499</x:v>
      </x:c>
      <x:c r="F2005" s="68" t="n">
        <x:v>33.5</x:v>
      </x:c>
      <x:c r="G2005" s="69" t="n">
        <x:f>IF(COUNT(E2005:F2005)=2,E2005*F2005,"")</x:f>
        <x:v>83716.5</x:v>
      </x:c>
    </x:row>
    <x:row r="2006">
      <x:c r="A2006" s="66" t="n">
        <x:v>16</x:v>
      </x:c>
      <x:c r="B2006" s="44" t="str">
        <x:v>Canola/Rapeseed</x:v>
      </x:c>
      <x:c r="C2006" s="44" t="str">
        <x:v>DK 801 LL</x:v>
      </x:c>
      <x:c r="D2006" s="66" t="n">
        <x:v>2025</x:v>
      </x:c>
      <x:c r="E2006" s="67" t="n">
        <x:v>12424</x:v>
      </x:c>
      <x:c r="F2006" s="68" t="n">
        <x:v>49.4</x:v>
      </x:c>
      <x:c r="G2006" s="69" t="n">
        <x:f>IF(COUNT(E2006:F2006)=2,E2006*F2006,"")</x:f>
        <x:v>613745.6</x:v>
      </x:c>
    </x:row>
    <x:row r="2007">
      <x:c r="A2007" s="66" t="n">
        <x:v>16</x:v>
      </x:c>
      <x:c r="B2007" s="44" t="str">
        <x:v>Canola/Rapeseed</x:v>
      </x:c>
      <x:c r="C2007" s="44" t="str">
        <x:v>DKLL 83 SC</x:v>
      </x:c>
      <x:c r="D2007" s="66" t="n">
        <x:v>2021</x:v>
      </x:c>
      <x:c r="E2007" s="67"/>
      <x:c r="F2007" s="68"/>
      <x:c r="G2007" s="69" t="str">
        <x:f>IF(COUNT(E2007:F2007)=2,E2007*F2007,"")</x:f>
      </x:c>
    </x:row>
    <x:row r="2008">
      <x:c r="A2008" s="66" t="n">
        <x:v>16</x:v>
      </x:c>
      <x:c r="B2008" s="44" t="str">
        <x:v>Canola/Rapeseed</x:v>
      </x:c>
      <x:c r="C2008" s="44" t="str">
        <x:v>DKLL 83 SC</x:v>
      </x:c>
      <x:c r="D2008" s="66" t="n">
        <x:v>2022</x:v>
      </x:c>
      <x:c r="E2008" s="67" t="n">
        <x:v>1085</x:v>
      </x:c>
      <x:c r="F2008" s="68" t="n">
        <x:v>39.2</x:v>
      </x:c>
      <x:c r="G2008" s="69" t="n">
        <x:f>IF(COUNT(E2008:F2008)=2,E2008*F2008,"")</x:f>
        <x:v>42532</x:v>
      </x:c>
    </x:row>
    <x:row r="2009">
      <x:c r="A2009" s="66" t="n">
        <x:v>16</x:v>
      </x:c>
      <x:c r="B2009" s="44" t="str">
        <x:v>Canola/Rapeseed</x:v>
      </x:c>
      <x:c r="C2009" s="44" t="str">
        <x:v>DKLL 83 SC</x:v>
      </x:c>
      <x:c r="D2009" s="66" t="n">
        <x:v>2023</x:v>
      </x:c>
      <x:c r="E2009" s="67" t="n">
        <x:v>33429</x:v>
      </x:c>
      <x:c r="F2009" s="68" t="n">
        <x:v>19.8</x:v>
      </x:c>
      <x:c r="G2009" s="69" t="n">
        <x:f>IF(COUNT(E2009:F2009)=2,E2009*F2009,"")</x:f>
        <x:v>661894.2000000001</x:v>
      </x:c>
    </x:row>
    <x:row r="2010">
      <x:c r="A2010" s="66" t="n">
        <x:v>16</x:v>
      </x:c>
      <x:c r="B2010" s="44" t="str">
        <x:v>Canola/Rapeseed</x:v>
      </x:c>
      <x:c r="C2010" s="44" t="str">
        <x:v>DKLL 83 SC</x:v>
      </x:c>
      <x:c r="D2010" s="66" t="n">
        <x:v>2024</x:v>
      </x:c>
      <x:c r="E2010" s="67" t="n">
        <x:v>71609</x:v>
      </x:c>
      <x:c r="F2010" s="68" t="n">
        <x:v>29.4</x:v>
      </x:c>
      <x:c r="G2010" s="69" t="n">
        <x:f>IF(COUNT(E2010:F2010)=2,E2010*F2010,"")</x:f>
        <x:v>2105304.6</x:v>
      </x:c>
    </x:row>
    <x:row r="2011">
      <x:c r="A2011" s="66" t="n">
        <x:v>16</x:v>
      </x:c>
      <x:c r="B2011" s="44" t="str">
        <x:v>Canola/Rapeseed</x:v>
      </x:c>
      <x:c r="C2011" s="44" t="str">
        <x:v>DKLL 83 SC</x:v>
      </x:c>
      <x:c r="D2011" s="66" t="n">
        <x:v>2025</x:v>
      </x:c>
      <x:c r="E2011" s="67" t="n">
        <x:v>2268</x:v>
      </x:c>
      <x:c r="F2011" s="68" t="n">
        <x:v>56.8</x:v>
      </x:c>
      <x:c r="G2011" s="69" t="n">
        <x:f>IF(COUNT(E2011:F2011)=2,E2011*F2011,"")</x:f>
        <x:v>128822.4</x:v>
      </x:c>
    </x:row>
    <x:row r="2012">
      <x:c r="A2012" s="66" t="n">
        <x:v>16</x:v>
      </x:c>
      <x:c r="B2012" s="44" t="str">
        <x:v>Canola/Rapeseed</x:v>
      </x:c>
      <x:c r="C2012" s="44" t="str">
        <x:v>DKTFLL 21 SC</x:v>
      </x:c>
      <x:c r="D2012" s="66" t="n">
        <x:v>2021</x:v>
      </x:c>
      <x:c r="E2012" s="67" t="n">
        <x:v>4113</x:v>
      </x:c>
      <x:c r="F2012" s="68" t="n">
        <x:v>11.8</x:v>
      </x:c>
      <x:c r="G2012" s="69" t="n">
        <x:f>IF(COUNT(E2012:F2012)=2,E2012*F2012,"")</x:f>
        <x:v>48533.4</x:v>
      </x:c>
    </x:row>
    <x:row r="2013">
      <x:c r="A2013" s="66" t="n">
        <x:v>16</x:v>
      </x:c>
      <x:c r="B2013" s="44" t="str">
        <x:v>Canola/Rapeseed</x:v>
      </x:c>
      <x:c r="C2013" s="44" t="str">
        <x:v>DKTFLL 21 SC</x:v>
      </x:c>
      <x:c r="D2013" s="66" t="n">
        <x:v>2022</x:v>
      </x:c>
      <x:c r="E2013" s="67" t="n">
        <x:v>15372</x:v>
      </x:c>
      <x:c r="F2013" s="68" t="n">
        <x:v>19.6</x:v>
      </x:c>
      <x:c r="G2013" s="69" t="n">
        <x:f>IF(COUNT(E2013:F2013)=2,E2013*F2013,"")</x:f>
        <x:v>301291.2</x:v>
      </x:c>
    </x:row>
    <x:row r="2014">
      <x:c r="A2014" s="66" t="n">
        <x:v>16</x:v>
      </x:c>
      <x:c r="B2014" s="44" t="str">
        <x:v>Canola/Rapeseed</x:v>
      </x:c>
      <x:c r="C2014" s="44" t="str">
        <x:v>DKTFLL 21 SC</x:v>
      </x:c>
      <x:c r="D2014" s="66" t="n">
        <x:v>2023</x:v>
      </x:c>
      <x:c r="E2014" s="67" t="n">
        <x:v>8949</x:v>
      </x:c>
      <x:c r="F2014" s="68" t="n">
        <x:v>17.5</x:v>
      </x:c>
      <x:c r="G2014" s="69" t="n">
        <x:f>IF(COUNT(E2014:F2014)=2,E2014*F2014,"")</x:f>
        <x:v>156607.5</x:v>
      </x:c>
    </x:row>
    <x:row r="2015">
      <x:c r="A2015" s="66" t="n">
        <x:v>16</x:v>
      </x:c>
      <x:c r="B2015" s="44" t="str">
        <x:v>Canola/Rapeseed</x:v>
      </x:c>
      <x:c r="C2015" s="44" t="str">
        <x:v>DKTFLL 21 SC</x:v>
      </x:c>
      <x:c r="D2015" s="66" t="n">
        <x:v>2024</x:v>
      </x:c>
      <x:c r="E2015" s="67" t="n">
        <x:v>16104</x:v>
      </x:c>
      <x:c r="F2015" s="68" t="n">
        <x:v>23.3</x:v>
      </x:c>
      <x:c r="G2015" s="69" t="n">
        <x:f>IF(COUNT(E2015:F2015)=2,E2015*F2015,"")</x:f>
        <x:v>375223.2</x:v>
      </x:c>
    </x:row>
    <x:row r="2016">
      <x:c r="A2016" s="66" t="n">
        <x:v>16</x:v>
      </x:c>
      <x:c r="B2016" s="44" t="str">
        <x:v>Canola/Rapeseed</x:v>
      </x:c>
      <x:c r="C2016" s="44" t="str">
        <x:v>DKTFLL 21 SC</x:v>
      </x:c>
      <x:c r="D2016" s="66" t="n">
        <x:v>2025</x:v>
      </x:c>
      <x:c r="E2016" s="67" t="n">
        <x:v>940</x:v>
      </x:c>
      <x:c r="F2016" s="68" t="n">
        <x:v>43.2</x:v>
      </x:c>
      <x:c r="G2016" s="69" t="n">
        <x:f>IF(COUNT(E2016:F2016)=2,E2016*F2016,"")</x:f>
        <x:v>40608</x:v>
      </x:c>
    </x:row>
    <x:row r="2017">
      <x:c r="A2017" s="66" t="n">
        <x:v>16</x:v>
      </x:c>
      <x:c r="B2017" s="44" t="str">
        <x:v>Canola/Rapeseed</x:v>
      </x:c>
      <x:c r="C2017" s="44" t="str">
        <x:v>DK400TL</x:v>
      </x:c>
      <x:c r="D2017" s="66" t="n">
        <x:v>2021</x:v>
      </x:c>
      <x:c r="E2017" s="67"/>
      <x:c r="F2017" s="68"/>
      <x:c r="G2017" s="69" t="str">
        <x:f>IF(COUNT(E2017:F2017)=2,E2017*F2017,"")</x:f>
      </x:c>
    </x:row>
    <x:row r="2018">
      <x:c r="A2018" s="66" t="n">
        <x:v>16</x:v>
      </x:c>
      <x:c r="B2018" s="44" t="str">
        <x:v>Canola/Rapeseed</x:v>
      </x:c>
      <x:c r="C2018" s="44" t="str">
        <x:v>DK400TL</x:v>
      </x:c>
      <x:c r="D2018" s="66" t="n">
        <x:v>2022</x:v>
      </x:c>
      <x:c r="E2018" s="67"/>
      <x:c r="F2018" s="68"/>
      <x:c r="G2018" s="69" t="str">
        <x:f>IF(COUNT(E2018:F2018)=2,E2018*F2018,"")</x:f>
      </x:c>
    </x:row>
    <x:row r="2019">
      <x:c r="A2019" s="66" t="n">
        <x:v>16</x:v>
      </x:c>
      <x:c r="B2019" s="44" t="str">
        <x:v>Canola/Rapeseed</x:v>
      </x:c>
      <x:c r="C2019" s="44" t="str">
        <x:v>DK400TL</x:v>
      </x:c>
      <x:c r="D2019" s="66" t="n">
        <x:v>2023</x:v>
      </x:c>
      <x:c r="E2019" s="67"/>
      <x:c r="F2019" s="68"/>
      <x:c r="G2019" s="69" t="str">
        <x:f>IF(COUNT(E2019:F2019)=2,E2019*F2019,"")</x:f>
      </x:c>
    </x:row>
    <x:row r="2020">
      <x:c r="A2020" s="66" t="n">
        <x:v>16</x:v>
      </x:c>
      <x:c r="B2020" s="44" t="str">
        <x:v>Canola/Rapeseed</x:v>
      </x:c>
      <x:c r="C2020" s="44" t="str">
        <x:v>DK400TL</x:v>
      </x:c>
      <x:c r="D2020" s="66" t="n">
        <x:v>2024</x:v>
      </x:c>
      <x:c r="E2020" s="67" t="n">
        <x:v>34380</x:v>
      </x:c>
      <x:c r="F2020" s="68" t="n">
        <x:v>29</x:v>
      </x:c>
      <x:c r="G2020" s="69" t="n">
        <x:f>IF(COUNT(E2020:F2020)=2,E2020*F2020,"")</x:f>
        <x:v>997020</x:v>
      </x:c>
    </x:row>
    <x:row r="2021">
      <x:c r="A2021" s="66" t="n">
        <x:v>16</x:v>
      </x:c>
      <x:c r="B2021" s="44" t="str">
        <x:v>Canola/Rapeseed</x:v>
      </x:c>
      <x:c r="C2021" s="44" t="str">
        <x:v>DK400TL</x:v>
      </x:c>
      <x:c r="D2021" s="66" t="n">
        <x:v>2025</x:v>
      </x:c>
      <x:c r="E2021" s="67" t="n">
        <x:v>36943</x:v>
      </x:c>
      <x:c r="F2021" s="68" t="n">
        <x:v>51.1</x:v>
      </x:c>
      <x:c r="G2021" s="69" t="n">
        <x:f>IF(COUNT(E2021:F2021)=2,E2021*F2021,"")</x:f>
        <x:v>1887787.3</x:v>
      </x:c>
    </x:row>
    <x:row r="2022">
      <x:c r="A2022" s="66" t="n">
        <x:v>16</x:v>
      </x:c>
      <x:c r="B2022" s="44" t="str">
        <x:v>Canola/Rapeseed</x:v>
      </x:c>
      <x:c r="C2022" s="44" t="str">
        <x:v>DK401TK</x:v>
      </x:c>
      <x:c r="D2022" s="66" t="n">
        <x:v>2021</x:v>
      </x:c>
      <x:c r="E2022" s="67"/>
      <x:c r="F2022" s="68"/>
      <x:c r="G2022" s="69" t="str">
        <x:f>IF(COUNT(E2022:F2022)=2,E2022*F2022,"")</x:f>
      </x:c>
    </x:row>
    <x:row r="2023">
      <x:c r="A2023" s="66" t="n">
        <x:v>16</x:v>
      </x:c>
      <x:c r="B2023" s="44" t="str">
        <x:v>Canola/Rapeseed</x:v>
      </x:c>
      <x:c r="C2023" s="44" t="str">
        <x:v>DK401TK</x:v>
      </x:c>
      <x:c r="D2023" s="66" t="n">
        <x:v>2022</x:v>
      </x:c>
      <x:c r="E2023" s="67"/>
      <x:c r="F2023" s="68"/>
      <x:c r="G2023" s="69" t="str">
        <x:f>IF(COUNT(E2023:F2023)=2,E2023*F2023,"")</x:f>
      </x:c>
    </x:row>
    <x:row r="2024">
      <x:c r="A2024" s="66" t="n">
        <x:v>16</x:v>
      </x:c>
      <x:c r="B2024" s="44" t="str">
        <x:v>Canola/Rapeseed</x:v>
      </x:c>
      <x:c r="C2024" s="44" t="str">
        <x:v>DK401TK</x:v>
      </x:c>
      <x:c r="D2024" s="66" t="n">
        <x:v>2023</x:v>
      </x:c>
      <x:c r="E2024" s="67"/>
      <x:c r="F2024" s="68"/>
      <x:c r="G2024" s="69" t="str">
        <x:f>IF(COUNT(E2024:F2024)=2,E2024*F2024,"")</x:f>
      </x:c>
    </x:row>
    <x:row r="2025">
      <x:c r="A2025" s="66" t="n">
        <x:v>16</x:v>
      </x:c>
      <x:c r="B2025" s="44" t="str">
        <x:v>Canola/Rapeseed</x:v>
      </x:c>
      <x:c r="C2025" s="44" t="str">
        <x:v>DK401TK</x:v>
      </x:c>
      <x:c r="D2025" s="66" t="n">
        <x:v>2024</x:v>
      </x:c>
      <x:c r="E2025" s="67"/>
      <x:c r="F2025" s="68"/>
      <x:c r="G2025" s="69" t="str">
        <x:f>IF(COUNT(E2025:F2025)=2,E2025*F2025,"")</x:f>
      </x:c>
    </x:row>
    <x:row r="2026">
      <x:c r="A2026" s="66" t="n">
        <x:v>16</x:v>
      </x:c>
      <x:c r="B2026" s="44" t="str">
        <x:v>Canola/Rapeseed</x:v>
      </x:c>
      <x:c r="C2026" s="44" t="str">
        <x:v>DK401TK</x:v>
      </x:c>
      <x:c r="D2026" s="66" t="n">
        <x:v>2025</x:v>
      </x:c>
      <x:c r="E2026" s="67" t="n">
        <x:v>3891</x:v>
      </x:c>
      <x:c r="F2026" s="68" t="n">
        <x:v>49.2</x:v>
      </x:c>
      <x:c r="G2026" s="69" t="n">
        <x:f>IF(COUNT(E2026:F2026)=2,E2026*F2026,"")</x:f>
        <x:v>191437.2</x:v>
      </x:c>
    </x:row>
    <x:row r="2027">
      <x:c r="A2027" s="66" t="n">
        <x:v>16</x:v>
      </x:c>
      <x:c r="B2027" s="44" t="str">
        <x:v>Canola/Rapeseed</x:v>
      </x:c>
      <x:c r="C2027" s="44" t="str">
        <x:v>DK401TL</x:v>
      </x:c>
      <x:c r="D2027" s="66" t="n">
        <x:v>2021</x:v>
      </x:c>
      <x:c r="E2027" s="67"/>
      <x:c r="F2027" s="68"/>
      <x:c r="G2027" s="69" t="str">
        <x:f>IF(COUNT(E2027:F2027)=2,E2027*F2027,"")</x:f>
      </x:c>
    </x:row>
    <x:row r="2028">
      <x:c r="A2028" s="66" t="n">
        <x:v>16</x:v>
      </x:c>
      <x:c r="B2028" s="44" t="str">
        <x:v>Canola/Rapeseed</x:v>
      </x:c>
      <x:c r="C2028" s="44" t="str">
        <x:v>DK401TL</x:v>
      </x:c>
      <x:c r="D2028" s="66" t="n">
        <x:v>2022</x:v>
      </x:c>
      <x:c r="E2028" s="67"/>
      <x:c r="F2028" s="68"/>
      <x:c r="G2028" s="69" t="str">
        <x:f>IF(COUNT(E2028:F2028)=2,E2028*F2028,"")</x:f>
      </x:c>
    </x:row>
    <x:row r="2029">
      <x:c r="A2029" s="66" t="n">
        <x:v>16</x:v>
      </x:c>
      <x:c r="B2029" s="44" t="str">
        <x:v>Canola/Rapeseed</x:v>
      </x:c>
      <x:c r="C2029" s="44" t="str">
        <x:v>DK401TL</x:v>
      </x:c>
      <x:c r="D2029" s="66" t="n">
        <x:v>2023</x:v>
      </x:c>
      <x:c r="E2029" s="67"/>
      <x:c r="F2029" s="68"/>
      <x:c r="G2029" s="69" t="str">
        <x:f>IF(COUNT(E2029:F2029)=2,E2029*F2029,"")</x:f>
      </x:c>
    </x:row>
    <x:row r="2030">
      <x:c r="A2030" s="66" t="n">
        <x:v>16</x:v>
      </x:c>
      <x:c r="B2030" s="44" t="str">
        <x:v>Canola/Rapeseed</x:v>
      </x:c>
      <x:c r="C2030" s="44" t="str">
        <x:v>DK401TL</x:v>
      </x:c>
      <x:c r="D2030" s="66" t="n">
        <x:v>2024</x:v>
      </x:c>
      <x:c r="E2030" s="67"/>
      <x:c r="F2030" s="68"/>
      <x:c r="G2030" s="69" t="str">
        <x:f>IF(COUNT(E2030:F2030)=2,E2030*F2030,"")</x:f>
      </x:c>
    </x:row>
    <x:row r="2031">
      <x:c r="A2031" s="66" t="n">
        <x:v>16</x:v>
      </x:c>
      <x:c r="B2031" s="44" t="str">
        <x:v>Canola/Rapeseed</x:v>
      </x:c>
      <x:c r="C2031" s="44" t="str">
        <x:v>DK401TL</x:v>
      </x:c>
      <x:c r="D2031" s="66" t="n">
        <x:v>2025</x:v>
      </x:c>
      <x:c r="E2031" s="67" t="n">
        <x:v>908</x:v>
      </x:c>
      <x:c r="F2031" s="68" t="n">
        <x:v>52.5</x:v>
      </x:c>
      <x:c r="G2031" s="69" t="n">
        <x:f>IF(COUNT(E2031:F2031)=2,E2031*F2031,"")</x:f>
        <x:v>47670</x:v>
      </x:c>
    </x:row>
    <x:row r="2032">
      <x:c r="A2032" s="66" t="n">
        <x:v>16</x:v>
      </x:c>
      <x:c r="B2032" s="44" t="str">
        <x:v>Canola/Rapeseed</x:v>
      </x:c>
      <x:c r="C2032" s="44" t="str">
        <x:v>DK800LL</x:v>
      </x:c>
      <x:c r="D2032" s="66" t="n">
        <x:v>2021</x:v>
      </x:c>
      <x:c r="E2032" s="67"/>
      <x:c r="F2032" s="68"/>
      <x:c r="G2032" s="69" t="str">
        <x:f>IF(COUNT(E2032:F2032)=2,E2032*F2032,"")</x:f>
      </x:c>
    </x:row>
    <x:row r="2033">
      <x:c r="A2033" s="66" t="n">
        <x:v>16</x:v>
      </x:c>
      <x:c r="B2033" s="44" t="str">
        <x:v>Canola/Rapeseed</x:v>
      </x:c>
      <x:c r="C2033" s="44" t="str">
        <x:v>DK800LL</x:v>
      </x:c>
      <x:c r="D2033" s="66" t="n">
        <x:v>2022</x:v>
      </x:c>
      <x:c r="E2033" s="67"/>
      <x:c r="F2033" s="68"/>
      <x:c r="G2033" s="69" t="str">
        <x:f>IF(COUNT(E2033:F2033)=2,E2033*F2033,"")</x:f>
      </x:c>
    </x:row>
    <x:row r="2034">
      <x:c r="A2034" s="66" t="n">
        <x:v>16</x:v>
      </x:c>
      <x:c r="B2034" s="44" t="str">
        <x:v>Canola/Rapeseed</x:v>
      </x:c>
      <x:c r="C2034" s="44" t="str">
        <x:v>DK800LL</x:v>
      </x:c>
      <x:c r="D2034" s="66" t="n">
        <x:v>2023</x:v>
      </x:c>
      <x:c r="E2034" s="67"/>
      <x:c r="F2034" s="68"/>
      <x:c r="G2034" s="69" t="str">
        <x:f>IF(COUNT(E2034:F2034)=2,E2034*F2034,"")</x:f>
      </x:c>
    </x:row>
    <x:row r="2035">
      <x:c r="A2035" s="66" t="n">
        <x:v>16</x:v>
      </x:c>
      <x:c r="B2035" s="44" t="str">
        <x:v>Canola/Rapeseed</x:v>
      </x:c>
      <x:c r="C2035" s="44" t="str">
        <x:v>DK800LL</x:v>
      </x:c>
      <x:c r="D2035" s="66" t="n">
        <x:v>2024</x:v>
      </x:c>
      <x:c r="E2035" s="67" t="n">
        <x:v>1264</x:v>
      </x:c>
      <x:c r="F2035" s="68" t="n">
        <x:v>33.1</x:v>
      </x:c>
      <x:c r="G2035" s="69" t="n">
        <x:f>IF(COUNT(E2035:F2035)=2,E2035*F2035,"")</x:f>
        <x:v>41838.4</x:v>
      </x:c>
    </x:row>
    <x:row r="2036">
      <x:c r="A2036" s="66" t="n">
        <x:v>16</x:v>
      </x:c>
      <x:c r="B2036" s="44" t="str">
        <x:v>Canola/Rapeseed</x:v>
      </x:c>
      <x:c r="C2036" s="44" t="str">
        <x:v>DK800LL</x:v>
      </x:c>
      <x:c r="D2036" s="66" t="n">
        <x:v>2025</x:v>
      </x:c>
      <x:c r="E2036" s="67" t="n">
        <x:v>14350</x:v>
      </x:c>
      <x:c r="F2036" s="68" t="n">
        <x:v>53.9</x:v>
      </x:c>
      <x:c r="G2036" s="69" t="n">
        <x:f>IF(COUNT(E2036:F2036)=2,E2036*F2036,"")</x:f>
        <x:v>773465</x:v>
      </x:c>
    </x:row>
    <x:row r="2037">
      <x:c r="A2037" s="66" t="n">
        <x:v>16</x:v>
      </x:c>
      <x:c r="B2037" s="44" t="str">
        <x:v>Canola/Rapeseed</x:v>
      </x:c>
      <x:c r="C2037" s="44" t="str">
        <x:v>DK801LL</x:v>
      </x:c>
      <x:c r="D2037" s="66" t="n">
        <x:v>2021</x:v>
      </x:c>
      <x:c r="E2037" s="67"/>
      <x:c r="F2037" s="68"/>
      <x:c r="G2037" s="69" t="str">
        <x:f>IF(COUNT(E2037:F2037)=2,E2037*F2037,"")</x:f>
      </x:c>
    </x:row>
    <x:row r="2038">
      <x:c r="A2038" s="66" t="n">
        <x:v>16</x:v>
      </x:c>
      <x:c r="B2038" s="44" t="str">
        <x:v>Canola/Rapeseed</x:v>
      </x:c>
      <x:c r="C2038" s="44" t="str">
        <x:v>DK801LL</x:v>
      </x:c>
      <x:c r="D2038" s="66" t="n">
        <x:v>2022</x:v>
      </x:c>
      <x:c r="E2038" s="67"/>
      <x:c r="F2038" s="68"/>
      <x:c r="G2038" s="69" t="str">
        <x:f>IF(COUNT(E2038:F2038)=2,E2038*F2038,"")</x:f>
      </x:c>
    </x:row>
    <x:row r="2039">
      <x:c r="A2039" s="66" t="n">
        <x:v>16</x:v>
      </x:c>
      <x:c r="B2039" s="44" t="str">
        <x:v>Canola/Rapeseed</x:v>
      </x:c>
      <x:c r="C2039" s="44" t="str">
        <x:v>DK801LL</x:v>
      </x:c>
      <x:c r="D2039" s="66" t="n">
        <x:v>2023</x:v>
      </x:c>
      <x:c r="E2039" s="67"/>
      <x:c r="F2039" s="68"/>
      <x:c r="G2039" s="69" t="str">
        <x:f>IF(COUNT(E2039:F2039)=2,E2039*F2039,"")</x:f>
      </x:c>
    </x:row>
    <x:row r="2040">
      <x:c r="A2040" s="66" t="n">
        <x:v>16</x:v>
      </x:c>
      <x:c r="B2040" s="44" t="str">
        <x:v>Canola/Rapeseed</x:v>
      </x:c>
      <x:c r="C2040" s="44" t="str">
        <x:v>DK801LL</x:v>
      </x:c>
      <x:c r="D2040" s="66" t="n">
        <x:v>2024</x:v>
      </x:c>
      <x:c r="E2040" s="67"/>
      <x:c r="F2040" s="68"/>
      <x:c r="G2040" s="69" t="str">
        <x:f>IF(COUNT(E2040:F2040)=2,E2040*F2040,"")</x:f>
      </x:c>
    </x:row>
    <x:row r="2041">
      <x:c r="A2041" s="66" t="n">
        <x:v>16</x:v>
      </x:c>
      <x:c r="B2041" s="44" t="str">
        <x:v>Canola/Rapeseed</x:v>
      </x:c>
      <x:c r="C2041" s="44" t="str">
        <x:v>DK801LL</x:v>
      </x:c>
      <x:c r="D2041" s="66" t="n">
        <x:v>2025</x:v>
      </x:c>
      <x:c r="E2041" s="67" t="n">
        <x:v>1680</x:v>
      </x:c>
      <x:c r="F2041" s="68" t="n">
        <x:v>54.2</x:v>
      </x:c>
      <x:c r="G2041" s="69" t="n">
        <x:f>IF(COUNT(E2041:F2041)=2,E2041*F2041,"")</x:f>
        <x:v>91056</x:v>
      </x:c>
    </x:row>
    <x:row r="2042">
      <x:c r="A2042" s="66" t="n">
        <x:v>16</x:v>
      </x:c>
      <x:c r="B2042" s="44" t="str">
        <x:v>Canola/Rapeseed</x:v>
      </x:c>
      <x:c r="C2042" s="44" t="str">
        <x:v>DK901TF</x:v>
      </x:c>
      <x:c r="D2042" s="66" t="n">
        <x:v>2021</x:v>
      </x:c>
      <x:c r="E2042" s="67"/>
      <x:c r="F2042" s="68"/>
      <x:c r="G2042" s="69" t="str">
        <x:f>IF(COUNT(E2042:F2042)=2,E2042*F2042,"")</x:f>
      </x:c>
    </x:row>
    <x:row r="2043">
      <x:c r="A2043" s="66" t="n">
        <x:v>16</x:v>
      </x:c>
      <x:c r="B2043" s="44" t="str">
        <x:v>Canola/Rapeseed</x:v>
      </x:c>
      <x:c r="C2043" s="44" t="str">
        <x:v>DK901TF</x:v>
      </x:c>
      <x:c r="D2043" s="66" t="n">
        <x:v>2022</x:v>
      </x:c>
      <x:c r="E2043" s="67"/>
      <x:c r="F2043" s="68"/>
      <x:c r="G2043" s="69" t="str">
        <x:f>IF(COUNT(E2043:F2043)=2,E2043*F2043,"")</x:f>
      </x:c>
    </x:row>
    <x:row r="2044">
      <x:c r="A2044" s="66" t="n">
        <x:v>16</x:v>
      </x:c>
      <x:c r="B2044" s="44" t="str">
        <x:v>Canola/Rapeseed</x:v>
      </x:c>
      <x:c r="C2044" s="44" t="str">
        <x:v>DK901TF</x:v>
      </x:c>
      <x:c r="D2044" s="66" t="n">
        <x:v>2023</x:v>
      </x:c>
      <x:c r="E2044" s="67"/>
      <x:c r="F2044" s="68"/>
      <x:c r="G2044" s="69" t="str">
        <x:f>IF(COUNT(E2044:F2044)=2,E2044*F2044,"")</x:f>
      </x:c>
    </x:row>
    <x:row r="2045">
      <x:c r="A2045" s="66" t="n">
        <x:v>16</x:v>
      </x:c>
      <x:c r="B2045" s="44" t="str">
        <x:v>Canola/Rapeseed</x:v>
      </x:c>
      <x:c r="C2045" s="44" t="str">
        <x:v>DK901TF</x:v>
      </x:c>
      <x:c r="D2045" s="66" t="n">
        <x:v>2024</x:v>
      </x:c>
      <x:c r="E2045" s="67" t="n">
        <x:v>985</x:v>
      </x:c>
      <x:c r="F2045" s="68" t="n">
        <x:v>20.2</x:v>
      </x:c>
      <x:c r="G2045" s="69" t="n">
        <x:f>IF(COUNT(E2045:F2045)=2,E2045*F2045,"")</x:f>
        <x:v>19897</x:v>
      </x:c>
    </x:row>
    <x:row r="2046">
      <x:c r="A2046" s="66" t="n">
        <x:v>16</x:v>
      </x:c>
      <x:c r="B2046" s="44" t="str">
        <x:v>Canola/Rapeseed</x:v>
      </x:c>
      <x:c r="C2046" s="44" t="str">
        <x:v>DK901TF</x:v>
      </x:c>
      <x:c r="D2046" s="66" t="n">
        <x:v>2025</x:v>
      </x:c>
      <x:c r="E2046" s="67" t="n">
        <x:v>1048</x:v>
      </x:c>
      <x:c r="F2046" s="68" t="n">
        <x:v>52.2</x:v>
      </x:c>
      <x:c r="G2046" s="69" t="n">
        <x:f>IF(COUNT(E2046:F2046)=2,E2046*F2046,"")</x:f>
        <x:v>54705.600000000006</x:v>
      </x:c>
    </x:row>
    <x:row r="2047">
      <x:c r="A2047" s="66" t="n">
        <x:v>16</x:v>
      </x:c>
      <x:c r="B2047" s="44" t="str">
        <x:v>Canola/Rapeseed</x:v>
      </x:c>
      <x:c r="C2047" s="44" t="str">
        <x:v>LR354PC</x:v>
      </x:c>
      <x:c r="D2047" s="66" t="n">
        <x:v>2021</x:v>
      </x:c>
      <x:c r="E2047" s="67"/>
      <x:c r="F2047" s="68"/>
      <x:c r="G2047" s="69" t="str">
        <x:f>IF(COUNT(E2047:F2047)=2,E2047*F2047,"")</x:f>
      </x:c>
    </x:row>
    <x:row r="2048">
      <x:c r="A2048" s="66" t="n">
        <x:v>16</x:v>
      </x:c>
      <x:c r="B2048" s="44" t="str">
        <x:v>Canola/Rapeseed</x:v>
      </x:c>
      <x:c r="C2048" s="44" t="str">
        <x:v>LR354PC</x:v>
      </x:c>
      <x:c r="D2048" s="66" t="n">
        <x:v>2022</x:v>
      </x:c>
      <x:c r="E2048" s="67"/>
      <x:c r="F2048" s="68"/>
      <x:c r="G2048" s="69" t="str">
        <x:f>IF(COUNT(E2048:F2048)=2,E2048*F2048,"")</x:f>
      </x:c>
    </x:row>
    <x:row r="2049">
      <x:c r="A2049" s="66" t="n">
        <x:v>16</x:v>
      </x:c>
      <x:c r="B2049" s="44" t="str">
        <x:v>Canola/Rapeseed</x:v>
      </x:c>
      <x:c r="C2049" s="44" t="str">
        <x:v>LR354PC</x:v>
      </x:c>
      <x:c r="D2049" s="66" t="n">
        <x:v>2023</x:v>
      </x:c>
      <x:c r="E2049" s="67" t="n">
        <x:v>5428</x:v>
      </x:c>
      <x:c r="F2049" s="68" t="n">
        <x:v>17.1</x:v>
      </x:c>
      <x:c r="G2049" s="69" t="n">
        <x:f>IF(COUNT(E2049:F2049)=2,E2049*F2049,"")</x:f>
        <x:v>92818.8</x:v>
      </x:c>
    </x:row>
    <x:row r="2050">
      <x:c r="A2050" s="66" t="n">
        <x:v>16</x:v>
      </x:c>
      <x:c r="B2050" s="44" t="str">
        <x:v>Canola/Rapeseed</x:v>
      </x:c>
      <x:c r="C2050" s="44" t="str">
        <x:v>LR354PC</x:v>
      </x:c>
      <x:c r="D2050" s="66" t="n">
        <x:v>2024</x:v>
      </x:c>
      <x:c r="E2050" s="67" t="n">
        <x:v>7562</x:v>
      </x:c>
      <x:c r="F2050" s="68" t="n">
        <x:v>29.1</x:v>
      </x:c>
      <x:c r="G2050" s="69" t="n">
        <x:f>IF(COUNT(E2050:F2050)=2,E2050*F2050,"")</x:f>
        <x:v>220054.2</x:v>
      </x:c>
    </x:row>
    <x:row r="2051">
      <x:c r="A2051" s="66" t="n">
        <x:v>16</x:v>
      </x:c>
      <x:c r="B2051" s="44" t="str">
        <x:v>Canola/Rapeseed</x:v>
      </x:c>
      <x:c r="C2051" s="44" t="str">
        <x:v>LR354PC</x:v>
      </x:c>
      <x:c r="D2051" s="66" t="n">
        <x:v>2025</x:v>
      </x:c>
      <x:c r="E2051" s="67" t="n">
        <x:v>2051</x:v>
      </x:c>
      <x:c r="F2051" s="68" t="n">
        <x:v>57.4</x:v>
      </x:c>
      <x:c r="G2051" s="69" t="n">
        <x:f>IF(COUNT(E2051:F2051)=2,E2051*F2051,"")</x:f>
        <x:v>117727.4</x:v>
      </x:c>
    </x:row>
    <x:row r="2052">
      <x:c r="A2052" s="66" t="n">
        <x:v>16</x:v>
      </x:c>
      <x:c r="B2052" s="44" t="str">
        <x:v>Canola/Rapeseed</x:v>
      </x:c>
      <x:c r="C2052" s="44" t="str">
        <x:v>L140P</x:v>
      </x:c>
      <x:c r="D2052" s="66" t="n">
        <x:v>2021</x:v>
      </x:c>
      <x:c r="E2052" s="67" t="n">
        <x:v>400</x:v>
      </x:c>
      <x:c r="F2052" s="68" t="n">
        <x:v>8.3</x:v>
      </x:c>
      <x:c r="G2052" s="69" t="n">
        <x:f>IF(COUNT(E2052:F2052)=2,E2052*F2052,"")</x:f>
        <x:v>3320.0000000000005</x:v>
      </x:c>
    </x:row>
    <x:row r="2053">
      <x:c r="A2053" s="66" t="n">
        <x:v>16</x:v>
      </x:c>
      <x:c r="B2053" s="44" t="str">
        <x:v>Canola/Rapeseed</x:v>
      </x:c>
      <x:c r="C2053" s="44" t="str">
        <x:v>L140P</x:v>
      </x:c>
      <x:c r="D2053" s="66" t="n">
        <x:v>2022</x:v>
      </x:c>
      <x:c r="E2053" s="67" t="n">
        <x:v>771</x:v>
      </x:c>
      <x:c r="F2053" s="68" t="n">
        <x:v>16.4</x:v>
      </x:c>
      <x:c r="G2053" s="69" t="n">
        <x:f>IF(COUNT(E2053:F2053)=2,E2053*F2053,"")</x:f>
        <x:v>12644.4</x:v>
      </x:c>
    </x:row>
    <x:row r="2054">
      <x:c r="A2054" s="66" t="n">
        <x:v>16</x:v>
      </x:c>
      <x:c r="B2054" s="44" t="str">
        <x:v>Canola/Rapeseed</x:v>
      </x:c>
      <x:c r="C2054" s="44" t="str">
        <x:v>L140P</x:v>
      </x:c>
      <x:c r="D2054" s="66" t="n">
        <x:v>2023</x:v>
      </x:c>
      <x:c r="E2054" s="67" t="n">
        <x:v>3709</x:v>
      </x:c>
      <x:c r="F2054" s="68" t="n">
        <x:v>28.2</x:v>
      </x:c>
      <x:c r="G2054" s="69" t="n">
        <x:f>IF(COUNT(E2054:F2054)=2,E2054*F2054,"")</x:f>
        <x:v>104593.8</x:v>
      </x:c>
    </x:row>
    <x:row r="2055">
      <x:c r="A2055" s="66" t="n">
        <x:v>16</x:v>
      </x:c>
      <x:c r="B2055" s="44" t="str">
        <x:v>Canola/Rapeseed</x:v>
      </x:c>
      <x:c r="C2055" s="44" t="str">
        <x:v>L140P</x:v>
      </x:c>
      <x:c r="D2055" s="66" t="n">
        <x:v>2024</x:v>
      </x:c>
      <x:c r="E2055" s="67" t="n">
        <x:v>5418</x:v>
      </x:c>
      <x:c r="F2055" s="68" t="n">
        <x:v>38</x:v>
      </x:c>
      <x:c r="G2055" s="69" t="n">
        <x:f>IF(COUNT(E2055:F2055)=2,E2055*F2055,"")</x:f>
        <x:v>205884</x:v>
      </x:c>
    </x:row>
    <x:row r="2056">
      <x:c r="A2056" s="66" t="n">
        <x:v>16</x:v>
      </x:c>
      <x:c r="B2056" s="44" t="str">
        <x:v>Canola/Rapeseed</x:v>
      </x:c>
      <x:c r="C2056" s="44" t="str">
        <x:v>L140P</x:v>
      </x:c>
      <x:c r="D2056" s="66" t="n">
        <x:v>2025</x:v>
      </x:c>
      <x:c r="E2056" s="67" t="n">
        <x:v>2288</x:v>
      </x:c>
      <x:c r="F2056" s="68" t="n">
        <x:v>50.3</x:v>
      </x:c>
      <x:c r="G2056" s="69" t="n">
        <x:f>IF(COUNT(E2056:F2056)=2,E2056*F2056,"")</x:f>
        <x:v>115086.4</x:v>
      </x:c>
    </x:row>
    <x:row r="2057">
      <x:c r="A2057" s="66" t="n">
        <x:v>16</x:v>
      </x:c>
      <x:c r="B2057" s="44" t="str">
        <x:v>Canola/Rapeseed</x:v>
      </x:c>
      <x:c r="C2057" s="44" t="str">
        <x:v>L233P</x:v>
      </x:c>
      <x:c r="D2057" s="66" t="n">
        <x:v>2021</x:v>
      </x:c>
      <x:c r="E2057" s="67" t="n">
        <x:v>248930</x:v>
      </x:c>
      <x:c r="F2057" s="68" t="n">
        <x:v>14.6</x:v>
      </x:c>
      <x:c r="G2057" s="69" t="n">
        <x:f>IF(COUNT(E2057:F2057)=2,E2057*F2057,"")</x:f>
        <x:v>3634378</x:v>
      </x:c>
    </x:row>
    <x:row r="2058">
      <x:c r="A2058" s="66" t="n">
        <x:v>16</x:v>
      </x:c>
      <x:c r="B2058" s="44" t="str">
        <x:v>Canola/Rapeseed</x:v>
      </x:c>
      <x:c r="C2058" s="44" t="str">
        <x:v>L233P</x:v>
      </x:c>
      <x:c r="D2058" s="66" t="n">
        <x:v>2022</x:v>
      </x:c>
      <x:c r="E2058" s="67" t="n">
        <x:v>257852</x:v>
      </x:c>
      <x:c r="F2058" s="68" t="n">
        <x:v>20.8</x:v>
      </x:c>
      <x:c r="G2058" s="69" t="n">
        <x:f>IF(COUNT(E2058:F2058)=2,E2058*F2058,"")</x:f>
        <x:v>5363321.600000001</x:v>
      </x:c>
    </x:row>
    <x:row r="2059">
      <x:c r="A2059" s="66" t="n">
        <x:v>16</x:v>
      </x:c>
      <x:c r="B2059" s="44" t="str">
        <x:v>Canola/Rapeseed</x:v>
      </x:c>
      <x:c r="C2059" s="44" t="str">
        <x:v>L233P</x:v>
      </x:c>
      <x:c r="D2059" s="66" t="n">
        <x:v>2023</x:v>
      </x:c>
      <x:c r="E2059" s="67" t="n">
        <x:v>172114</x:v>
      </x:c>
      <x:c r="F2059" s="68" t="n">
        <x:v>23.1</x:v>
      </x:c>
      <x:c r="G2059" s="69" t="n">
        <x:f>IF(COUNT(E2059:F2059)=2,E2059*F2059,"")</x:f>
        <x:v>3975833.4000000004</x:v>
      </x:c>
    </x:row>
    <x:row r="2060">
      <x:c r="A2060" s="66" t="n">
        <x:v>16</x:v>
      </x:c>
      <x:c r="B2060" s="44" t="str">
        <x:v>Canola/Rapeseed</x:v>
      </x:c>
      <x:c r="C2060" s="44" t="str">
        <x:v>L233P</x:v>
      </x:c>
      <x:c r="D2060" s="66" t="n">
        <x:v>2024</x:v>
      </x:c>
      <x:c r="E2060" s="67" t="n">
        <x:v>77674</x:v>
      </x:c>
      <x:c r="F2060" s="68" t="n">
        <x:v>32.6</x:v>
      </x:c>
      <x:c r="G2060" s="69" t="n">
        <x:f>IF(COUNT(E2060:F2060)=2,E2060*F2060,"")</x:f>
        <x:v>2532172.4</x:v>
      </x:c>
    </x:row>
    <x:row r="2061">
      <x:c r="A2061" s="66" t="n">
        <x:v>16</x:v>
      </x:c>
      <x:c r="B2061" s="44" t="str">
        <x:v>Canola/Rapeseed</x:v>
      </x:c>
      <x:c r="C2061" s="44" t="str">
        <x:v>L233P</x:v>
      </x:c>
      <x:c r="D2061" s="66" t="n">
        <x:v>2025</x:v>
      </x:c>
      <x:c r="E2061" s="67" t="n">
        <x:v>46340</x:v>
      </x:c>
      <x:c r="F2061" s="68" t="n">
        <x:v>52.5</x:v>
      </x:c>
      <x:c r="G2061" s="69" t="n">
        <x:f>IF(COUNT(E2061:F2061)=2,E2061*F2061,"")</x:f>
        <x:v>2432850</x:v>
      </x:c>
    </x:row>
    <x:row r="2062">
      <x:c r="A2062" s="66" t="n">
        <x:v>16</x:v>
      </x:c>
      <x:c r="B2062" s="44" t="str">
        <x:v>Canola/Rapeseed</x:v>
      </x:c>
      <x:c r="C2062" s="44" t="str">
        <x:v>L234PC</x:v>
      </x:c>
      <x:c r="D2062" s="66" t="n">
        <x:v>2021</x:v>
      </x:c>
      <x:c r="E2062" s="67" t="n">
        <x:v>5688</x:v>
      </x:c>
      <x:c r="F2062" s="68" t="n">
        <x:v>9.2</x:v>
      </x:c>
      <x:c r="G2062" s="69" t="n">
        <x:f>IF(COUNT(E2062:F2062)=2,E2062*F2062,"")</x:f>
        <x:v>52329.6</x:v>
      </x:c>
    </x:row>
    <x:row r="2063">
      <x:c r="A2063" s="66" t="n">
        <x:v>16</x:v>
      </x:c>
      <x:c r="B2063" s="44" t="str">
        <x:v>Canola/Rapeseed</x:v>
      </x:c>
      <x:c r="C2063" s="44" t="str">
        <x:v>L234PC</x:v>
      </x:c>
      <x:c r="D2063" s="66" t="n">
        <x:v>2022</x:v>
      </x:c>
      <x:c r="E2063" s="67" t="n">
        <x:v>4231</x:v>
      </x:c>
      <x:c r="F2063" s="68" t="n">
        <x:v>19</x:v>
      </x:c>
      <x:c r="G2063" s="69" t="n">
        <x:f>IF(COUNT(E2063:F2063)=2,E2063*F2063,"")</x:f>
        <x:v>80389</x:v>
      </x:c>
    </x:row>
    <x:row r="2064">
      <x:c r="A2064" s="66" t="n">
        <x:v>16</x:v>
      </x:c>
      <x:c r="B2064" s="44" t="str">
        <x:v>Canola/Rapeseed</x:v>
      </x:c>
      <x:c r="C2064" s="44" t="str">
        <x:v>L234PC</x:v>
      </x:c>
      <x:c r="D2064" s="66" t="n">
        <x:v>2023</x:v>
      </x:c>
      <x:c r="E2064" s="67" t="n">
        <x:v>1735</x:v>
      </x:c>
      <x:c r="F2064" s="68" t="n">
        <x:v>17.9</x:v>
      </x:c>
      <x:c r="G2064" s="69" t="n">
        <x:f>IF(COUNT(E2064:F2064)=2,E2064*F2064,"")</x:f>
        <x:v>31056.499999999996</x:v>
      </x:c>
    </x:row>
    <x:row r="2065">
      <x:c r="A2065" s="66" t="n">
        <x:v>16</x:v>
      </x:c>
      <x:c r="B2065" s="44" t="str">
        <x:v>Canola/Rapeseed</x:v>
      </x:c>
      <x:c r="C2065" s="44" t="str">
        <x:v>L234PC</x:v>
      </x:c>
      <x:c r="D2065" s="66" t="n">
        <x:v>2024</x:v>
      </x:c>
      <x:c r="E2065" s="67"/>
      <x:c r="F2065" s="68"/>
      <x:c r="G2065" s="69" t="str">
        <x:f>IF(COUNT(E2065:F2065)=2,E2065*F2065,"")</x:f>
      </x:c>
    </x:row>
    <x:row r="2066">
      <x:c r="A2066" s="66" t="n">
        <x:v>16</x:v>
      </x:c>
      <x:c r="B2066" s="44" t="str">
        <x:v>Canola/Rapeseed</x:v>
      </x:c>
      <x:c r="C2066" s="44" t="str">
        <x:v>L234PC</x:v>
      </x:c>
      <x:c r="D2066" s="66" t="n">
        <x:v>2025</x:v>
      </x:c>
      <x:c r="E2066" s="67" t="n">
        <x:v>5490</x:v>
      </x:c>
      <x:c r="F2066" s="68" t="n">
        <x:v>47.8</x:v>
      </x:c>
      <x:c r="G2066" s="69" t="n">
        <x:f>IF(COUNT(E2066:F2066)=2,E2066*F2066,"")</x:f>
        <x:v>262422</x:v>
      </x:c>
    </x:row>
    <x:row r="2067">
      <x:c r="A2067" s="66" t="n">
        <x:v>16</x:v>
      </x:c>
      <x:c r="B2067" s="44" t="str">
        <x:v>Canola/Rapeseed</x:v>
      </x:c>
      <x:c r="C2067" s="44" t="str">
        <x:v>L330PC</x:v>
      </x:c>
      <x:c r="D2067" s="66" t="n">
        <x:v>2021</x:v>
      </x:c>
      <x:c r="E2067" s="67"/>
      <x:c r="F2067" s="68"/>
      <x:c r="G2067" s="69" t="str">
        <x:f>IF(COUNT(E2067:F2067)=2,E2067*F2067,"")</x:f>
      </x:c>
    </x:row>
    <x:row r="2068">
      <x:c r="A2068" s="66" t="n">
        <x:v>16</x:v>
      </x:c>
      <x:c r="B2068" s="44" t="str">
        <x:v>Canola/Rapeseed</x:v>
      </x:c>
      <x:c r="C2068" s="44" t="str">
        <x:v>L330PC</x:v>
      </x:c>
      <x:c r="D2068" s="66" t="n">
        <x:v>2022</x:v>
      </x:c>
      <x:c r="E2068" s="67"/>
      <x:c r="F2068" s="68"/>
      <x:c r="G2068" s="69" t="str">
        <x:f>IF(COUNT(E2068:F2068)=2,E2068*F2068,"")</x:f>
      </x:c>
    </x:row>
    <x:row r="2069">
      <x:c r="A2069" s="66" t="n">
        <x:v>16</x:v>
      </x:c>
      <x:c r="B2069" s="44" t="str">
        <x:v>Canola/Rapeseed</x:v>
      </x:c>
      <x:c r="C2069" s="44" t="str">
        <x:v>L330PC</x:v>
      </x:c>
      <x:c r="D2069" s="66" t="n">
        <x:v>2023</x:v>
      </x:c>
      <x:c r="E2069" s="67"/>
      <x:c r="F2069" s="68"/>
      <x:c r="G2069" s="69" t="str">
        <x:f>IF(COUNT(E2069:F2069)=2,E2069*F2069,"")</x:f>
      </x:c>
    </x:row>
    <x:row r="2070">
      <x:c r="A2070" s="66" t="n">
        <x:v>16</x:v>
      </x:c>
      <x:c r="B2070" s="44" t="str">
        <x:v>Canola/Rapeseed</x:v>
      </x:c>
      <x:c r="C2070" s="44" t="str">
        <x:v>L330PC</x:v>
      </x:c>
      <x:c r="D2070" s="66" t="n">
        <x:v>2024</x:v>
      </x:c>
      <x:c r="E2070" s="67"/>
      <x:c r="F2070" s="68"/>
      <x:c r="G2070" s="69" t="str">
        <x:f>IF(COUNT(E2070:F2070)=2,E2070*F2070,"")</x:f>
      </x:c>
    </x:row>
    <x:row r="2071">
      <x:c r="A2071" s="66" t="n">
        <x:v>16</x:v>
      </x:c>
      <x:c r="B2071" s="44" t="str">
        <x:v>Canola/Rapeseed</x:v>
      </x:c>
      <x:c r="C2071" s="44" t="str">
        <x:v>L330PC</x:v>
      </x:c>
      <x:c r="D2071" s="66" t="n">
        <x:v>2025</x:v>
      </x:c>
      <x:c r="E2071" s="67" t="n">
        <x:v>27574</x:v>
      </x:c>
      <x:c r="F2071" s="68" t="n">
        <x:v>51.5</x:v>
      </x:c>
      <x:c r="G2071" s="69" t="n">
        <x:f>IF(COUNT(E2071:F2071)=2,E2071*F2071,"")</x:f>
        <x:v>1420061</x:v>
      </x:c>
    </x:row>
    <x:row r="2072">
      <x:c r="A2072" s="66" t="n">
        <x:v>16</x:v>
      </x:c>
      <x:c r="B2072" s="44" t="str">
        <x:v>Canola/Rapeseed</x:v>
      </x:c>
      <x:c r="C2072" s="44" t="str">
        <x:v>L333PC</x:v>
      </x:c>
      <x:c r="D2072" s="66" t="n">
        <x:v>2021</x:v>
      </x:c>
      <x:c r="E2072" s="67"/>
      <x:c r="F2072" s="68"/>
      <x:c r="G2072" s="69" t="str">
        <x:f>IF(COUNT(E2072:F2072)=2,E2072*F2072,"")</x:f>
      </x:c>
    </x:row>
    <x:row r="2073">
      <x:c r="A2073" s="66" t="n">
        <x:v>16</x:v>
      </x:c>
      <x:c r="B2073" s="44" t="str">
        <x:v>Canola/Rapeseed</x:v>
      </x:c>
      <x:c r="C2073" s="44" t="str">
        <x:v>L333PC</x:v>
      </x:c>
      <x:c r="D2073" s="66" t="n">
        <x:v>2022</x:v>
      </x:c>
      <x:c r="E2073" s="67"/>
      <x:c r="F2073" s="68"/>
      <x:c r="G2073" s="69" t="str">
        <x:f>IF(COUNT(E2073:F2073)=2,E2073*F2073,"")</x:f>
      </x:c>
    </x:row>
    <x:row r="2074">
      <x:c r="A2074" s="66" t="n">
        <x:v>16</x:v>
      </x:c>
      <x:c r="B2074" s="44" t="str">
        <x:v>Canola/Rapeseed</x:v>
      </x:c>
      <x:c r="C2074" s="44" t="str">
        <x:v>L333PC</x:v>
      </x:c>
      <x:c r="D2074" s="66" t="n">
        <x:v>2023</x:v>
      </x:c>
      <x:c r="E2074" s="67"/>
      <x:c r="F2074" s="68"/>
      <x:c r="G2074" s="69" t="str">
        <x:f>IF(COUNT(E2074:F2074)=2,E2074*F2074,"")</x:f>
      </x:c>
    </x:row>
    <x:row r="2075">
      <x:c r="A2075" s="66" t="n">
        <x:v>16</x:v>
      </x:c>
      <x:c r="B2075" s="44" t="str">
        <x:v>Canola/Rapeseed</x:v>
      </x:c>
      <x:c r="C2075" s="44" t="str">
        <x:v>L333PC</x:v>
      </x:c>
      <x:c r="D2075" s="66" t="n">
        <x:v>2024</x:v>
      </x:c>
      <x:c r="E2075" s="67"/>
      <x:c r="F2075" s="68"/>
      <x:c r="G2075" s="69" t="str">
        <x:f>IF(COUNT(E2075:F2075)=2,E2075*F2075,"")</x:f>
      </x:c>
    </x:row>
    <x:row r="2076">
      <x:c r="A2076" s="66" t="n">
        <x:v>16</x:v>
      </x:c>
      <x:c r="B2076" s="44" t="str">
        <x:v>Canola/Rapeseed</x:v>
      </x:c>
      <x:c r="C2076" s="44" t="str">
        <x:v>L333PC</x:v>
      </x:c>
      <x:c r="D2076" s="66" t="n">
        <x:v>2025</x:v>
      </x:c>
      <x:c r="E2076" s="67" t="n">
        <x:v>18673</x:v>
      </x:c>
      <x:c r="F2076" s="68" t="n">
        <x:v>49.6</x:v>
      </x:c>
      <x:c r="G2076" s="69" t="n">
        <x:f>IF(COUNT(E2076:F2076)=2,E2076*F2076,"")</x:f>
        <x:v>926180.8</x:v>
      </x:c>
    </x:row>
    <x:row r="2077">
      <x:c r="A2077" s="66" t="n">
        <x:v>16</x:v>
      </x:c>
      <x:c r="B2077" s="44" t="str">
        <x:v>Canola/Rapeseed</x:v>
      </x:c>
      <x:c r="C2077" s="44" t="str">
        <x:v>L340PC</x:v>
      </x:c>
      <x:c r="D2077" s="66" t="n">
        <x:v>2021</x:v>
      </x:c>
      <x:c r="E2077" s="67" t="n">
        <x:v>23912</x:v>
      </x:c>
      <x:c r="F2077" s="68" t="n">
        <x:v>14.2</x:v>
      </x:c>
      <x:c r="G2077" s="69" t="n">
        <x:f>IF(COUNT(E2077:F2077)=2,E2077*F2077,"")</x:f>
        <x:v>339550.39999999997</x:v>
      </x:c>
    </x:row>
    <x:row r="2078">
      <x:c r="A2078" s="66" t="n">
        <x:v>16</x:v>
      </x:c>
      <x:c r="B2078" s="44" t="str">
        <x:v>Canola/Rapeseed</x:v>
      </x:c>
      <x:c r="C2078" s="44" t="str">
        <x:v>L340PC</x:v>
      </x:c>
      <x:c r="D2078" s="66" t="n">
        <x:v>2022</x:v>
      </x:c>
      <x:c r="E2078" s="67" t="n">
        <x:v>119362</x:v>
      </x:c>
      <x:c r="F2078" s="68" t="n">
        <x:v>26.5</x:v>
      </x:c>
      <x:c r="G2078" s="69" t="n">
        <x:f>IF(COUNT(E2078:F2078)=2,E2078*F2078,"")</x:f>
        <x:v>3163093</x:v>
      </x:c>
    </x:row>
    <x:row r="2079">
      <x:c r="A2079" s="66" t="n">
        <x:v>16</x:v>
      </x:c>
      <x:c r="B2079" s="44" t="str">
        <x:v>Canola/Rapeseed</x:v>
      </x:c>
      <x:c r="C2079" s="44" t="str">
        <x:v>L340PC</x:v>
      </x:c>
      <x:c r="D2079" s="66" t="n">
        <x:v>2023</x:v>
      </x:c>
      <x:c r="E2079" s="67" t="n">
        <x:v>210940</x:v>
      </x:c>
      <x:c r="F2079" s="68" t="n">
        <x:v>24.7</x:v>
      </x:c>
      <x:c r="G2079" s="69" t="n">
        <x:f>IF(COUNT(E2079:F2079)=2,E2079*F2079,"")</x:f>
        <x:v>5210218</x:v>
      </x:c>
    </x:row>
    <x:row r="2080">
      <x:c r="A2080" s="66" t="n">
        <x:v>16</x:v>
      </x:c>
      <x:c r="B2080" s="44" t="str">
        <x:v>Canola/Rapeseed</x:v>
      </x:c>
      <x:c r="C2080" s="44" t="str">
        <x:v>L340PC</x:v>
      </x:c>
      <x:c r="D2080" s="66" t="n">
        <x:v>2024</x:v>
      </x:c>
      <x:c r="E2080" s="67" t="n">
        <x:v>349632</x:v>
      </x:c>
      <x:c r="F2080" s="68" t="n">
        <x:v>36.1</x:v>
      </x:c>
      <x:c r="G2080" s="69" t="n">
        <x:f>IF(COUNT(E2080:F2080)=2,E2080*F2080,"")</x:f>
        <x:v>12621715.200000001</x:v>
      </x:c>
    </x:row>
    <x:row r="2081">
      <x:c r="A2081" s="66" t="n">
        <x:v>16</x:v>
      </x:c>
      <x:c r="B2081" s="44" t="str">
        <x:v>Canola/Rapeseed</x:v>
      </x:c>
      <x:c r="C2081" s="44" t="str">
        <x:v>L340PC</x:v>
      </x:c>
      <x:c r="D2081" s="66" t="n">
        <x:v>2025</x:v>
      </x:c>
      <x:c r="E2081" s="67" t="n">
        <x:v>480029</x:v>
      </x:c>
      <x:c r="F2081" s="68" t="n">
        <x:v>53.8</x:v>
      </x:c>
      <x:c r="G2081" s="69" t="n">
        <x:f>IF(COUNT(E2081:F2081)=2,E2081*F2081,"")</x:f>
        <x:v>25825560.2</x:v>
      </x:c>
    </x:row>
    <x:row r="2082">
      <x:c r="A2082" s="66" t="n">
        <x:v>16</x:v>
      </x:c>
      <x:c r="B2082" s="44" t="str">
        <x:v>Canola/Rapeseed</x:v>
      </x:c>
      <x:c r="C2082" s="44" t="str">
        <x:v>L341PC</x:v>
      </x:c>
      <x:c r="D2082" s="66" t="n">
        <x:v>2021</x:v>
      </x:c>
      <x:c r="E2082" s="67"/>
      <x:c r="F2082" s="68"/>
      <x:c r="G2082" s="69" t="str">
        <x:f>IF(COUNT(E2082:F2082)=2,E2082*F2082,"")</x:f>
      </x:c>
    </x:row>
    <x:row r="2083">
      <x:c r="A2083" s="66" t="n">
        <x:v>16</x:v>
      </x:c>
      <x:c r="B2083" s="44" t="str">
        <x:v>Canola/Rapeseed</x:v>
      </x:c>
      <x:c r="C2083" s="44" t="str">
        <x:v>L341PC</x:v>
      </x:c>
      <x:c r="D2083" s="66" t="n">
        <x:v>2022</x:v>
      </x:c>
      <x:c r="E2083" s="67"/>
      <x:c r="F2083" s="68"/>
      <x:c r="G2083" s="69" t="str">
        <x:f>IF(COUNT(E2083:F2083)=2,E2083*F2083,"")</x:f>
      </x:c>
    </x:row>
    <x:row r="2084">
      <x:c r="A2084" s="66" t="n">
        <x:v>16</x:v>
      </x:c>
      <x:c r="B2084" s="44" t="str">
        <x:v>Canola/Rapeseed</x:v>
      </x:c>
      <x:c r="C2084" s="44" t="str">
        <x:v>L341PC</x:v>
      </x:c>
      <x:c r="D2084" s="66" t="n">
        <x:v>2023</x:v>
      </x:c>
      <x:c r="E2084" s="67"/>
      <x:c r="F2084" s="68"/>
      <x:c r="G2084" s="69" t="str">
        <x:f>IF(COUNT(E2084:F2084)=2,E2084*F2084,"")</x:f>
      </x:c>
    </x:row>
    <x:row r="2085">
      <x:c r="A2085" s="66" t="n">
        <x:v>16</x:v>
      </x:c>
      <x:c r="B2085" s="44" t="str">
        <x:v>Canola/Rapeseed</x:v>
      </x:c>
      <x:c r="C2085" s="44" t="str">
        <x:v>L341PC</x:v>
      </x:c>
      <x:c r="D2085" s="66" t="n">
        <x:v>2024</x:v>
      </x:c>
      <x:c r="E2085" s="67"/>
      <x:c r="F2085" s="68"/>
      <x:c r="G2085" s="69" t="str">
        <x:f>IF(COUNT(E2085:F2085)=2,E2085*F2085,"")</x:f>
      </x:c>
    </x:row>
    <x:row r="2086">
      <x:c r="A2086" s="66" t="n">
        <x:v>16</x:v>
      </x:c>
      <x:c r="B2086" s="44" t="str">
        <x:v>Canola/Rapeseed</x:v>
      </x:c>
      <x:c r="C2086" s="44" t="str">
        <x:v>L341PC</x:v>
      </x:c>
      <x:c r="D2086" s="66" t="n">
        <x:v>2025</x:v>
      </x:c>
      <x:c r="E2086" s="67" t="n">
        <x:v>5964</x:v>
      </x:c>
      <x:c r="F2086" s="68" t="n">
        <x:v>47.1</x:v>
      </x:c>
      <x:c r="G2086" s="69" t="n">
        <x:f>IF(COUNT(E2086:F2086)=2,E2086*F2086,"")</x:f>
        <x:v>280904.4</x:v>
      </x:c>
    </x:row>
    <x:row r="2087">
      <x:c r="A2087" s="66" t="n">
        <x:v>16</x:v>
      </x:c>
      <x:c r="B2087" s="44" t="str">
        <x:v>Canola/Rapeseed</x:v>
      </x:c>
      <x:c r="C2087" s="44" t="str">
        <x:v>L343PC</x:v>
      </x:c>
      <x:c r="D2087" s="66" t="n">
        <x:v>2021</x:v>
      </x:c>
      <x:c r="E2087" s="67"/>
      <x:c r="F2087" s="68"/>
      <x:c r="G2087" s="69" t="str">
        <x:f>IF(COUNT(E2087:F2087)=2,E2087*F2087,"")</x:f>
      </x:c>
    </x:row>
    <x:row r="2088">
      <x:c r="A2088" s="66" t="n">
        <x:v>16</x:v>
      </x:c>
      <x:c r="B2088" s="44" t="str">
        <x:v>Canola/Rapeseed</x:v>
      </x:c>
      <x:c r="C2088" s="44" t="str">
        <x:v>L343PC</x:v>
      </x:c>
      <x:c r="D2088" s="66" t="n">
        <x:v>2022</x:v>
      </x:c>
      <x:c r="E2088" s="67" t="n">
        <x:v>4666</x:v>
      </x:c>
      <x:c r="F2088" s="68" t="n">
        <x:v>19</x:v>
      </x:c>
      <x:c r="G2088" s="69" t="n">
        <x:f>IF(COUNT(E2088:F2088)=2,E2088*F2088,"")</x:f>
        <x:v>88654</x:v>
      </x:c>
    </x:row>
    <x:row r="2089">
      <x:c r="A2089" s="66" t="n">
        <x:v>16</x:v>
      </x:c>
      <x:c r="B2089" s="44" t="str">
        <x:v>Canola/Rapeseed</x:v>
      </x:c>
      <x:c r="C2089" s="44" t="str">
        <x:v>L343PC</x:v>
      </x:c>
      <x:c r="D2089" s="66" t="n">
        <x:v>2023</x:v>
      </x:c>
      <x:c r="E2089" s="67" t="n">
        <x:v>19836</x:v>
      </x:c>
      <x:c r="F2089" s="68" t="n">
        <x:v>22.6</x:v>
      </x:c>
      <x:c r="G2089" s="69" t="n">
        <x:f>IF(COUNT(E2089:F2089)=2,E2089*F2089,"")</x:f>
        <x:v>448293.60000000003</x:v>
      </x:c>
    </x:row>
    <x:row r="2090">
      <x:c r="A2090" s="66" t="n">
        <x:v>16</x:v>
      </x:c>
      <x:c r="B2090" s="44" t="str">
        <x:v>Canola/Rapeseed</x:v>
      </x:c>
      <x:c r="C2090" s="44" t="str">
        <x:v>L343PC</x:v>
      </x:c>
      <x:c r="D2090" s="66" t="n">
        <x:v>2024</x:v>
      </x:c>
      <x:c r="E2090" s="67" t="n">
        <x:v>6799</x:v>
      </x:c>
      <x:c r="F2090" s="68" t="n">
        <x:v>35.6</x:v>
      </x:c>
      <x:c r="G2090" s="69" t="n">
        <x:f>IF(COUNT(E2090:F2090)=2,E2090*F2090,"")</x:f>
        <x:v>242044.40000000002</x:v>
      </x:c>
    </x:row>
    <x:row r="2091">
      <x:c r="A2091" s="66" t="n">
        <x:v>16</x:v>
      </x:c>
      <x:c r="B2091" s="44" t="str">
        <x:v>Canola/Rapeseed</x:v>
      </x:c>
      <x:c r="C2091" s="44" t="str">
        <x:v>L343PC</x:v>
      </x:c>
      <x:c r="D2091" s="66" t="n">
        <x:v>2025</x:v>
      </x:c>
      <x:c r="E2091" s="67" t="n">
        <x:v>6905</x:v>
      </x:c>
      <x:c r="F2091" s="68" t="n">
        <x:v>50.6</x:v>
      </x:c>
      <x:c r="G2091" s="69" t="n">
        <x:f>IF(COUNT(E2091:F2091)=2,E2091*F2091,"")</x:f>
        <x:v>349393</x:v>
      </x:c>
    </x:row>
    <x:row r="2092">
      <x:c r="A2092" s="66" t="n">
        <x:v>16</x:v>
      </x:c>
      <x:c r="B2092" s="44" t="str">
        <x:v>Canola/Rapeseed</x:v>
      </x:c>
      <x:c r="C2092" s="44" t="str">
        <x:v>L345PC</x:v>
      </x:c>
      <x:c r="D2092" s="66" t="n">
        <x:v>2021</x:v>
      </x:c>
      <x:c r="E2092" s="67" t="n">
        <x:v>209414</x:v>
      </x:c>
      <x:c r="F2092" s="68" t="n">
        <x:v>13.9</x:v>
      </x:c>
      <x:c r="G2092" s="69" t="n">
        <x:f>IF(COUNT(E2092:F2092)=2,E2092*F2092,"")</x:f>
        <x:v>2910854.6</x:v>
      </x:c>
    </x:row>
    <x:row r="2093">
      <x:c r="A2093" s="66" t="n">
        <x:v>16</x:v>
      </x:c>
      <x:c r="B2093" s="44" t="str">
        <x:v>Canola/Rapeseed</x:v>
      </x:c>
      <x:c r="C2093" s="44" t="str">
        <x:v>L345PC</x:v>
      </x:c>
      <x:c r="D2093" s="66" t="n">
        <x:v>2022</x:v>
      </x:c>
      <x:c r="E2093" s="67" t="n">
        <x:v>131242</x:v>
      </x:c>
      <x:c r="F2093" s="68" t="n">
        <x:v>24.9</x:v>
      </x:c>
      <x:c r="G2093" s="69" t="n">
        <x:f>IF(COUNT(E2093:F2093)=2,E2093*F2093,"")</x:f>
        <x:v>3267925.8</x:v>
      </x:c>
    </x:row>
    <x:row r="2094">
      <x:c r="A2094" s="66" t="n">
        <x:v>16</x:v>
      </x:c>
      <x:c r="B2094" s="44" t="str">
        <x:v>Canola/Rapeseed</x:v>
      </x:c>
      <x:c r="C2094" s="44" t="str">
        <x:v>L345PC</x:v>
      </x:c>
      <x:c r="D2094" s="66" t="n">
        <x:v>2023</x:v>
      </x:c>
      <x:c r="E2094" s="67" t="n">
        <x:v>145465</x:v>
      </x:c>
      <x:c r="F2094" s="68" t="n">
        <x:v>21.3</x:v>
      </x:c>
      <x:c r="G2094" s="69" t="n">
        <x:f>IF(COUNT(E2094:F2094)=2,E2094*F2094,"")</x:f>
        <x:v>3098404.5</x:v>
      </x:c>
    </x:row>
    <x:row r="2095">
      <x:c r="A2095" s="66" t="n">
        <x:v>16</x:v>
      </x:c>
      <x:c r="B2095" s="44" t="str">
        <x:v>Canola/Rapeseed</x:v>
      </x:c>
      <x:c r="C2095" s="44" t="str">
        <x:v>L345PC</x:v>
      </x:c>
      <x:c r="D2095" s="66" t="n">
        <x:v>2024</x:v>
      </x:c>
      <x:c r="E2095" s="67" t="n">
        <x:v>87994</x:v>
      </x:c>
      <x:c r="F2095" s="68" t="n">
        <x:v>36.1</x:v>
      </x:c>
      <x:c r="G2095" s="69" t="n">
        <x:f>IF(COUNT(E2095:F2095)=2,E2095*F2095,"")</x:f>
        <x:v>3176583.4</x:v>
      </x:c>
    </x:row>
    <x:row r="2096">
      <x:c r="A2096" s="66" t="n">
        <x:v>16</x:v>
      </x:c>
      <x:c r="B2096" s="44" t="str">
        <x:v>Canola/Rapeseed</x:v>
      </x:c>
      <x:c r="C2096" s="44" t="str">
        <x:v>L345PC</x:v>
      </x:c>
      <x:c r="D2096" s="66" t="n">
        <x:v>2025</x:v>
      </x:c>
      <x:c r="E2096" s="67" t="n">
        <x:v>48304</x:v>
      </x:c>
      <x:c r="F2096" s="68" t="n">
        <x:v>51.6</x:v>
      </x:c>
      <x:c r="G2096" s="69" t="n">
        <x:f>IF(COUNT(E2096:F2096)=2,E2096*F2096,"")</x:f>
        <x:v>2492486.4</x:v>
      </x:c>
    </x:row>
    <x:row r="2097">
      <x:c r="A2097" s="66" t="n">
        <x:v>16</x:v>
      </x:c>
      <x:c r="B2097" s="44" t="str">
        <x:v>Canola/Rapeseed</x:v>
      </x:c>
      <x:c r="C2097" s="44" t="str">
        <x:v>L350PC</x:v>
      </x:c>
      <x:c r="D2097" s="66" t="n">
        <x:v>2021</x:v>
      </x:c>
      <x:c r="E2097" s="67"/>
      <x:c r="F2097" s="68"/>
      <x:c r="G2097" s="69" t="str">
        <x:f>IF(COUNT(E2097:F2097)=2,E2097*F2097,"")</x:f>
      </x:c>
    </x:row>
    <x:row r="2098">
      <x:c r="A2098" s="66" t="n">
        <x:v>16</x:v>
      </x:c>
      <x:c r="B2098" s="44" t="str">
        <x:v>Canola/Rapeseed</x:v>
      </x:c>
      <x:c r="C2098" s="44" t="str">
        <x:v>L350PC</x:v>
      </x:c>
      <x:c r="D2098" s="66" t="n">
        <x:v>2022</x:v>
      </x:c>
      <x:c r="E2098" s="67"/>
      <x:c r="F2098" s="68"/>
      <x:c r="G2098" s="69" t="str">
        <x:f>IF(COUNT(E2098:F2098)=2,E2098*F2098,"")</x:f>
      </x:c>
    </x:row>
    <x:row r="2099">
      <x:c r="A2099" s="66" t="n">
        <x:v>16</x:v>
      </x:c>
      <x:c r="B2099" s="44" t="str">
        <x:v>Canola/Rapeseed</x:v>
      </x:c>
      <x:c r="C2099" s="44" t="str">
        <x:v>L350PC</x:v>
      </x:c>
      <x:c r="D2099" s="66" t="n">
        <x:v>2023</x:v>
      </x:c>
      <x:c r="E2099" s="67" t="n">
        <x:v>48865</x:v>
      </x:c>
      <x:c r="F2099" s="68" t="n">
        <x:v>22.9</x:v>
      </x:c>
      <x:c r="G2099" s="69" t="n">
        <x:f>IF(COUNT(E2099:F2099)=2,E2099*F2099,"")</x:f>
        <x:v>1119008.5</x:v>
      </x:c>
    </x:row>
    <x:row r="2100">
      <x:c r="A2100" s="66" t="n">
        <x:v>16</x:v>
      </x:c>
      <x:c r="B2100" s="44" t="str">
        <x:v>Canola/Rapeseed</x:v>
      </x:c>
      <x:c r="C2100" s="44" t="str">
        <x:v>L350PC</x:v>
      </x:c>
      <x:c r="D2100" s="66" t="n">
        <x:v>2024</x:v>
      </x:c>
      <x:c r="E2100" s="67" t="n">
        <x:v>20263</x:v>
      </x:c>
      <x:c r="F2100" s="68" t="n">
        <x:v>35.4</x:v>
      </x:c>
      <x:c r="G2100" s="69" t="n">
        <x:f>IF(COUNT(E2100:F2100)=2,E2100*F2100,"")</x:f>
        <x:v>717310.2</x:v>
      </x:c>
    </x:row>
    <x:row r="2101">
      <x:c r="A2101" s="66" t="n">
        <x:v>16</x:v>
      </x:c>
      <x:c r="B2101" s="44" t="str">
        <x:v>Canola/Rapeseed</x:v>
      </x:c>
      <x:c r="C2101" s="44" t="str">
        <x:v>L350PC</x:v>
      </x:c>
      <x:c r="D2101" s="66" t="n">
        <x:v>2025</x:v>
      </x:c>
      <x:c r="E2101" s="67" t="n">
        <x:v>11635</x:v>
      </x:c>
      <x:c r="F2101" s="68" t="n">
        <x:v>53.1</x:v>
      </x:c>
      <x:c r="G2101" s="69" t="n">
        <x:f>IF(COUNT(E2101:F2101)=2,E2101*F2101,"")</x:f>
        <x:v>617818.5</x:v>
      </x:c>
    </x:row>
    <x:row r="2102">
      <x:c r="A2102" s="66" t="n">
        <x:v>16</x:v>
      </x:c>
      <x:c r="B2102" s="44" t="str">
        <x:v>Canola/Rapeseed</x:v>
      </x:c>
      <x:c r="C2102" s="44" t="str">
        <x:v>L356PC</x:v>
      </x:c>
      <x:c r="D2102" s="66" t="n">
        <x:v>2021</x:v>
      </x:c>
      <x:c r="E2102" s="67"/>
      <x:c r="F2102" s="68"/>
      <x:c r="G2102" s="69" t="str">
        <x:f>IF(COUNT(E2102:F2102)=2,E2102*F2102,"")</x:f>
      </x:c>
    </x:row>
    <x:row r="2103">
      <x:c r="A2103" s="66" t="n">
        <x:v>16</x:v>
      </x:c>
      <x:c r="B2103" s="44" t="str">
        <x:v>Canola/Rapeseed</x:v>
      </x:c>
      <x:c r="C2103" s="44" t="str">
        <x:v>L356PC</x:v>
      </x:c>
      <x:c r="D2103" s="66" t="n">
        <x:v>2022</x:v>
      </x:c>
      <x:c r="E2103" s="67" t="n">
        <x:v>23212</x:v>
      </x:c>
      <x:c r="F2103" s="68" t="n">
        <x:v>22.6</x:v>
      </x:c>
      <x:c r="G2103" s="69" t="n">
        <x:f>IF(COUNT(E2103:F2103)=2,E2103*F2103,"")</x:f>
        <x:v>524591.2000000001</x:v>
      </x:c>
    </x:row>
    <x:row r="2104">
      <x:c r="A2104" s="66" t="n">
        <x:v>16</x:v>
      </x:c>
      <x:c r="B2104" s="44" t="str">
        <x:v>Canola/Rapeseed</x:v>
      </x:c>
      <x:c r="C2104" s="44" t="str">
        <x:v>L356PC</x:v>
      </x:c>
      <x:c r="D2104" s="66" t="n">
        <x:v>2023</x:v>
      </x:c>
      <x:c r="E2104" s="67" t="n">
        <x:v>46304</x:v>
      </x:c>
      <x:c r="F2104" s="68" t="n">
        <x:v>25.9</x:v>
      </x:c>
      <x:c r="G2104" s="69" t="n">
        <x:f>IF(COUNT(E2104:F2104)=2,E2104*F2104,"")</x:f>
        <x:v>1199273.5999999999</x:v>
      </x:c>
    </x:row>
    <x:row r="2105">
      <x:c r="A2105" s="66" t="n">
        <x:v>16</x:v>
      </x:c>
      <x:c r="B2105" s="44" t="str">
        <x:v>Canola/Rapeseed</x:v>
      </x:c>
      <x:c r="C2105" s="44" t="str">
        <x:v>L356PC</x:v>
      </x:c>
      <x:c r="D2105" s="66" t="n">
        <x:v>2024</x:v>
      </x:c>
      <x:c r="E2105" s="67" t="n">
        <x:v>37522</x:v>
      </x:c>
      <x:c r="F2105" s="68" t="n">
        <x:v>36.2</x:v>
      </x:c>
      <x:c r="G2105" s="69" t="n">
        <x:f>IF(COUNT(E2105:F2105)=2,E2105*F2105,"")</x:f>
        <x:v>1358296.4000000001</x:v>
      </x:c>
    </x:row>
    <x:row r="2106">
      <x:c r="A2106" s="66" t="n">
        <x:v>16</x:v>
      </x:c>
      <x:c r="B2106" s="44" t="str">
        <x:v>Canola/Rapeseed</x:v>
      </x:c>
      <x:c r="C2106" s="44" t="str">
        <x:v>L356PC</x:v>
      </x:c>
      <x:c r="D2106" s="66" t="n">
        <x:v>2025</x:v>
      </x:c>
      <x:c r="E2106" s="67" t="n">
        <x:v>16270</x:v>
      </x:c>
      <x:c r="F2106" s="68" t="n">
        <x:v>50.9</x:v>
      </x:c>
      <x:c r="G2106" s="69" t="n">
        <x:f>IF(COUNT(E2106:F2106)=2,E2106*F2106,"")</x:f>
        <x:v>828143</x:v>
      </x:c>
    </x:row>
    <x:row r="2107">
      <x:c r="A2107" s="66" t="n">
        <x:v>16</x:v>
      </x:c>
      <x:c r="B2107" s="44" t="str">
        <x:v>Canola/Rapeseed</x:v>
      </x:c>
      <x:c r="C2107" s="44" t="str">
        <x:v>PV 661 LCM</x:v>
      </x:c>
      <x:c r="D2107" s="66" t="n">
        <x:v>2021</x:v>
      </x:c>
      <x:c r="E2107" s="67"/>
      <x:c r="F2107" s="68"/>
      <x:c r="G2107" s="69" t="str">
        <x:f>IF(COUNT(E2107:F2107)=2,E2107*F2107,"")</x:f>
      </x:c>
    </x:row>
    <x:row r="2108">
      <x:c r="A2108" s="66" t="n">
        <x:v>16</x:v>
      </x:c>
      <x:c r="B2108" s="44" t="str">
        <x:v>Canola/Rapeseed</x:v>
      </x:c>
      <x:c r="C2108" s="44" t="str">
        <x:v>PV 661 LCM</x:v>
      </x:c>
      <x:c r="D2108" s="66" t="n">
        <x:v>2022</x:v>
      </x:c>
      <x:c r="E2108" s="67"/>
      <x:c r="F2108" s="68"/>
      <x:c r="G2108" s="69" t="str">
        <x:f>IF(COUNT(E2108:F2108)=2,E2108*F2108,"")</x:f>
      </x:c>
    </x:row>
    <x:row r="2109">
      <x:c r="A2109" s="66" t="n">
        <x:v>16</x:v>
      </x:c>
      <x:c r="B2109" s="44" t="str">
        <x:v>Canola/Rapeseed</x:v>
      </x:c>
      <x:c r="C2109" s="44" t="str">
        <x:v>PV 661 LCM</x:v>
      </x:c>
      <x:c r="D2109" s="66" t="n">
        <x:v>2023</x:v>
      </x:c>
      <x:c r="E2109" s="67"/>
      <x:c r="F2109" s="68"/>
      <x:c r="G2109" s="69" t="str">
        <x:f>IF(COUNT(E2109:F2109)=2,E2109*F2109,"")</x:f>
      </x:c>
    </x:row>
    <x:row r="2110">
      <x:c r="A2110" s="66" t="n">
        <x:v>16</x:v>
      </x:c>
      <x:c r="B2110" s="44" t="str">
        <x:v>Canola/Rapeseed</x:v>
      </x:c>
      <x:c r="C2110" s="44" t="str">
        <x:v>PV 661 LCM</x:v>
      </x:c>
      <x:c r="D2110" s="66" t="n">
        <x:v>2024</x:v>
      </x:c>
      <x:c r="E2110" s="67" t="n">
        <x:v>12921</x:v>
      </x:c>
      <x:c r="F2110" s="68" t="n">
        <x:v>27.2</x:v>
      </x:c>
      <x:c r="G2110" s="69" t="n">
        <x:f>IF(COUNT(E2110:F2110)=2,E2110*F2110,"")</x:f>
        <x:v>351451.2</x:v>
      </x:c>
    </x:row>
    <x:row r="2111">
      <x:c r="A2111" s="66" t="n">
        <x:v>16</x:v>
      </x:c>
      <x:c r="B2111" s="44" t="str">
        <x:v>Canola/Rapeseed</x:v>
      </x:c>
      <x:c r="C2111" s="44" t="str">
        <x:v>PV 661 LCM</x:v>
      </x:c>
      <x:c r="D2111" s="66" t="n">
        <x:v>2025</x:v>
      </x:c>
      <x:c r="E2111" s="67" t="n">
        <x:v>4890</x:v>
      </x:c>
      <x:c r="F2111" s="68" t="n">
        <x:v>45.2</x:v>
      </x:c>
      <x:c r="G2111" s="69" t="n">
        <x:f>IF(COUNT(E2111:F2111)=2,E2111*F2111,"")</x:f>
        <x:v>221028</x:v>
      </x:c>
    </x:row>
    <x:row r="2112">
      <x:c r="A2112" s="66" t="n">
        <x:v>16</x:v>
      </x:c>
      <x:c r="B2112" s="44" t="str">
        <x:v>Canola/Rapeseed</x:v>
      </x:c>
      <x:c r="C2112" s="44" t="str">
        <x:v>PV661 LCM</x:v>
      </x:c>
      <x:c r="D2112" s="66" t="n">
        <x:v>2021</x:v>
      </x:c>
      <x:c r="E2112" s="67"/>
      <x:c r="F2112" s="68"/>
      <x:c r="G2112" s="69" t="str">
        <x:f>IF(COUNT(E2112:F2112)=2,E2112*F2112,"")</x:f>
      </x:c>
    </x:row>
    <x:row r="2113">
      <x:c r="A2113" s="66" t="n">
        <x:v>16</x:v>
      </x:c>
      <x:c r="B2113" s="44" t="str">
        <x:v>Canola/Rapeseed</x:v>
      </x:c>
      <x:c r="C2113" s="44" t="str">
        <x:v>PV661 LCM</x:v>
      </x:c>
      <x:c r="D2113" s="66" t="n">
        <x:v>2022</x:v>
      </x:c>
      <x:c r="E2113" s="67"/>
      <x:c r="F2113" s="68"/>
      <x:c r="G2113" s="69" t="str">
        <x:f>IF(COUNT(E2113:F2113)=2,E2113*F2113,"")</x:f>
      </x:c>
    </x:row>
    <x:row r="2114">
      <x:c r="A2114" s="66" t="n">
        <x:v>16</x:v>
      </x:c>
      <x:c r="B2114" s="44" t="str">
        <x:v>Canola/Rapeseed</x:v>
      </x:c>
      <x:c r="C2114" s="44" t="str">
        <x:v>PV661 LCM</x:v>
      </x:c>
      <x:c r="D2114" s="66" t="n">
        <x:v>2023</x:v>
      </x:c>
      <x:c r="E2114" s="67" t="n">
        <x:v>4463</x:v>
      </x:c>
      <x:c r="F2114" s="68" t="n">
        <x:v>23.5</x:v>
      </x:c>
      <x:c r="G2114" s="69" t="n">
        <x:f>IF(COUNT(E2114:F2114)=2,E2114*F2114,"")</x:f>
        <x:v>104880.5</x:v>
      </x:c>
    </x:row>
    <x:row r="2115">
      <x:c r="A2115" s="66" t="n">
        <x:v>16</x:v>
      </x:c>
      <x:c r="B2115" s="44" t="str">
        <x:v>Canola/Rapeseed</x:v>
      </x:c>
      <x:c r="C2115" s="44" t="str">
        <x:v>PV661 LCM</x:v>
      </x:c>
      <x:c r="D2115" s="66" t="n">
        <x:v>2024</x:v>
      </x:c>
      <x:c r="E2115" s="67" t="n">
        <x:v>12992</x:v>
      </x:c>
      <x:c r="F2115" s="68" t="n">
        <x:v>24.7</x:v>
      </x:c>
      <x:c r="G2115" s="69" t="n">
        <x:f>IF(COUNT(E2115:F2115)=2,E2115*F2115,"")</x:f>
        <x:v>320902.39999999997</x:v>
      </x:c>
    </x:row>
    <x:row r="2116">
      <x:c r="A2116" s="66" t="n">
        <x:v>16</x:v>
      </x:c>
      <x:c r="B2116" s="44" t="str">
        <x:v>Canola/Rapeseed</x:v>
      </x:c>
      <x:c r="C2116" s="44" t="str">
        <x:v>PV661 LCM</x:v>
      </x:c>
      <x:c r="D2116" s="66" t="n">
        <x:v>2025</x:v>
      </x:c>
      <x:c r="E2116" s="67" t="n">
        <x:v>2119</x:v>
      </x:c>
      <x:c r="F2116" s="68" t="n">
        <x:v>34.8</x:v>
      </x:c>
      <x:c r="G2116" s="69" t="n">
        <x:f>IF(COUNT(E2116:F2116)=2,E2116*F2116,"")</x:f>
        <x:v>73741.2</x:v>
      </x:c>
    </x:row>
    <x:row r="2117">
      <x:c r="A2117" s="66" t="n">
        <x:v>16</x:v>
      </x:c>
      <x:c r="B2117" s="44" t="str">
        <x:v>Canola/Rapeseed</x:v>
      </x:c>
      <x:c r="C2117" s="44" t="str">
        <x:v>P1540L</x:v>
      </x:c>
      <x:c r="D2117" s="66" t="n">
        <x:v>2021</x:v>
      </x:c>
      <x:c r="E2117" s="67"/>
      <x:c r="F2117" s="68"/>
      <x:c r="G2117" s="69" t="str">
        <x:f>IF(COUNT(E2117:F2117)=2,E2117*F2117,"")</x:f>
      </x:c>
    </x:row>
    <x:row r="2118">
      <x:c r="A2118" s="66" t="n">
        <x:v>16</x:v>
      </x:c>
      <x:c r="B2118" s="44" t="str">
        <x:v>Canola/Rapeseed</x:v>
      </x:c>
      <x:c r="C2118" s="44" t="str">
        <x:v>P1540L</x:v>
      </x:c>
      <x:c r="D2118" s="66" t="n">
        <x:v>2022</x:v>
      </x:c>
      <x:c r="E2118" s="67"/>
      <x:c r="F2118" s="68"/>
      <x:c r="G2118" s="69" t="str">
        <x:f>IF(COUNT(E2118:F2118)=2,E2118*F2118,"")</x:f>
      </x:c>
    </x:row>
    <x:row r="2119">
      <x:c r="A2119" s="66" t="n">
        <x:v>16</x:v>
      </x:c>
      <x:c r="B2119" s="44" t="str">
        <x:v>Canola/Rapeseed</x:v>
      </x:c>
      <x:c r="C2119" s="44" t="str">
        <x:v>P1540L</x:v>
      </x:c>
      <x:c r="D2119" s="66" t="n">
        <x:v>2023</x:v>
      </x:c>
      <x:c r="E2119" s="67"/>
      <x:c r="F2119" s="68"/>
      <x:c r="G2119" s="69" t="str">
        <x:f>IF(COUNT(E2119:F2119)=2,E2119*F2119,"")</x:f>
      </x:c>
    </x:row>
    <x:row r="2120">
      <x:c r="A2120" s="66" t="n">
        <x:v>16</x:v>
      </x:c>
      <x:c r="B2120" s="44" t="str">
        <x:v>Canola/Rapeseed</x:v>
      </x:c>
      <x:c r="C2120" s="44" t="str">
        <x:v>P1540L</x:v>
      </x:c>
      <x:c r="D2120" s="66" t="n">
        <x:v>2024</x:v>
      </x:c>
      <x:c r="E2120" s="67"/>
      <x:c r="F2120" s="68"/>
      <x:c r="G2120" s="69" t="str">
        <x:f>IF(COUNT(E2120:F2120)=2,E2120*F2120,"")</x:f>
      </x:c>
    </x:row>
    <x:row r="2121">
      <x:c r="A2121" s="66" t="n">
        <x:v>16</x:v>
      </x:c>
      <x:c r="B2121" s="44" t="str">
        <x:v>Canola/Rapeseed</x:v>
      </x:c>
      <x:c r="C2121" s="44" t="str">
        <x:v>P1540L</x:v>
      </x:c>
      <x:c r="D2121" s="66" t="n">
        <x:v>2025</x:v>
      </x:c>
      <x:c r="E2121" s="67" t="n">
        <x:v>1997</x:v>
      </x:c>
      <x:c r="F2121" s="68" t="n">
        <x:v>50</x:v>
      </x:c>
      <x:c r="G2121" s="69" t="n">
        <x:f>IF(COUNT(E2121:F2121)=2,E2121*F2121,"")</x:f>
        <x:v>99850</x:v>
      </x:c>
    </x:row>
    <x:row r="2122">
      <x:c r="A2122" s="66" t="n">
        <x:v>16</x:v>
      </x:c>
      <x:c r="B2122" s="44" t="str">
        <x:v>Canola/Rapeseed</x:v>
      </x:c>
      <x:c r="C2122" s="44" t="str">
        <x:v>P505MSL</x:v>
      </x:c>
      <x:c r="D2122" s="66" t="n">
        <x:v>2021</x:v>
      </x:c>
      <x:c r="E2122" s="67" t="n">
        <x:v>8202</x:v>
      </x:c>
      <x:c r="F2122" s="68" t="n">
        <x:v>13</x:v>
      </x:c>
      <x:c r="G2122" s="69" t="n">
        <x:f>IF(COUNT(E2122:F2122)=2,E2122*F2122,"")</x:f>
        <x:v>106626</x:v>
      </x:c>
    </x:row>
    <x:row r="2123">
      <x:c r="A2123" s="66" t="n">
        <x:v>16</x:v>
      </x:c>
      <x:c r="B2123" s="44" t="str">
        <x:v>Canola/Rapeseed</x:v>
      </x:c>
      <x:c r="C2123" s="44" t="str">
        <x:v>P505MSL</x:v>
      </x:c>
      <x:c r="D2123" s="66" t="n">
        <x:v>2022</x:v>
      </x:c>
      <x:c r="E2123" s="67" t="n">
        <x:v>10130</x:v>
      </x:c>
      <x:c r="F2123" s="68" t="n">
        <x:v>29.3</x:v>
      </x:c>
      <x:c r="G2123" s="69" t="n">
        <x:f>IF(COUNT(E2123:F2123)=2,E2123*F2123,"")</x:f>
        <x:v>296809</x:v>
      </x:c>
    </x:row>
    <x:row r="2124">
      <x:c r="A2124" s="66" t="n">
        <x:v>16</x:v>
      </x:c>
      <x:c r="B2124" s="44" t="str">
        <x:v>Canola/Rapeseed</x:v>
      </x:c>
      <x:c r="C2124" s="44" t="str">
        <x:v>P505MSL</x:v>
      </x:c>
      <x:c r="D2124" s="66" t="n">
        <x:v>2023</x:v>
      </x:c>
      <x:c r="E2124" s="67" t="n">
        <x:v>10893</x:v>
      </x:c>
      <x:c r="F2124" s="68" t="n">
        <x:v>33.6</x:v>
      </x:c>
      <x:c r="G2124" s="69" t="n">
        <x:f>IF(COUNT(E2124:F2124)=2,E2124*F2124,"")</x:f>
        <x:v>366004.8</x:v>
      </x:c>
    </x:row>
    <x:row r="2125">
      <x:c r="A2125" s="66" t="n">
        <x:v>16</x:v>
      </x:c>
      <x:c r="B2125" s="44" t="str">
        <x:v>Canola/Rapeseed</x:v>
      </x:c>
      <x:c r="C2125" s="44" t="str">
        <x:v>P505MSL</x:v>
      </x:c>
      <x:c r="D2125" s="66" t="n">
        <x:v>2024</x:v>
      </x:c>
      <x:c r="E2125" s="67" t="n">
        <x:v>18565</x:v>
      </x:c>
      <x:c r="F2125" s="68" t="n">
        <x:v>31.9</x:v>
      </x:c>
      <x:c r="G2125" s="69" t="n">
        <x:f>IF(COUNT(E2125:F2125)=2,E2125*F2125,"")</x:f>
        <x:v>592223.5</x:v>
      </x:c>
    </x:row>
    <x:row r="2126">
      <x:c r="A2126" s="66" t="n">
        <x:v>16</x:v>
      </x:c>
      <x:c r="B2126" s="44" t="str">
        <x:v>Canola/Rapeseed</x:v>
      </x:c>
      <x:c r="C2126" s="44" t="str">
        <x:v>P505MSL</x:v>
      </x:c>
      <x:c r="D2126" s="66" t="n">
        <x:v>2025</x:v>
      </x:c>
      <x:c r="E2126" s="67" t="n">
        <x:v>6406</x:v>
      </x:c>
      <x:c r="F2126" s="68" t="n">
        <x:v>49.2</x:v>
      </x:c>
      <x:c r="G2126" s="69" t="n">
        <x:f>IF(COUNT(E2126:F2126)=2,E2126*F2126,"")</x:f>
        <x:v>315175.2</x:v>
      </x:c>
    </x:row>
    <x:row r="2127">
      <x:c r="A2127" s="66" t="n">
        <x:v>16</x:v>
      </x:c>
      <x:c r="B2127" s="44" t="str">
        <x:v>Canola/Rapeseed</x:v>
      </x:c>
      <x:c r="C2127" s="44" t="str">
        <x:v>P515G</x:v>
      </x:c>
      <x:c r="D2127" s="66" t="n">
        <x:v>2021</x:v>
      </x:c>
      <x:c r="E2127" s="67"/>
      <x:c r="F2127" s="68"/>
      <x:c r="G2127" s="69" t="str">
        <x:f>IF(COUNT(E2127:F2127)=2,E2127*F2127,"")</x:f>
      </x:c>
    </x:row>
    <x:row r="2128">
      <x:c r="A2128" s="66" t="n">
        <x:v>16</x:v>
      </x:c>
      <x:c r="B2128" s="44" t="str">
        <x:v>Canola/Rapeseed</x:v>
      </x:c>
      <x:c r="C2128" s="44" t="str">
        <x:v>P515G</x:v>
      </x:c>
      <x:c r="D2128" s="66" t="n">
        <x:v>2022</x:v>
      </x:c>
      <x:c r="E2128" s="67"/>
      <x:c r="F2128" s="68"/>
      <x:c r="G2128" s="69" t="str">
        <x:f>IF(COUNT(E2128:F2128)=2,E2128*F2128,"")</x:f>
      </x:c>
    </x:row>
    <x:row r="2129">
      <x:c r="A2129" s="66" t="n">
        <x:v>16</x:v>
      </x:c>
      <x:c r="B2129" s="44" t="str">
        <x:v>Canola/Rapeseed</x:v>
      </x:c>
      <x:c r="C2129" s="44" t="str">
        <x:v>P515G</x:v>
      </x:c>
      <x:c r="D2129" s="66" t="n">
        <x:v>2023</x:v>
      </x:c>
      <x:c r="E2129" s="67" t="n">
        <x:v>2855</x:v>
      </x:c>
      <x:c r="F2129" s="68" t="n">
        <x:v>19.2</x:v>
      </x:c>
      <x:c r="G2129" s="69" t="n">
        <x:f>IF(COUNT(E2129:F2129)=2,E2129*F2129,"")</x:f>
        <x:v>54816</x:v>
      </x:c>
    </x:row>
    <x:row r="2130">
      <x:c r="A2130" s="66" t="n">
        <x:v>16</x:v>
      </x:c>
      <x:c r="B2130" s="44" t="str">
        <x:v>Canola/Rapeseed</x:v>
      </x:c>
      <x:c r="C2130" s="44" t="str">
        <x:v>P515G</x:v>
      </x:c>
      <x:c r="D2130" s="66" t="n">
        <x:v>2024</x:v>
      </x:c>
      <x:c r="E2130" s="67" t="n">
        <x:v>3140</x:v>
      </x:c>
      <x:c r="F2130" s="68" t="n">
        <x:v>22.2</x:v>
      </x:c>
      <x:c r="G2130" s="69" t="n">
        <x:f>IF(COUNT(E2130:F2130)=2,E2130*F2130,"")</x:f>
        <x:v>69708</x:v>
      </x:c>
    </x:row>
    <x:row r="2131">
      <x:c r="A2131" s="66" t="n">
        <x:v>16</x:v>
      </x:c>
      <x:c r="B2131" s="44" t="str">
        <x:v>Canola/Rapeseed</x:v>
      </x:c>
      <x:c r="C2131" s="44" t="str">
        <x:v>P515G</x:v>
      </x:c>
      <x:c r="D2131" s="66" t="n">
        <x:v>2025</x:v>
      </x:c>
      <x:c r="E2131" s="67" t="n">
        <x:v>592</x:v>
      </x:c>
      <x:c r="F2131" s="68" t="n">
        <x:v>41.3</x:v>
      </x:c>
      <x:c r="G2131" s="69" t="n">
        <x:f>IF(COUNT(E2131:F2131)=2,E2131*F2131,"")</x:f>
        <x:v>24449.6</x:v>
      </x:c>
    </x:row>
    <x:row r="2132">
      <x:c r="A2132" s="66" t="n">
        <x:v>16</x:v>
      </x:c>
      <x:c r="B2132" s="44" t="str">
        <x:v>Canola/Rapeseed</x:v>
      </x:c>
      <x:c r="C2132" s="44" t="str">
        <x:v>P519L</x:v>
      </x:c>
      <x:c r="D2132" s="66" t="n">
        <x:v>2021</x:v>
      </x:c>
      <x:c r="E2132" s="67"/>
      <x:c r="F2132" s="68"/>
      <x:c r="G2132" s="69" t="str">
        <x:f>IF(COUNT(E2132:F2132)=2,E2132*F2132,"")</x:f>
      </x:c>
    </x:row>
    <x:row r="2133">
      <x:c r="A2133" s="66" t="n">
        <x:v>16</x:v>
      </x:c>
      <x:c r="B2133" s="44" t="str">
        <x:v>Canola/Rapeseed</x:v>
      </x:c>
      <x:c r="C2133" s="44" t="str">
        <x:v>P519L</x:v>
      </x:c>
      <x:c r="D2133" s="66" t="n">
        <x:v>2022</x:v>
      </x:c>
      <x:c r="E2133" s="67"/>
      <x:c r="F2133" s="68"/>
      <x:c r="G2133" s="69" t="str">
        <x:f>IF(COUNT(E2133:F2133)=2,E2133*F2133,"")</x:f>
      </x:c>
    </x:row>
    <x:row r="2134">
      <x:c r="A2134" s="66" t="n">
        <x:v>16</x:v>
      </x:c>
      <x:c r="B2134" s="44" t="str">
        <x:v>Canola/Rapeseed</x:v>
      </x:c>
      <x:c r="C2134" s="44" t="str">
        <x:v>P519L</x:v>
      </x:c>
      <x:c r="D2134" s="66" t="n">
        <x:v>2023</x:v>
      </x:c>
      <x:c r="E2134" s="67"/>
      <x:c r="F2134" s="68"/>
      <x:c r="G2134" s="69" t="str">
        <x:f>IF(COUNT(E2134:F2134)=2,E2134*F2134,"")</x:f>
      </x:c>
    </x:row>
    <x:row r="2135">
      <x:c r="A2135" s="66" t="n">
        <x:v>16</x:v>
      </x:c>
      <x:c r="B2135" s="44" t="str">
        <x:v>Canola/Rapeseed</x:v>
      </x:c>
      <x:c r="C2135" s="44" t="str">
        <x:v>P519L</x:v>
      </x:c>
      <x:c r="D2135" s="66" t="n">
        <x:v>2024</x:v>
      </x:c>
      <x:c r="E2135" s="67"/>
      <x:c r="F2135" s="68"/>
      <x:c r="G2135" s="69" t="str">
        <x:f>IF(COUNT(E2135:F2135)=2,E2135*F2135,"")</x:f>
      </x:c>
    </x:row>
    <x:row r="2136">
      <x:c r="A2136" s="66" t="n">
        <x:v>16</x:v>
      </x:c>
      <x:c r="B2136" s="44" t="str">
        <x:v>Canola/Rapeseed</x:v>
      </x:c>
      <x:c r="C2136" s="44" t="str">
        <x:v>P519L</x:v>
      </x:c>
      <x:c r="D2136" s="66" t="n">
        <x:v>2025</x:v>
      </x:c>
      <x:c r="E2136" s="67" t="n">
        <x:v>3396</x:v>
      </x:c>
      <x:c r="F2136" s="68" t="n">
        <x:v>57.9</x:v>
      </x:c>
      <x:c r="G2136" s="69" t="n">
        <x:f>IF(COUNT(E2136:F2136)=2,E2136*F2136,"")</x:f>
        <x:v>196628.4</x:v>
      </x:c>
    </x:row>
    <x:row r="2137">
      <x:c r="A2137" s="66" t="n">
        <x:v>16</x:v>
      </x:c>
      <x:c r="B2137" s="44" t="str">
        <x:v>Canola/Rapeseed</x:v>
      </x:c>
      <x:c r="C2137" s="44" t="str">
        <x:v>P520L</x:v>
      </x:c>
      <x:c r="D2137" s="66" t="n">
        <x:v>2021</x:v>
      </x:c>
      <x:c r="E2137" s="67"/>
      <x:c r="F2137" s="68"/>
      <x:c r="G2137" s="69" t="str">
        <x:f>IF(COUNT(E2137:F2137)=2,E2137*F2137,"")</x:f>
      </x:c>
    </x:row>
    <x:row r="2138">
      <x:c r="A2138" s="66" t="n">
        <x:v>16</x:v>
      </x:c>
      <x:c r="B2138" s="44" t="str">
        <x:v>Canola/Rapeseed</x:v>
      </x:c>
      <x:c r="C2138" s="44" t="str">
        <x:v>P520L</x:v>
      </x:c>
      <x:c r="D2138" s="66" t="n">
        <x:v>2022</x:v>
      </x:c>
      <x:c r="E2138" s="67"/>
      <x:c r="F2138" s="68"/>
      <x:c r="G2138" s="69" t="str">
        <x:f>IF(COUNT(E2138:F2138)=2,E2138*F2138,"")</x:f>
      </x:c>
    </x:row>
    <x:row r="2139">
      <x:c r="A2139" s="66" t="n">
        <x:v>16</x:v>
      </x:c>
      <x:c r="B2139" s="44" t="str">
        <x:v>Canola/Rapeseed</x:v>
      </x:c>
      <x:c r="C2139" s="44" t="str">
        <x:v>P520L</x:v>
      </x:c>
      <x:c r="D2139" s="66" t="n">
        <x:v>2023</x:v>
      </x:c>
      <x:c r="E2139" s="67"/>
      <x:c r="F2139" s="68"/>
      <x:c r="G2139" s="69" t="str">
        <x:f>IF(COUNT(E2139:F2139)=2,E2139*F2139,"")</x:f>
      </x:c>
    </x:row>
    <x:row r="2140">
      <x:c r="A2140" s="66" t="n">
        <x:v>16</x:v>
      </x:c>
      <x:c r="B2140" s="44" t="str">
        <x:v>Canola/Rapeseed</x:v>
      </x:c>
      <x:c r="C2140" s="44" t="str">
        <x:v>P520L</x:v>
      </x:c>
      <x:c r="D2140" s="66" t="n">
        <x:v>2024</x:v>
      </x:c>
      <x:c r="E2140" s="67" t="n">
        <x:v>1824</x:v>
      </x:c>
      <x:c r="F2140" s="68" t="n">
        <x:v>31.6</x:v>
      </x:c>
      <x:c r="G2140" s="69" t="n">
        <x:f>IF(COUNT(E2140:F2140)=2,E2140*F2140,"")</x:f>
        <x:v>57638.4</x:v>
      </x:c>
    </x:row>
    <x:row r="2141">
      <x:c r="A2141" s="66" t="n">
        <x:v>16</x:v>
      </x:c>
      <x:c r="B2141" s="44" t="str">
        <x:v>Canola/Rapeseed</x:v>
      </x:c>
      <x:c r="C2141" s="44" t="str">
        <x:v>P520L</x:v>
      </x:c>
      <x:c r="D2141" s="66" t="n">
        <x:v>2025</x:v>
      </x:c>
      <x:c r="E2141" s="67" t="n">
        <x:v>39058</x:v>
      </x:c>
      <x:c r="F2141" s="68" t="n">
        <x:v>50</x:v>
      </x:c>
      <x:c r="G2141" s="69" t="n">
        <x:f>IF(COUNT(E2141:F2141)=2,E2141*F2141,"")</x:f>
        <x:v>1952900</x:v>
      </x:c>
    </x:row>
    <x:row r="2142">
      <x:c r="A2142" s="66" t="n">
        <x:v>16</x:v>
      </x:c>
      <x:c r="B2142" s="44" t="str">
        <x:v>Canola/Rapeseed</x:v>
      </x:c>
      <x:c r="C2142" s="44" t="str">
        <x:v>P612L</x:v>
      </x:c>
      <x:c r="D2142" s="66" t="n">
        <x:v>2021</x:v>
      </x:c>
      <x:c r="E2142" s="67"/>
      <x:c r="F2142" s="68"/>
      <x:c r="G2142" s="69" t="str">
        <x:f>IF(COUNT(E2142:F2142)=2,E2142*F2142,"")</x:f>
      </x:c>
    </x:row>
    <x:row r="2143">
      <x:c r="A2143" s="66" t="n">
        <x:v>16</x:v>
      </x:c>
      <x:c r="B2143" s="44" t="str">
        <x:v>Canola/Rapeseed</x:v>
      </x:c>
      <x:c r="C2143" s="44" t="str">
        <x:v>P612L</x:v>
      </x:c>
      <x:c r="D2143" s="66" t="n">
        <x:v>2022</x:v>
      </x:c>
      <x:c r="E2143" s="67" t="n">
        <x:v>444</x:v>
      </x:c>
      <x:c r="F2143" s="68" t="n">
        <x:v>21.4</x:v>
      </x:c>
      <x:c r="G2143" s="69" t="n">
        <x:f>IF(COUNT(E2143:F2143)=2,E2143*F2143,"")</x:f>
        <x:v>9501.599999999999</x:v>
      </x:c>
    </x:row>
    <x:row r="2144">
      <x:c r="A2144" s="66" t="n">
        <x:v>16</x:v>
      </x:c>
      <x:c r="B2144" s="44" t="str">
        <x:v>Canola/Rapeseed</x:v>
      </x:c>
      <x:c r="C2144" s="44" t="str">
        <x:v>P612L</x:v>
      </x:c>
      <x:c r="D2144" s="66" t="n">
        <x:v>2023</x:v>
      </x:c>
      <x:c r="E2144" s="67" t="n">
        <x:v>5006</x:v>
      </x:c>
      <x:c r="F2144" s="68" t="n">
        <x:v>26.9</x:v>
      </x:c>
      <x:c r="G2144" s="69" t="n">
        <x:f>IF(COUNT(E2144:F2144)=2,E2144*F2144,"")</x:f>
        <x:v>134661.4</x:v>
      </x:c>
    </x:row>
    <x:row r="2145">
      <x:c r="A2145" s="66" t="n">
        <x:v>16</x:v>
      </x:c>
      <x:c r="B2145" s="44" t="str">
        <x:v>Canola/Rapeseed</x:v>
      </x:c>
      <x:c r="C2145" s="44" t="str">
        <x:v>P612L</x:v>
      </x:c>
      <x:c r="D2145" s="66" t="n">
        <x:v>2024</x:v>
      </x:c>
      <x:c r="E2145" s="67" t="n">
        <x:v>7938</x:v>
      </x:c>
      <x:c r="F2145" s="68" t="n">
        <x:v>30.8</x:v>
      </x:c>
      <x:c r="G2145" s="69" t="n">
        <x:f>IF(COUNT(E2145:F2145)=2,E2145*F2145,"")</x:f>
        <x:v>244490.4</x:v>
      </x:c>
    </x:row>
    <x:row r="2146">
      <x:c r="A2146" s="66" t="n">
        <x:v>16</x:v>
      </x:c>
      <x:c r="B2146" s="44" t="str">
        <x:v>Canola/Rapeseed</x:v>
      </x:c>
      <x:c r="C2146" s="44" t="str">
        <x:v>P612L</x:v>
      </x:c>
      <x:c r="D2146" s="66" t="n">
        <x:v>2025</x:v>
      </x:c>
      <x:c r="E2146" s="67" t="n">
        <x:v>622</x:v>
      </x:c>
      <x:c r="F2146" s="68" t="n">
        <x:v>32.5</x:v>
      </x:c>
      <x:c r="G2146" s="69" t="n">
        <x:f>IF(COUNT(E2146:F2146)=2,E2146*F2146,"")</x:f>
        <x:v>20215</x:v>
      </x:c>
    </x:row>
    <x:row r="2147">
      <x:c r="A2147" s="66" t="n">
        <x:v>17</x:v>
      </x:c>
      <x:c r="B2147" s="44" t="str">
        <x:v>Canola/Rapeseed</x:v>
      </x:c>
      <x:c r="C2147" s="44" t="str">
        <x:v>BY 5125CL</x:v>
      </x:c>
      <x:c r="D2147" s="66" t="n">
        <x:v>2021</x:v>
      </x:c>
      <x:c r="E2147" s="67" t="n">
        <x:v>3274</x:v>
      </x:c>
      <x:c r="F2147" s="68" t="n">
        <x:v>25</x:v>
      </x:c>
      <x:c r="G2147" s="69" t="n">
        <x:f>IF(COUNT(E2147:F2147)=2,E2147*F2147,"")</x:f>
        <x:v>81850</x:v>
      </x:c>
    </x:row>
    <x:row r="2148">
      <x:c r="A2148" s="66" t="n">
        <x:v>17</x:v>
      </x:c>
      <x:c r="B2148" s="44" t="str">
        <x:v>Canola/Rapeseed</x:v>
      </x:c>
      <x:c r="C2148" s="44" t="str">
        <x:v>BY 5125CL</x:v>
      </x:c>
      <x:c r="D2148" s="66" t="n">
        <x:v>2022</x:v>
      </x:c>
      <x:c r="E2148" s="67" t="n">
        <x:v>5476</x:v>
      </x:c>
      <x:c r="F2148" s="68" t="n">
        <x:v>41.9</x:v>
      </x:c>
      <x:c r="G2148" s="69" t="n">
        <x:f>IF(COUNT(E2148:F2148)=2,E2148*F2148,"")</x:f>
        <x:v>229444.4</x:v>
      </x:c>
    </x:row>
    <x:row r="2149">
      <x:c r="A2149" s="66" t="n">
        <x:v>17</x:v>
      </x:c>
      <x:c r="B2149" s="44" t="str">
        <x:v>Canola/Rapeseed</x:v>
      </x:c>
      <x:c r="C2149" s="44" t="str">
        <x:v>BY 5125CL</x:v>
      </x:c>
      <x:c r="D2149" s="66" t="n">
        <x:v>2023</x:v>
      </x:c>
      <x:c r="E2149" s="67" t="n">
        <x:v>11748</x:v>
      </x:c>
      <x:c r="F2149" s="68" t="n">
        <x:v>41.3</x:v>
      </x:c>
      <x:c r="G2149" s="69" t="n">
        <x:f>IF(COUNT(E2149:F2149)=2,E2149*F2149,"")</x:f>
        <x:v>485192.39999999997</x:v>
      </x:c>
    </x:row>
    <x:row r="2150">
      <x:c r="A2150" s="66" t="n">
        <x:v>17</x:v>
      </x:c>
      <x:c r="B2150" s="44" t="str">
        <x:v>Canola/Rapeseed</x:v>
      </x:c>
      <x:c r="C2150" s="44" t="str">
        <x:v>BY 5125CL</x:v>
      </x:c>
      <x:c r="D2150" s="66" t="n">
        <x:v>2024</x:v>
      </x:c>
      <x:c r="E2150" s="67" t="n">
        <x:v>5390</x:v>
      </x:c>
      <x:c r="F2150" s="68" t="n">
        <x:v>33.5</x:v>
      </x:c>
      <x:c r="G2150" s="69" t="n">
        <x:f>IF(COUNT(E2150:F2150)=2,E2150*F2150,"")</x:f>
        <x:v>180565</x:v>
      </x:c>
    </x:row>
    <x:row r="2151">
      <x:c r="A2151" s="66" t="n">
        <x:v>17</x:v>
      </x:c>
      <x:c r="B2151" s="44" t="str">
        <x:v>Canola/Rapeseed</x:v>
      </x:c>
      <x:c r="C2151" s="44" t="str">
        <x:v>BY 5125CL</x:v>
      </x:c>
      <x:c r="D2151" s="66" t="n">
        <x:v>2025</x:v>
      </x:c>
      <x:c r="E2151" s="67" t="n">
        <x:v>5623</x:v>
      </x:c>
      <x:c r="F2151" s="68" t="n">
        <x:v>36.2</x:v>
      </x:c>
      <x:c r="G2151" s="69" t="n">
        <x:f>IF(COUNT(E2151:F2151)=2,E2151*F2151,"")</x:f>
        <x:v>203552.6</x:v>
      </x:c>
    </x:row>
    <x:row r="2152">
      <x:c r="A2152" s="66" t="n">
        <x:v>17</x:v>
      </x:c>
      <x:c r="B2152" s="44" t="str">
        <x:v>Canola/Rapeseed</x:v>
      </x:c>
      <x:c r="C2152" s="44" t="str">
        <x:v>BY 6211TF</x:v>
      </x:c>
      <x:c r="D2152" s="66" t="n">
        <x:v>2021</x:v>
      </x:c>
      <x:c r="E2152" s="67"/>
      <x:c r="F2152" s="68"/>
      <x:c r="G2152" s="69" t="str">
        <x:f>IF(COUNT(E2152:F2152)=2,E2152*F2152,"")</x:f>
      </x:c>
    </x:row>
    <x:row r="2153">
      <x:c r="A2153" s="66" t="n">
        <x:v>17</x:v>
      </x:c>
      <x:c r="B2153" s="44" t="str">
        <x:v>Canola/Rapeseed</x:v>
      </x:c>
      <x:c r="C2153" s="44" t="str">
        <x:v>BY 6211TF</x:v>
      </x:c>
      <x:c r="D2153" s="66" t="n">
        <x:v>2022</x:v>
      </x:c>
      <x:c r="E2153" s="67" t="n">
        <x:v>7546</x:v>
      </x:c>
      <x:c r="F2153" s="68" t="n">
        <x:v>51.9</x:v>
      </x:c>
      <x:c r="G2153" s="69" t="n">
        <x:f>IF(COUNT(E2153:F2153)=2,E2153*F2153,"")</x:f>
        <x:v>391637.39999999997</x:v>
      </x:c>
    </x:row>
    <x:row r="2154">
      <x:c r="A2154" s="66" t="n">
        <x:v>17</x:v>
      </x:c>
      <x:c r="B2154" s="44" t="str">
        <x:v>Canola/Rapeseed</x:v>
      </x:c>
      <x:c r="C2154" s="44" t="str">
        <x:v>BY 6211TF</x:v>
      </x:c>
      <x:c r="D2154" s="66" t="n">
        <x:v>2023</x:v>
      </x:c>
      <x:c r="E2154" s="67" t="n">
        <x:v>23149</x:v>
      </x:c>
      <x:c r="F2154" s="68" t="n">
        <x:v>50.5</x:v>
      </x:c>
      <x:c r="G2154" s="69" t="n">
        <x:f>IF(COUNT(E2154:F2154)=2,E2154*F2154,"")</x:f>
        <x:v>1169024.5</x:v>
      </x:c>
    </x:row>
    <x:row r="2155">
      <x:c r="A2155" s="66" t="n">
        <x:v>17</x:v>
      </x:c>
      <x:c r="B2155" s="44" t="str">
        <x:v>Canola/Rapeseed</x:v>
      </x:c>
      <x:c r="C2155" s="44" t="str">
        <x:v>BY 6211TF</x:v>
      </x:c>
      <x:c r="D2155" s="66" t="n">
        <x:v>2024</x:v>
      </x:c>
      <x:c r="E2155" s="67" t="n">
        <x:v>15334</x:v>
      </x:c>
      <x:c r="F2155" s="68" t="n">
        <x:v>41.9</x:v>
      </x:c>
      <x:c r="G2155" s="69" t="n">
        <x:f>IF(COUNT(E2155:F2155)=2,E2155*F2155,"")</x:f>
        <x:v>642494.6</x:v>
      </x:c>
    </x:row>
    <x:row r="2156">
      <x:c r="A2156" s="66" t="n">
        <x:v>17</x:v>
      </x:c>
      <x:c r="B2156" s="44" t="str">
        <x:v>Canola/Rapeseed</x:v>
      </x:c>
      <x:c r="C2156" s="44" t="str">
        <x:v>BY 6211TF</x:v>
      </x:c>
      <x:c r="D2156" s="66" t="n">
        <x:v>2025</x:v>
      </x:c>
      <x:c r="E2156" s="67" t="n">
        <x:v>12911</x:v>
      </x:c>
      <x:c r="F2156" s="68" t="n">
        <x:v>47.7</x:v>
      </x:c>
      <x:c r="G2156" s="69" t="n">
        <x:f>IF(COUNT(E2156:F2156)=2,E2156*F2156,"")</x:f>
        <x:v>615854.7000000001</x:v>
      </x:c>
    </x:row>
    <x:row r="2157">
      <x:c r="A2157" s="66" t="n">
        <x:v>17</x:v>
      </x:c>
      <x:c r="B2157" s="44" t="str">
        <x:v>Canola/Rapeseed</x:v>
      </x:c>
      <x:c r="C2157" s="44" t="str">
        <x:v>BY 6214TF</x:v>
      </x:c>
      <x:c r="D2157" s="66" t="n">
        <x:v>2021</x:v>
      </x:c>
      <x:c r="E2157" s="67"/>
      <x:c r="F2157" s="68"/>
      <x:c r="G2157" s="69" t="str">
        <x:f>IF(COUNT(E2157:F2157)=2,E2157*F2157,"")</x:f>
      </x:c>
    </x:row>
    <x:row r="2158">
      <x:c r="A2158" s="66" t="n">
        <x:v>17</x:v>
      </x:c>
      <x:c r="B2158" s="44" t="str">
        <x:v>Canola/Rapeseed</x:v>
      </x:c>
      <x:c r="C2158" s="44" t="str">
        <x:v>BY 6214TF</x:v>
      </x:c>
      <x:c r="D2158" s="66" t="n">
        <x:v>2022</x:v>
      </x:c>
      <x:c r="E2158" s="67"/>
      <x:c r="F2158" s="68"/>
      <x:c r="G2158" s="69" t="str">
        <x:f>IF(COUNT(E2158:F2158)=2,E2158*F2158,"")</x:f>
      </x:c>
    </x:row>
    <x:row r="2159">
      <x:c r="A2159" s="66" t="n">
        <x:v>17</x:v>
      </x:c>
      <x:c r="B2159" s="44" t="str">
        <x:v>Canola/Rapeseed</x:v>
      </x:c>
      <x:c r="C2159" s="44" t="str">
        <x:v>BY 6214TF</x:v>
      </x:c>
      <x:c r="D2159" s="66" t="n">
        <x:v>2023</x:v>
      </x:c>
      <x:c r="E2159" s="67" t="n">
        <x:v>854</x:v>
      </x:c>
      <x:c r="F2159" s="68" t="n">
        <x:v>44.7</x:v>
      </x:c>
      <x:c r="G2159" s="69" t="n">
        <x:f>IF(COUNT(E2159:F2159)=2,E2159*F2159,"")</x:f>
        <x:v>38173.8</x:v>
      </x:c>
    </x:row>
    <x:row r="2160">
      <x:c r="A2160" s="66" t="n">
        <x:v>17</x:v>
      </x:c>
      <x:c r="B2160" s="44" t="str">
        <x:v>Canola/Rapeseed</x:v>
      </x:c>
      <x:c r="C2160" s="44" t="str">
        <x:v>BY 6214TF</x:v>
      </x:c>
      <x:c r="D2160" s="66" t="n">
        <x:v>2024</x:v>
      </x:c>
      <x:c r="E2160" s="67" t="n">
        <x:v>3274</x:v>
      </x:c>
      <x:c r="F2160" s="68" t="n">
        <x:v>38.7</x:v>
      </x:c>
      <x:c r="G2160" s="69" t="n">
        <x:f>IF(COUNT(E2160:F2160)=2,E2160*F2160,"")</x:f>
        <x:v>126703.8</x:v>
      </x:c>
    </x:row>
    <x:row r="2161">
      <x:c r="A2161" s="66" t="n">
        <x:v>17</x:v>
      </x:c>
      <x:c r="B2161" s="44" t="str">
        <x:v>Canola/Rapeseed</x:v>
      </x:c>
      <x:c r="C2161" s="44" t="str">
        <x:v>BY 6214TF</x:v>
      </x:c>
      <x:c r="D2161" s="66" t="n">
        <x:v>2025</x:v>
      </x:c>
      <x:c r="E2161" s="67" t="n">
        <x:v>2006</x:v>
      </x:c>
      <x:c r="F2161" s="68" t="n">
        <x:v>46.4</x:v>
      </x:c>
      <x:c r="G2161" s="69" t="n">
        <x:f>IF(COUNT(E2161:F2161)=2,E2161*F2161,"")</x:f>
        <x:v>93078.4</x:v>
      </x:c>
    </x:row>
    <x:row r="2162">
      <x:c r="A2162" s="66" t="n">
        <x:v>17</x:v>
      </x:c>
      <x:c r="B2162" s="44" t="str">
        <x:v>Canola/Rapeseed</x:v>
      </x:c>
      <x:c r="C2162" s="44" t="str">
        <x:v>BY 6217TF</x:v>
      </x:c>
      <x:c r="D2162" s="66" t="n">
        <x:v>2021</x:v>
      </x:c>
      <x:c r="E2162" s="67"/>
      <x:c r="F2162" s="68"/>
      <x:c r="G2162" s="69" t="str">
        <x:f>IF(COUNT(E2162:F2162)=2,E2162*F2162,"")</x:f>
      </x:c>
    </x:row>
    <x:row r="2163">
      <x:c r="A2163" s="66" t="n">
        <x:v>17</x:v>
      </x:c>
      <x:c r="B2163" s="44" t="str">
        <x:v>Canola/Rapeseed</x:v>
      </x:c>
      <x:c r="C2163" s="44" t="str">
        <x:v>BY 6217TF</x:v>
      </x:c>
      <x:c r="D2163" s="66" t="n">
        <x:v>2022</x:v>
      </x:c>
      <x:c r="E2163" s="67"/>
      <x:c r="F2163" s="68"/>
      <x:c r="G2163" s="69" t="str">
        <x:f>IF(COUNT(E2163:F2163)=2,E2163*F2163,"")</x:f>
      </x:c>
    </x:row>
    <x:row r="2164">
      <x:c r="A2164" s="66" t="n">
        <x:v>17</x:v>
      </x:c>
      <x:c r="B2164" s="44" t="str">
        <x:v>Canola/Rapeseed</x:v>
      </x:c>
      <x:c r="C2164" s="44" t="str">
        <x:v>BY 6217TF</x:v>
      </x:c>
      <x:c r="D2164" s="66" t="n">
        <x:v>2023</x:v>
      </x:c>
      <x:c r="E2164" s="67" t="n">
        <x:v>3903</x:v>
      </x:c>
      <x:c r="F2164" s="68" t="n">
        <x:v>48.1</x:v>
      </x:c>
      <x:c r="G2164" s="69" t="n">
        <x:f>IF(COUNT(E2164:F2164)=2,E2164*F2164,"")</x:f>
        <x:v>187734.30000000002</x:v>
      </x:c>
    </x:row>
    <x:row r="2165">
      <x:c r="A2165" s="66" t="n">
        <x:v>17</x:v>
      </x:c>
      <x:c r="B2165" s="44" t="str">
        <x:v>Canola/Rapeseed</x:v>
      </x:c>
      <x:c r="C2165" s="44" t="str">
        <x:v>BY 6217TF</x:v>
      </x:c>
      <x:c r="D2165" s="66" t="n">
        <x:v>2024</x:v>
      </x:c>
      <x:c r="E2165" s="67" t="n">
        <x:v>4217</x:v>
      </x:c>
      <x:c r="F2165" s="68" t="n">
        <x:v>36.4</x:v>
      </x:c>
      <x:c r="G2165" s="69" t="n">
        <x:f>IF(COUNT(E2165:F2165)=2,E2165*F2165,"")</x:f>
        <x:v>153498.8</x:v>
      </x:c>
    </x:row>
    <x:row r="2166">
      <x:c r="A2166" s="66" t="n">
        <x:v>17</x:v>
      </x:c>
      <x:c r="B2166" s="44" t="str">
        <x:v>Canola/Rapeseed</x:v>
      </x:c>
      <x:c r="C2166" s="44" t="str">
        <x:v>BY 6217TF</x:v>
      </x:c>
      <x:c r="D2166" s="66" t="n">
        <x:v>2025</x:v>
      </x:c>
      <x:c r="E2166" s="67" t="n">
        <x:v>8815</x:v>
      </x:c>
      <x:c r="F2166" s="68" t="n">
        <x:v>44.9</x:v>
      </x:c>
      <x:c r="G2166" s="69" t="n">
        <x:f>IF(COUNT(E2166:F2166)=2,E2166*F2166,"")</x:f>
        <x:v>395793.5</x:v>
      </x:c>
    </x:row>
    <x:row r="2167">
      <x:c r="A2167" s="66" t="n">
        <x:v>17</x:v>
      </x:c>
      <x:c r="B2167" s="44" t="str">
        <x:v>Canola/Rapeseed</x:v>
      </x:c>
      <x:c r="C2167" s="44" t="str">
        <x:v>BY 7204LL</x:v>
      </x:c>
      <x:c r="D2167" s="66" t="n">
        <x:v>2021</x:v>
      </x:c>
      <x:c r="E2167" s="67"/>
      <x:c r="F2167" s="68"/>
      <x:c r="G2167" s="69" t="str">
        <x:f>IF(COUNT(E2167:F2167)=2,E2167*F2167,"")</x:f>
      </x:c>
    </x:row>
    <x:row r="2168">
      <x:c r="A2168" s="66" t="n">
        <x:v>17</x:v>
      </x:c>
      <x:c r="B2168" s="44" t="str">
        <x:v>Canola/Rapeseed</x:v>
      </x:c>
      <x:c r="C2168" s="44" t="str">
        <x:v>BY 7204LL</x:v>
      </x:c>
      <x:c r="D2168" s="66" t="n">
        <x:v>2022</x:v>
      </x:c>
      <x:c r="E2168" s="67"/>
      <x:c r="F2168" s="68"/>
      <x:c r="G2168" s="69" t="str">
        <x:f>IF(COUNT(E2168:F2168)=2,E2168*F2168,"")</x:f>
      </x:c>
    </x:row>
    <x:row r="2169">
      <x:c r="A2169" s="66" t="n">
        <x:v>17</x:v>
      </x:c>
      <x:c r="B2169" s="44" t="str">
        <x:v>Canola/Rapeseed</x:v>
      </x:c>
      <x:c r="C2169" s="44" t="str">
        <x:v>BY 7204LL</x:v>
      </x:c>
      <x:c r="D2169" s="66" t="n">
        <x:v>2023</x:v>
      </x:c>
      <x:c r="E2169" s="67"/>
      <x:c r="F2169" s="68"/>
      <x:c r="G2169" s="69" t="str">
        <x:f>IF(COUNT(E2169:F2169)=2,E2169*F2169,"")</x:f>
      </x:c>
    </x:row>
    <x:row r="2170">
      <x:c r="A2170" s="66" t="n">
        <x:v>17</x:v>
      </x:c>
      <x:c r="B2170" s="44" t="str">
        <x:v>Canola/Rapeseed</x:v>
      </x:c>
      <x:c r="C2170" s="44" t="str">
        <x:v>BY 7204LL</x:v>
      </x:c>
      <x:c r="D2170" s="66" t="n">
        <x:v>2024</x:v>
      </x:c>
      <x:c r="E2170" s="67" t="n">
        <x:v>3143</x:v>
      </x:c>
      <x:c r="F2170" s="68" t="n">
        <x:v>37.6</x:v>
      </x:c>
      <x:c r="G2170" s="69" t="n">
        <x:f>IF(COUNT(E2170:F2170)=2,E2170*F2170,"")</x:f>
        <x:v>118176.8</x:v>
      </x:c>
    </x:row>
    <x:row r="2171">
      <x:c r="A2171" s="66" t="n">
        <x:v>17</x:v>
      </x:c>
      <x:c r="B2171" s="44" t="str">
        <x:v>Canola/Rapeseed</x:v>
      </x:c>
      <x:c r="C2171" s="44" t="str">
        <x:v>BY 7204LL</x:v>
      </x:c>
      <x:c r="D2171" s="66" t="n">
        <x:v>2025</x:v>
      </x:c>
      <x:c r="E2171" s="67" t="n">
        <x:v>14241</x:v>
      </x:c>
      <x:c r="F2171" s="68" t="n">
        <x:v>46.8</x:v>
      </x:c>
      <x:c r="G2171" s="69" t="n">
        <x:f>IF(COUNT(E2171:F2171)=2,E2171*F2171,"")</x:f>
        <x:v>666478.7999999999</x:v>
      </x:c>
    </x:row>
    <x:row r="2172">
      <x:c r="A2172" s="66" t="n">
        <x:v>17</x:v>
      </x:c>
      <x:c r="B2172" s="44" t="str">
        <x:v>Canola/Rapeseed</x:v>
      </x:c>
      <x:c r="C2172" s="44" t="str">
        <x:v>B3010M</x:v>
      </x:c>
      <x:c r="D2172" s="66" t="n">
        <x:v>2021</x:v>
      </x:c>
      <x:c r="E2172" s="67" t="n">
        <x:v>9362</x:v>
      </x:c>
      <x:c r="F2172" s="68" t="n">
        <x:v>28.1</x:v>
      </x:c>
      <x:c r="G2172" s="69" t="n">
        <x:f>IF(COUNT(E2172:F2172)=2,E2172*F2172,"")</x:f>
        <x:v>263072.2</x:v>
      </x:c>
    </x:row>
    <x:row r="2173">
      <x:c r="A2173" s="66" t="n">
        <x:v>17</x:v>
      </x:c>
      <x:c r="B2173" s="44" t="str">
        <x:v>Canola/Rapeseed</x:v>
      </x:c>
      <x:c r="C2173" s="44" t="str">
        <x:v>B3010M</x:v>
      </x:c>
      <x:c r="D2173" s="66" t="n">
        <x:v>2022</x:v>
      </x:c>
      <x:c r="E2173" s="67" t="n">
        <x:v>6256</x:v>
      </x:c>
      <x:c r="F2173" s="68" t="n">
        <x:v>46.6</x:v>
      </x:c>
      <x:c r="G2173" s="69" t="n">
        <x:f>IF(COUNT(E2173:F2173)=2,E2173*F2173,"")</x:f>
        <x:v>291529.60000000003</x:v>
      </x:c>
    </x:row>
    <x:row r="2174">
      <x:c r="A2174" s="66" t="n">
        <x:v>17</x:v>
      </x:c>
      <x:c r="B2174" s="44" t="str">
        <x:v>Canola/Rapeseed</x:v>
      </x:c>
      <x:c r="C2174" s="44" t="str">
        <x:v>B3010M</x:v>
      </x:c>
      <x:c r="D2174" s="66" t="n">
        <x:v>2023</x:v>
      </x:c>
      <x:c r="E2174" s="67" t="n">
        <x:v>2583</x:v>
      </x:c>
      <x:c r="F2174" s="68" t="n">
        <x:v>54.7</x:v>
      </x:c>
      <x:c r="G2174" s="69" t="n">
        <x:f>IF(COUNT(E2174:F2174)=2,E2174*F2174,"")</x:f>
        <x:v>141290.1</x:v>
      </x:c>
    </x:row>
    <x:row r="2175">
      <x:c r="A2175" s="66" t="n">
        <x:v>17</x:v>
      </x:c>
      <x:c r="B2175" s="44" t="str">
        <x:v>Canola/Rapeseed</x:v>
      </x:c>
      <x:c r="C2175" s="44" t="str">
        <x:v>B3010M</x:v>
      </x:c>
      <x:c r="D2175" s="66" t="n">
        <x:v>2024</x:v>
      </x:c>
      <x:c r="E2175" s="67" t="n">
        <x:v>3080</x:v>
      </x:c>
      <x:c r="F2175" s="68" t="n">
        <x:v>43.5</x:v>
      </x:c>
      <x:c r="G2175" s="69" t="n">
        <x:f>IF(COUNT(E2175:F2175)=2,E2175*F2175,"")</x:f>
        <x:v>133980</x:v>
      </x:c>
    </x:row>
    <x:row r="2176">
      <x:c r="A2176" s="66" t="n">
        <x:v>17</x:v>
      </x:c>
      <x:c r="B2176" s="44" t="str">
        <x:v>Canola/Rapeseed</x:v>
      </x:c>
      <x:c r="C2176" s="44" t="str">
        <x:v>B3010M</x:v>
      </x:c>
      <x:c r="D2176" s="66" t="n">
        <x:v>2025</x:v>
      </x:c>
      <x:c r="E2176" s="67" t="n">
        <x:v>1344</x:v>
      </x:c>
      <x:c r="F2176" s="68" t="n">
        <x:v>38.3</x:v>
      </x:c>
      <x:c r="G2176" s="69" t="n">
        <x:f>IF(COUNT(E2176:F2176)=2,E2176*F2176,"")</x:f>
        <x:v>51475.2</x:v>
      </x:c>
    </x:row>
    <x:row r="2177">
      <x:c r="A2177" s="66" t="n">
        <x:v>17</x:v>
      </x:c>
      <x:c r="B2177" s="44" t="str">
        <x:v>Canola/Rapeseed</x:v>
      </x:c>
      <x:c r="C2177" s="44" t="str">
        <x:v>B3012</x:v>
      </x:c>
      <x:c r="D2177" s="66" t="n">
        <x:v>2021</x:v>
      </x:c>
      <x:c r="E2177" s="67"/>
      <x:c r="F2177" s="68"/>
      <x:c r="G2177" s="69" t="str">
        <x:f>IF(COUNT(E2177:F2177)=2,E2177*F2177,"")</x:f>
      </x:c>
    </x:row>
    <x:row r="2178">
      <x:c r="A2178" s="66" t="n">
        <x:v>17</x:v>
      </x:c>
      <x:c r="B2178" s="44" t="str">
        <x:v>Canola/Rapeseed</x:v>
      </x:c>
      <x:c r="C2178" s="44" t="str">
        <x:v>B3012</x:v>
      </x:c>
      <x:c r="D2178" s="66" t="n">
        <x:v>2022</x:v>
      </x:c>
      <x:c r="E2178" s="67"/>
      <x:c r="F2178" s="68"/>
      <x:c r="G2178" s="69" t="str">
        <x:f>IF(COUNT(E2178:F2178)=2,E2178*F2178,"")</x:f>
      </x:c>
    </x:row>
    <x:row r="2179">
      <x:c r="A2179" s="66" t="n">
        <x:v>17</x:v>
      </x:c>
      <x:c r="B2179" s="44" t="str">
        <x:v>Canola/Rapeseed</x:v>
      </x:c>
      <x:c r="C2179" s="44" t="str">
        <x:v>B3012</x:v>
      </x:c>
      <x:c r="D2179" s="66" t="n">
        <x:v>2023</x:v>
      </x:c>
      <x:c r="E2179" s="67" t="n">
        <x:v>8276</x:v>
      </x:c>
      <x:c r="F2179" s="68" t="n">
        <x:v>49.2</x:v>
      </x:c>
      <x:c r="G2179" s="69" t="n">
        <x:f>IF(COUNT(E2179:F2179)=2,E2179*F2179,"")</x:f>
        <x:v>407179.2</x:v>
      </x:c>
    </x:row>
    <x:row r="2180">
      <x:c r="A2180" s="66" t="n">
        <x:v>17</x:v>
      </x:c>
      <x:c r="B2180" s="44" t="str">
        <x:v>Canola/Rapeseed</x:v>
      </x:c>
      <x:c r="C2180" s="44" t="str">
        <x:v>B3012</x:v>
      </x:c>
      <x:c r="D2180" s="66" t="n">
        <x:v>2024</x:v>
      </x:c>
      <x:c r="E2180" s="67" t="n">
        <x:v>9664</x:v>
      </x:c>
      <x:c r="F2180" s="68" t="n">
        <x:v>40</x:v>
      </x:c>
      <x:c r="G2180" s="69" t="n">
        <x:f>IF(COUNT(E2180:F2180)=2,E2180*F2180,"")</x:f>
        <x:v>386560</x:v>
      </x:c>
    </x:row>
    <x:row r="2181">
      <x:c r="A2181" s="66" t="n">
        <x:v>17</x:v>
      </x:c>
      <x:c r="B2181" s="44" t="str">
        <x:v>Canola/Rapeseed</x:v>
      </x:c>
      <x:c r="C2181" s="44" t="str">
        <x:v>B3012</x:v>
      </x:c>
      <x:c r="D2181" s="66" t="n">
        <x:v>2025</x:v>
      </x:c>
      <x:c r="E2181" s="67" t="n">
        <x:v>3165</x:v>
      </x:c>
      <x:c r="F2181" s="68" t="n">
        <x:v>41.6</x:v>
      </x:c>
      <x:c r="G2181" s="69" t="n">
        <x:f>IF(COUNT(E2181:F2181)=2,E2181*F2181,"")</x:f>
        <x:v>131664</x:v>
      </x:c>
    </x:row>
    <x:row r="2182">
      <x:c r="A2182" s="66" t="n">
        <x:v>17</x:v>
      </x:c>
      <x:c r="B2182" s="44" t="str">
        <x:v>Canola/Rapeseed</x:v>
      </x:c>
      <x:c r="C2182" s="44" t="str">
        <x:v>B3019</x:v>
      </x:c>
      <x:c r="D2182" s="66" t="n">
        <x:v>2021</x:v>
      </x:c>
      <x:c r="E2182" s="67"/>
      <x:c r="F2182" s="68"/>
      <x:c r="G2182" s="69" t="str">
        <x:f>IF(COUNT(E2182:F2182)=2,E2182*F2182,"")</x:f>
      </x:c>
    </x:row>
    <x:row r="2183">
      <x:c r="A2183" s="66" t="n">
        <x:v>17</x:v>
      </x:c>
      <x:c r="B2183" s="44" t="str">
        <x:v>Canola/Rapeseed</x:v>
      </x:c>
      <x:c r="C2183" s="44" t="str">
        <x:v>B3019</x:v>
      </x:c>
      <x:c r="D2183" s="66" t="n">
        <x:v>2022</x:v>
      </x:c>
      <x:c r="E2183" s="67"/>
      <x:c r="F2183" s="68"/>
      <x:c r="G2183" s="69" t="str">
        <x:f>IF(COUNT(E2183:F2183)=2,E2183*F2183,"")</x:f>
      </x:c>
    </x:row>
    <x:row r="2184">
      <x:c r="A2184" s="66" t="n">
        <x:v>17</x:v>
      </x:c>
      <x:c r="B2184" s="44" t="str">
        <x:v>Canola/Rapeseed</x:v>
      </x:c>
      <x:c r="C2184" s="44" t="str">
        <x:v>B3019</x:v>
      </x:c>
      <x:c r="D2184" s="66" t="n">
        <x:v>2023</x:v>
      </x:c>
      <x:c r="E2184" s="67"/>
      <x:c r="F2184" s="68"/>
      <x:c r="G2184" s="69" t="str">
        <x:f>IF(COUNT(E2184:F2184)=2,E2184*F2184,"")</x:f>
      </x:c>
    </x:row>
    <x:row r="2185">
      <x:c r="A2185" s="66" t="n">
        <x:v>17</x:v>
      </x:c>
      <x:c r="B2185" s="44" t="str">
        <x:v>Canola/Rapeseed</x:v>
      </x:c>
      <x:c r="C2185" s="44" t="str">
        <x:v>B3019</x:v>
      </x:c>
      <x:c r="D2185" s="66" t="n">
        <x:v>2024</x:v>
      </x:c>
      <x:c r="E2185" s="67" t="n">
        <x:v>575</x:v>
      </x:c>
      <x:c r="F2185" s="68" t="n">
        <x:v>44.5</x:v>
      </x:c>
      <x:c r="G2185" s="69" t="n">
        <x:f>IF(COUNT(E2185:F2185)=2,E2185*F2185,"")</x:f>
        <x:v>25587.5</x:v>
      </x:c>
    </x:row>
    <x:row r="2186">
      <x:c r="A2186" s="66" t="n">
        <x:v>17</x:v>
      </x:c>
      <x:c r="B2186" s="44" t="str">
        <x:v>Canola/Rapeseed</x:v>
      </x:c>
      <x:c r="C2186" s="44" t="str">
        <x:v>B3019</x:v>
      </x:c>
      <x:c r="D2186" s="66" t="n">
        <x:v>2025</x:v>
      </x:c>
      <x:c r="E2186" s="67" t="n">
        <x:v>8681</x:v>
      </x:c>
      <x:c r="F2186" s="68" t="n">
        <x:v>44.9</x:v>
      </x:c>
      <x:c r="G2186" s="69" t="n">
        <x:f>IF(COUNT(E2186:F2186)=2,E2186*F2186,"")</x:f>
        <x:v>389776.89999999997</x:v>
      </x:c>
    </x:row>
    <x:row r="2187">
      <x:c r="A2187" s="66" t="n">
        <x:v>17</x:v>
      </x:c>
      <x:c r="B2187" s="44" t="str">
        <x:v>Canola/Rapeseed</x:v>
      </x:c>
      <x:c r="C2187" s="44" t="str">
        <x:v>B3020</x:v>
      </x:c>
      <x:c r="D2187" s="66" t="n">
        <x:v>2021</x:v>
      </x:c>
      <x:c r="E2187" s="67"/>
      <x:c r="F2187" s="68"/>
      <x:c r="G2187" s="69" t="str">
        <x:f>IF(COUNT(E2187:F2187)=2,E2187*F2187,"")</x:f>
      </x:c>
    </x:row>
    <x:row r="2188">
      <x:c r="A2188" s="66" t="n">
        <x:v>17</x:v>
      </x:c>
      <x:c r="B2188" s="44" t="str">
        <x:v>Canola/Rapeseed</x:v>
      </x:c>
      <x:c r="C2188" s="44" t="str">
        <x:v>B3020</x:v>
      </x:c>
      <x:c r="D2188" s="66" t="n">
        <x:v>2022</x:v>
      </x:c>
      <x:c r="E2188" s="67"/>
      <x:c r="F2188" s="68"/>
      <x:c r="G2188" s="69" t="str">
        <x:f>IF(COUNT(E2188:F2188)=2,E2188*F2188,"")</x:f>
      </x:c>
    </x:row>
    <x:row r="2189">
      <x:c r="A2189" s="66" t="n">
        <x:v>17</x:v>
      </x:c>
      <x:c r="B2189" s="44" t="str">
        <x:v>Canola/Rapeseed</x:v>
      </x:c>
      <x:c r="C2189" s="44" t="str">
        <x:v>B3020</x:v>
      </x:c>
      <x:c r="D2189" s="66" t="n">
        <x:v>2023</x:v>
      </x:c>
      <x:c r="E2189" s="67"/>
      <x:c r="F2189" s="68"/>
      <x:c r="G2189" s="69" t="str">
        <x:f>IF(COUNT(E2189:F2189)=2,E2189*F2189,"")</x:f>
      </x:c>
    </x:row>
    <x:row r="2190">
      <x:c r="A2190" s="66" t="n">
        <x:v>17</x:v>
      </x:c>
      <x:c r="B2190" s="44" t="str">
        <x:v>Canola/Rapeseed</x:v>
      </x:c>
      <x:c r="C2190" s="44" t="str">
        <x:v>B3020</x:v>
      </x:c>
      <x:c r="D2190" s="66" t="n">
        <x:v>2024</x:v>
      </x:c>
      <x:c r="E2190" s="67" t="n">
        <x:v>632</x:v>
      </x:c>
      <x:c r="F2190" s="68" t="n">
        <x:v>38.8</x:v>
      </x:c>
      <x:c r="G2190" s="69" t="n">
        <x:f>IF(COUNT(E2190:F2190)=2,E2190*F2190,"")</x:f>
        <x:v>24521.6</x:v>
      </x:c>
    </x:row>
    <x:row r="2191">
      <x:c r="A2191" s="66" t="n">
        <x:v>17</x:v>
      </x:c>
      <x:c r="B2191" s="44" t="str">
        <x:v>Canola/Rapeseed</x:v>
      </x:c>
      <x:c r="C2191" s="44" t="str">
        <x:v>B3020</x:v>
      </x:c>
      <x:c r="D2191" s="66" t="n">
        <x:v>2025</x:v>
      </x:c>
      <x:c r="E2191" s="67" t="n">
        <x:v>3095</x:v>
      </x:c>
      <x:c r="F2191" s="68" t="n">
        <x:v>42.8</x:v>
      </x:c>
      <x:c r="G2191" s="69" t="n">
        <x:f>IF(COUNT(E2191:F2191)=2,E2191*F2191,"")</x:f>
        <x:v>132466</x:v>
      </x:c>
    </x:row>
    <x:row r="2192">
      <x:c r="A2192" s="66" t="n">
        <x:v>17</x:v>
      </x:c>
      <x:c r="B2192" s="44" t="str">
        <x:v>Canola/Rapeseed</x:v>
      </x:c>
      <x:c r="C2192" s="44" t="str">
        <x:v>B4015</x:v>
      </x:c>
      <x:c r="D2192" s="66" t="n">
        <x:v>2021</x:v>
      </x:c>
      <x:c r="E2192" s="67"/>
      <x:c r="F2192" s="68"/>
      <x:c r="G2192" s="69" t="str">
        <x:f>IF(COUNT(E2192:F2192)=2,E2192*F2192,"")</x:f>
      </x:c>
    </x:row>
    <x:row r="2193">
      <x:c r="A2193" s="66" t="n">
        <x:v>17</x:v>
      </x:c>
      <x:c r="B2193" s="44" t="str">
        <x:v>Canola/Rapeseed</x:v>
      </x:c>
      <x:c r="C2193" s="44" t="str">
        <x:v>B4015</x:v>
      </x:c>
      <x:c r="D2193" s="66" t="n">
        <x:v>2022</x:v>
      </x:c>
      <x:c r="E2193" s="67"/>
      <x:c r="F2193" s="68"/>
      <x:c r="G2193" s="69" t="str">
        <x:f>IF(COUNT(E2193:F2193)=2,E2193*F2193,"")</x:f>
      </x:c>
    </x:row>
    <x:row r="2194">
      <x:c r="A2194" s="66" t="n">
        <x:v>17</x:v>
      </x:c>
      <x:c r="B2194" s="44" t="str">
        <x:v>Canola/Rapeseed</x:v>
      </x:c>
      <x:c r="C2194" s="44" t="str">
        <x:v>B4015</x:v>
      </x:c>
      <x:c r="D2194" s="66" t="n">
        <x:v>2023</x:v>
      </x:c>
      <x:c r="E2194" s="67"/>
      <x:c r="F2194" s="68"/>
      <x:c r="G2194" s="69" t="str">
        <x:f>IF(COUNT(E2194:F2194)=2,E2194*F2194,"")</x:f>
      </x:c>
    </x:row>
    <x:row r="2195">
      <x:c r="A2195" s="66" t="n">
        <x:v>17</x:v>
      </x:c>
      <x:c r="B2195" s="44" t="str">
        <x:v>Canola/Rapeseed</x:v>
      </x:c>
      <x:c r="C2195" s="44" t="str">
        <x:v>B4015</x:v>
      </x:c>
      <x:c r="D2195" s="66" t="n">
        <x:v>2024</x:v>
      </x:c>
      <x:c r="E2195" s="67" t="n">
        <x:v>8152</x:v>
      </x:c>
      <x:c r="F2195" s="68" t="n">
        <x:v>34.8</x:v>
      </x:c>
      <x:c r="G2195" s="69" t="n">
        <x:f>IF(COUNT(E2195:F2195)=2,E2195*F2195,"")</x:f>
        <x:v>283689.6</x:v>
      </x:c>
    </x:row>
    <x:row r="2196">
      <x:c r="A2196" s="66" t="n">
        <x:v>17</x:v>
      </x:c>
      <x:c r="B2196" s="44" t="str">
        <x:v>Canola/Rapeseed</x:v>
      </x:c>
      <x:c r="C2196" s="44" t="str">
        <x:v>B4015</x:v>
      </x:c>
      <x:c r="D2196" s="66" t="n">
        <x:v>2025</x:v>
      </x:c>
      <x:c r="E2196" s="67" t="n">
        <x:v>12141</x:v>
      </x:c>
      <x:c r="F2196" s="68" t="n">
        <x:v>39.3</x:v>
      </x:c>
      <x:c r="G2196" s="69" t="n">
        <x:f>IF(COUNT(E2196:F2196)=2,E2196*F2196,"")</x:f>
        <x:v>477141.3</x:v>
      </x:c>
    </x:row>
    <x:row r="2197">
      <x:c r="A2197" s="66" t="n">
        <x:v>17</x:v>
      </x:c>
      <x:c r="B2197" s="44" t="str">
        <x:v>Canola/Rapeseed</x:v>
      </x:c>
      <x:c r="C2197" s="44" t="str">
        <x:v>CP21L3C</x:v>
      </x:c>
      <x:c r="D2197" s="66" t="n">
        <x:v>2021</x:v>
      </x:c>
      <x:c r="E2197" s="67"/>
      <x:c r="F2197" s="68"/>
      <x:c r="G2197" s="69" t="str">
        <x:f>IF(COUNT(E2197:F2197)=2,E2197*F2197,"")</x:f>
      </x:c>
    </x:row>
    <x:row r="2198">
      <x:c r="A2198" s="66" t="n">
        <x:v>17</x:v>
      </x:c>
      <x:c r="B2198" s="44" t="str">
        <x:v>Canola/Rapeseed</x:v>
      </x:c>
      <x:c r="C2198" s="44" t="str">
        <x:v>CP21L3C</x:v>
      </x:c>
      <x:c r="D2198" s="66" t="n">
        <x:v>2022</x:v>
      </x:c>
      <x:c r="E2198" s="67"/>
      <x:c r="F2198" s="68"/>
      <x:c r="G2198" s="69" t="str">
        <x:f>IF(COUNT(E2198:F2198)=2,E2198*F2198,"")</x:f>
      </x:c>
    </x:row>
    <x:row r="2199">
      <x:c r="A2199" s="66" t="n">
        <x:v>17</x:v>
      </x:c>
      <x:c r="B2199" s="44" t="str">
        <x:v>Canola/Rapeseed</x:v>
      </x:c>
      <x:c r="C2199" s="44" t="str">
        <x:v>CP21L3C</x:v>
      </x:c>
      <x:c r="D2199" s="66" t="n">
        <x:v>2023</x:v>
      </x:c>
      <x:c r="E2199" s="67"/>
      <x:c r="F2199" s="68"/>
      <x:c r="G2199" s="69" t="str">
        <x:f>IF(COUNT(E2199:F2199)=2,E2199*F2199,"")</x:f>
      </x:c>
    </x:row>
    <x:row r="2200">
      <x:c r="A2200" s="66" t="n">
        <x:v>17</x:v>
      </x:c>
      <x:c r="B2200" s="44" t="str">
        <x:v>Canola/Rapeseed</x:v>
      </x:c>
      <x:c r="C2200" s="44" t="str">
        <x:v>CP21L3C</x:v>
      </x:c>
      <x:c r="D2200" s="66" t="n">
        <x:v>2024</x:v>
      </x:c>
      <x:c r="E2200" s="67" t="n">
        <x:v>2660</x:v>
      </x:c>
      <x:c r="F2200" s="68" t="n">
        <x:v>45.9</x:v>
      </x:c>
      <x:c r="G2200" s="69" t="n">
        <x:f>IF(COUNT(E2200:F2200)=2,E2200*F2200,"")</x:f>
        <x:v>122094</x:v>
      </x:c>
    </x:row>
    <x:row r="2201">
      <x:c r="A2201" s="66" t="n">
        <x:v>17</x:v>
      </x:c>
      <x:c r="B2201" s="44" t="str">
        <x:v>Canola/Rapeseed</x:v>
      </x:c>
      <x:c r="C2201" s="44" t="str">
        <x:v>CP21L3C</x:v>
      </x:c>
      <x:c r="D2201" s="66" t="n">
        <x:v>2025</x:v>
      </x:c>
      <x:c r="E2201" s="67" t="n">
        <x:v>3446</x:v>
      </x:c>
      <x:c r="F2201" s="68" t="n">
        <x:v>44.5</x:v>
      </x:c>
      <x:c r="G2201" s="69" t="n">
        <x:f>IF(COUNT(E2201:F2201)=2,E2201*F2201,"")</x:f>
        <x:v>153347</x:v>
      </x:c>
    </x:row>
    <x:row r="2202">
      <x:c r="A2202" s="66" t="n">
        <x:v>17</x:v>
      </x:c>
      <x:c r="B2202" s="44" t="str">
        <x:v>Canola/Rapeseed</x:v>
      </x:c>
      <x:c r="C2202" s="44" t="str">
        <x:v>CS2800 CL</x:v>
      </x:c>
      <x:c r="D2202" s="66" t="n">
        <x:v>2021</x:v>
      </x:c>
      <x:c r="E2202" s="67"/>
      <x:c r="F2202" s="68"/>
      <x:c r="G2202" s="69" t="str">
        <x:f>IF(COUNT(E2202:F2202)=2,E2202*F2202,"")</x:f>
      </x:c>
    </x:row>
    <x:row r="2203">
      <x:c r="A2203" s="66" t="n">
        <x:v>17</x:v>
      </x:c>
      <x:c r="B2203" s="44" t="str">
        <x:v>Canola/Rapeseed</x:v>
      </x:c>
      <x:c r="C2203" s="44" t="str">
        <x:v>CS2800 CL</x:v>
      </x:c>
      <x:c r="D2203" s="66" t="n">
        <x:v>2022</x:v>
      </x:c>
      <x:c r="E2203" s="67"/>
      <x:c r="F2203" s="68"/>
      <x:c r="G2203" s="69" t="str">
        <x:f>IF(COUNT(E2203:F2203)=2,E2203*F2203,"")</x:f>
      </x:c>
    </x:row>
    <x:row r="2204">
      <x:c r="A2204" s="66" t="n">
        <x:v>17</x:v>
      </x:c>
      <x:c r="B2204" s="44" t="str">
        <x:v>Canola/Rapeseed</x:v>
      </x:c>
      <x:c r="C2204" s="44" t="str">
        <x:v>CS2800 CL</x:v>
      </x:c>
      <x:c r="D2204" s="66" t="n">
        <x:v>2023</x:v>
      </x:c>
      <x:c r="E2204" s="67"/>
      <x:c r="F2204" s="68"/>
      <x:c r="G2204" s="69" t="str">
        <x:f>IF(COUNT(E2204:F2204)=2,E2204*F2204,"")</x:f>
      </x:c>
    </x:row>
    <x:row r="2205">
      <x:c r="A2205" s="66" t="n">
        <x:v>17</x:v>
      </x:c>
      <x:c r="B2205" s="44" t="str">
        <x:v>Canola/Rapeseed</x:v>
      </x:c>
      <x:c r="C2205" s="44" t="str">
        <x:v>CS2800 CL</x:v>
      </x:c>
      <x:c r="D2205" s="66" t="n">
        <x:v>2024</x:v>
      </x:c>
      <x:c r="E2205" s="67"/>
      <x:c r="F2205" s="68"/>
      <x:c r="G2205" s="69" t="str">
        <x:f>IF(COUNT(E2205:F2205)=2,E2205*F2205,"")</x:f>
      </x:c>
    </x:row>
    <x:row r="2206">
      <x:c r="A2206" s="66" t="n">
        <x:v>17</x:v>
      </x:c>
      <x:c r="B2206" s="44" t="str">
        <x:v>Canola/Rapeseed</x:v>
      </x:c>
      <x:c r="C2206" s="44" t="str">
        <x:v>CS2800 CL</x:v>
      </x:c>
      <x:c r="D2206" s="66" t="n">
        <x:v>2025</x:v>
      </x:c>
      <x:c r="E2206" s="67" t="n">
        <x:v>1138</x:v>
      </x:c>
      <x:c r="F2206" s="68" t="n">
        <x:v>49.2</x:v>
      </x:c>
      <x:c r="G2206" s="69" t="n">
        <x:f>IF(COUNT(E2206:F2206)=2,E2206*F2206,"")</x:f>
        <x:v>55989.600000000006</x:v>
      </x:c>
    </x:row>
    <x:row r="2207">
      <x:c r="A2207" s="66" t="n">
        <x:v>17</x:v>
      </x:c>
      <x:c r="B2207" s="44" t="str">
        <x:v>Canola/Rapeseed</x:v>
      </x:c>
      <x:c r="C2207" s="44" t="str">
        <x:v>CS3100 TF</x:v>
      </x:c>
      <x:c r="D2207" s="66" t="n">
        <x:v>2021</x:v>
      </x:c>
      <x:c r="E2207" s="67"/>
      <x:c r="F2207" s="68"/>
      <x:c r="G2207" s="69" t="str">
        <x:f>IF(COUNT(E2207:F2207)=2,E2207*F2207,"")</x:f>
      </x:c>
    </x:row>
    <x:row r="2208">
      <x:c r="A2208" s="66" t="n">
        <x:v>17</x:v>
      </x:c>
      <x:c r="B2208" s="44" t="str">
        <x:v>Canola/Rapeseed</x:v>
      </x:c>
      <x:c r="C2208" s="44" t="str">
        <x:v>CS3100 TF</x:v>
      </x:c>
      <x:c r="D2208" s="66" t="n">
        <x:v>2022</x:v>
      </x:c>
      <x:c r="E2208" s="67"/>
      <x:c r="F2208" s="68"/>
      <x:c r="G2208" s="69" t="str">
        <x:f>IF(COUNT(E2208:F2208)=2,E2208*F2208,"")</x:f>
      </x:c>
    </x:row>
    <x:row r="2209">
      <x:c r="A2209" s="66" t="n">
        <x:v>17</x:v>
      </x:c>
      <x:c r="B2209" s="44" t="str">
        <x:v>Canola/Rapeseed</x:v>
      </x:c>
      <x:c r="C2209" s="44" t="str">
        <x:v>CS3100 TF</x:v>
      </x:c>
      <x:c r="D2209" s="66" t="n">
        <x:v>2023</x:v>
      </x:c>
      <x:c r="E2209" s="67" t="n">
        <x:v>1731</x:v>
      </x:c>
      <x:c r="F2209" s="68" t="n">
        <x:v>45.8</x:v>
      </x:c>
      <x:c r="G2209" s="69" t="n">
        <x:f>IF(COUNT(E2209:F2209)=2,E2209*F2209,"")</x:f>
        <x:v>79279.79999999999</x:v>
      </x:c>
    </x:row>
    <x:row r="2210">
      <x:c r="A2210" s="66" t="n">
        <x:v>17</x:v>
      </x:c>
      <x:c r="B2210" s="44" t="str">
        <x:v>Canola/Rapeseed</x:v>
      </x:c>
      <x:c r="C2210" s="44" t="str">
        <x:v>CS3100 TF</x:v>
      </x:c>
      <x:c r="D2210" s="66" t="n">
        <x:v>2024</x:v>
      </x:c>
      <x:c r="E2210" s="67" t="n">
        <x:v>3482</x:v>
      </x:c>
      <x:c r="F2210" s="68" t="n">
        <x:v>42.7</x:v>
      </x:c>
      <x:c r="G2210" s="69" t="n">
        <x:f>IF(COUNT(E2210:F2210)=2,E2210*F2210,"")</x:f>
        <x:v>148681.40000000002</x:v>
      </x:c>
    </x:row>
    <x:row r="2211">
      <x:c r="A2211" s="66" t="n">
        <x:v>17</x:v>
      </x:c>
      <x:c r="B2211" s="44" t="str">
        <x:v>Canola/Rapeseed</x:v>
      </x:c>
      <x:c r="C2211" s="44" t="str">
        <x:v>CS3100 TF</x:v>
      </x:c>
      <x:c r="D2211" s="66" t="n">
        <x:v>2025</x:v>
      </x:c>
      <x:c r="E2211" s="67" t="n">
        <x:v>1889</x:v>
      </x:c>
      <x:c r="F2211" s="68" t="n">
        <x:v>42.4</x:v>
      </x:c>
      <x:c r="G2211" s="69" t="n">
        <x:f>IF(COUNT(E2211:F2211)=2,E2211*F2211,"")</x:f>
        <x:v>80093.59999999999</x:v>
      </x:c>
    </x:row>
    <x:row r="2212">
      <x:c r="A2212" s="66" t="n">
        <x:v>17</x:v>
      </x:c>
      <x:c r="B2212" s="44" t="str">
        <x:v>Canola/Rapeseed</x:v>
      </x:c>
      <x:c r="C2212" s="44" t="str">
        <x:v>CS3200 TF</x:v>
      </x:c>
      <x:c r="D2212" s="66" t="n">
        <x:v>2021</x:v>
      </x:c>
      <x:c r="E2212" s="67"/>
      <x:c r="F2212" s="68"/>
      <x:c r="G2212" s="69" t="str">
        <x:f>IF(COUNT(E2212:F2212)=2,E2212*F2212,"")</x:f>
      </x:c>
    </x:row>
    <x:row r="2213">
      <x:c r="A2213" s="66" t="n">
        <x:v>17</x:v>
      </x:c>
      <x:c r="B2213" s="44" t="str">
        <x:v>Canola/Rapeseed</x:v>
      </x:c>
      <x:c r="C2213" s="44" t="str">
        <x:v>CS3200 TF</x:v>
      </x:c>
      <x:c r="D2213" s="66" t="n">
        <x:v>2022</x:v>
      </x:c>
      <x:c r="E2213" s="67"/>
      <x:c r="F2213" s="68"/>
      <x:c r="G2213" s="69" t="str">
        <x:f>IF(COUNT(E2213:F2213)=2,E2213*F2213,"")</x:f>
      </x:c>
    </x:row>
    <x:row r="2214">
      <x:c r="A2214" s="66" t="n">
        <x:v>17</x:v>
      </x:c>
      <x:c r="B2214" s="44" t="str">
        <x:v>Canola/Rapeseed</x:v>
      </x:c>
      <x:c r="C2214" s="44" t="str">
        <x:v>CS3200 TF</x:v>
      </x:c>
      <x:c r="D2214" s="66" t="n">
        <x:v>2023</x:v>
      </x:c>
      <x:c r="E2214" s="67"/>
      <x:c r="F2214" s="68"/>
      <x:c r="G2214" s="69" t="str">
        <x:f>IF(COUNT(E2214:F2214)=2,E2214*F2214,"")</x:f>
      </x:c>
    </x:row>
    <x:row r="2215">
      <x:c r="A2215" s="66" t="n">
        <x:v>17</x:v>
      </x:c>
      <x:c r="B2215" s="44" t="str">
        <x:v>Canola/Rapeseed</x:v>
      </x:c>
      <x:c r="C2215" s="44" t="str">
        <x:v>CS3200 TF</x:v>
      </x:c>
      <x:c r="D2215" s="66" t="n">
        <x:v>2024</x:v>
      </x:c>
      <x:c r="E2215" s="67" t="n">
        <x:v>1079</x:v>
      </x:c>
      <x:c r="F2215" s="68" t="n">
        <x:v>46.4</x:v>
      </x:c>
      <x:c r="G2215" s="69" t="n">
        <x:f>IF(COUNT(E2215:F2215)=2,E2215*F2215,"")</x:f>
        <x:v>50065.6</x:v>
      </x:c>
    </x:row>
    <x:row r="2216">
      <x:c r="A2216" s="66" t="n">
        <x:v>17</x:v>
      </x:c>
      <x:c r="B2216" s="44" t="str">
        <x:v>Canola/Rapeseed</x:v>
      </x:c>
      <x:c r="C2216" s="44" t="str">
        <x:v>CS3200 TF</x:v>
      </x:c>
      <x:c r="D2216" s="66" t="n">
        <x:v>2025</x:v>
      </x:c>
      <x:c r="E2216" s="67" t="n">
        <x:v>11749</x:v>
      </x:c>
      <x:c r="F2216" s="68" t="n">
        <x:v>52.2</x:v>
      </x:c>
      <x:c r="G2216" s="69" t="n">
        <x:f>IF(COUNT(E2216:F2216)=2,E2216*F2216,"")</x:f>
        <x:v>613297.8</x:v>
      </x:c>
    </x:row>
    <x:row r="2217">
      <x:c r="A2217" s="66" t="n">
        <x:v>17</x:v>
      </x:c>
      <x:c r="B2217" s="44" t="str">
        <x:v>Canola/Rapeseed</x:v>
      </x:c>
      <x:c r="C2217" s="44" t="str">
        <x:v>CS3300 TF</x:v>
      </x:c>
      <x:c r="D2217" s="66" t="n">
        <x:v>2021</x:v>
      </x:c>
      <x:c r="E2217" s="67"/>
      <x:c r="F2217" s="68"/>
      <x:c r="G2217" s="69" t="str">
        <x:f>IF(COUNT(E2217:F2217)=2,E2217*F2217,"")</x:f>
      </x:c>
    </x:row>
    <x:row r="2218">
      <x:c r="A2218" s="66" t="n">
        <x:v>17</x:v>
      </x:c>
      <x:c r="B2218" s="44" t="str">
        <x:v>Canola/Rapeseed</x:v>
      </x:c>
      <x:c r="C2218" s="44" t="str">
        <x:v>CS3300 TF</x:v>
      </x:c>
      <x:c r="D2218" s="66" t="n">
        <x:v>2022</x:v>
      </x:c>
      <x:c r="E2218" s="67"/>
      <x:c r="F2218" s="68"/>
      <x:c r="G2218" s="69" t="str">
        <x:f>IF(COUNT(E2218:F2218)=2,E2218*F2218,"")</x:f>
      </x:c>
    </x:row>
    <x:row r="2219">
      <x:c r="A2219" s="66" t="n">
        <x:v>17</x:v>
      </x:c>
      <x:c r="B2219" s="44" t="str">
        <x:v>Canola/Rapeseed</x:v>
      </x:c>
      <x:c r="C2219" s="44" t="str">
        <x:v>CS3300 TF</x:v>
      </x:c>
      <x:c r="D2219" s="66" t="n">
        <x:v>2023</x:v>
      </x:c>
      <x:c r="E2219" s="67"/>
      <x:c r="F2219" s="68"/>
      <x:c r="G2219" s="69" t="str">
        <x:f>IF(COUNT(E2219:F2219)=2,E2219*F2219,"")</x:f>
      </x:c>
    </x:row>
    <x:row r="2220">
      <x:c r="A2220" s="66" t="n">
        <x:v>17</x:v>
      </x:c>
      <x:c r="B2220" s="44" t="str">
        <x:v>Canola/Rapeseed</x:v>
      </x:c>
      <x:c r="C2220" s="44" t="str">
        <x:v>CS3300 TF</x:v>
      </x:c>
      <x:c r="D2220" s="66" t="n">
        <x:v>2024</x:v>
      </x:c>
      <x:c r="E2220" s="67"/>
      <x:c r="F2220" s="68"/>
      <x:c r="G2220" s="69" t="str">
        <x:f>IF(COUNT(E2220:F2220)=2,E2220*F2220,"")</x:f>
      </x:c>
    </x:row>
    <x:row r="2221">
      <x:c r="A2221" s="66" t="n">
        <x:v>17</x:v>
      </x:c>
      <x:c r="B2221" s="44" t="str">
        <x:v>Canola/Rapeseed</x:v>
      </x:c>
      <x:c r="C2221" s="44" t="str">
        <x:v>CS3300 TF</x:v>
      </x:c>
      <x:c r="D2221" s="66" t="n">
        <x:v>2025</x:v>
      </x:c>
      <x:c r="E2221" s="67" t="n">
        <x:v>7531</x:v>
      </x:c>
      <x:c r="F2221" s="68" t="n">
        <x:v>49.2</x:v>
      </x:c>
      <x:c r="G2221" s="69" t="n">
        <x:f>IF(COUNT(E2221:F2221)=2,E2221*F2221,"")</x:f>
        <x:v>370525.2</x:v>
      </x:c>
    </x:row>
    <x:row r="2222">
      <x:c r="A2222" s="66" t="n">
        <x:v>17</x:v>
      </x:c>
      <x:c r="B2222" s="44" t="str">
        <x:v>Canola/Rapeseed</x:v>
      </x:c>
      <x:c r="C2222" s="44" t="str">
        <x:v>CS4000 LL</x:v>
      </x:c>
      <x:c r="D2222" s="66" t="n">
        <x:v>2021</x:v>
      </x:c>
      <x:c r="E2222" s="67"/>
      <x:c r="F2222" s="68"/>
      <x:c r="G2222" s="69" t="str">
        <x:f>IF(COUNT(E2222:F2222)=2,E2222*F2222,"")</x:f>
      </x:c>
    </x:row>
    <x:row r="2223">
      <x:c r="A2223" s="66" t="n">
        <x:v>17</x:v>
      </x:c>
      <x:c r="B2223" s="44" t="str">
        <x:v>Canola/Rapeseed</x:v>
      </x:c>
      <x:c r="C2223" s="44" t="str">
        <x:v>CS4000 LL</x:v>
      </x:c>
      <x:c r="D2223" s="66" t="n">
        <x:v>2022</x:v>
      </x:c>
      <x:c r="E2223" s="67" t="n">
        <x:v>5855</x:v>
      </x:c>
      <x:c r="F2223" s="68" t="n">
        <x:v>46.7</x:v>
      </x:c>
      <x:c r="G2223" s="69" t="n">
        <x:f>IF(COUNT(E2223:F2223)=2,E2223*F2223,"")</x:f>
        <x:v>273428.5</x:v>
      </x:c>
    </x:row>
    <x:row r="2224">
      <x:c r="A2224" s="66" t="n">
        <x:v>17</x:v>
      </x:c>
      <x:c r="B2224" s="44" t="str">
        <x:v>Canola/Rapeseed</x:v>
      </x:c>
      <x:c r="C2224" s="44" t="str">
        <x:v>CS4000 LL</x:v>
      </x:c>
      <x:c r="D2224" s="66" t="n">
        <x:v>2023</x:v>
      </x:c>
      <x:c r="E2224" s="67" t="n">
        <x:v>7881</x:v>
      </x:c>
      <x:c r="F2224" s="68" t="n">
        <x:v>49.4</x:v>
      </x:c>
      <x:c r="G2224" s="69" t="n">
        <x:f>IF(COUNT(E2224:F2224)=2,E2224*F2224,"")</x:f>
        <x:v>389321.39999999997</x:v>
      </x:c>
    </x:row>
    <x:row r="2225">
      <x:c r="A2225" s="66" t="n">
        <x:v>17</x:v>
      </x:c>
      <x:c r="B2225" s="44" t="str">
        <x:v>Canola/Rapeseed</x:v>
      </x:c>
      <x:c r="C2225" s="44" t="str">
        <x:v>CS4000 LL</x:v>
      </x:c>
      <x:c r="D2225" s="66" t="n">
        <x:v>2024</x:v>
      </x:c>
      <x:c r="E2225" s="67" t="n">
        <x:v>15205</x:v>
      </x:c>
      <x:c r="F2225" s="68" t="n">
        <x:v>43.5</x:v>
      </x:c>
      <x:c r="G2225" s="69" t="n">
        <x:f>IF(COUNT(E2225:F2225)=2,E2225*F2225,"")</x:f>
        <x:v>661417.5</x:v>
      </x:c>
    </x:row>
    <x:row r="2226">
      <x:c r="A2226" s="66" t="n">
        <x:v>17</x:v>
      </x:c>
      <x:c r="B2226" s="44" t="str">
        <x:v>Canola/Rapeseed</x:v>
      </x:c>
      <x:c r="C2226" s="44" t="str">
        <x:v>CS4000 LL</x:v>
      </x:c>
      <x:c r="D2226" s="66" t="n">
        <x:v>2025</x:v>
      </x:c>
      <x:c r="E2226" s="67" t="n">
        <x:v>10846</x:v>
      </x:c>
      <x:c r="F2226" s="68" t="n">
        <x:v>52.7</x:v>
      </x:c>
      <x:c r="G2226" s="69" t="n">
        <x:f>IF(COUNT(E2226:F2226)=2,E2226*F2226,"")</x:f>
        <x:v>571584.2000000001</x:v>
      </x:c>
    </x:row>
    <x:row r="2227">
      <x:c r="A2227" s="66" t="n">
        <x:v>17</x:v>
      </x:c>
      <x:c r="B2227" s="44" t="str">
        <x:v>Canola/Rapeseed</x:v>
      </x:c>
      <x:c r="C2227" s="44" t="str">
        <x:v>CS4100 LL</x:v>
      </x:c>
      <x:c r="D2227" s="66" t="n">
        <x:v>2021</x:v>
      </x:c>
      <x:c r="E2227" s="67"/>
      <x:c r="F2227" s="68"/>
      <x:c r="G2227" s="69" t="str">
        <x:f>IF(COUNT(E2227:F2227)=2,E2227*F2227,"")</x:f>
      </x:c>
    </x:row>
    <x:row r="2228">
      <x:c r="A2228" s="66" t="n">
        <x:v>17</x:v>
      </x:c>
      <x:c r="B2228" s="44" t="str">
        <x:v>Canola/Rapeseed</x:v>
      </x:c>
      <x:c r="C2228" s="44" t="str">
        <x:v>CS4100 LL</x:v>
      </x:c>
      <x:c r="D2228" s="66" t="n">
        <x:v>2022</x:v>
      </x:c>
      <x:c r="E2228" s="67"/>
      <x:c r="F2228" s="68"/>
      <x:c r="G2228" s="69" t="str">
        <x:f>IF(COUNT(E2228:F2228)=2,E2228*F2228,"")</x:f>
      </x:c>
    </x:row>
    <x:row r="2229">
      <x:c r="A2229" s="66" t="n">
        <x:v>17</x:v>
      </x:c>
      <x:c r="B2229" s="44" t="str">
        <x:v>Canola/Rapeseed</x:v>
      </x:c>
      <x:c r="C2229" s="44" t="str">
        <x:v>CS4100 LL</x:v>
      </x:c>
      <x:c r="D2229" s="66" t="n">
        <x:v>2023</x:v>
      </x:c>
      <x:c r="E2229" s="67"/>
      <x:c r="F2229" s="68"/>
      <x:c r="G2229" s="69" t="str">
        <x:f>IF(COUNT(E2229:F2229)=2,E2229*F2229,"")</x:f>
      </x:c>
    </x:row>
    <x:row r="2230">
      <x:c r="A2230" s="66" t="n">
        <x:v>17</x:v>
      </x:c>
      <x:c r="B2230" s="44" t="str">
        <x:v>Canola/Rapeseed</x:v>
      </x:c>
      <x:c r="C2230" s="44" t="str">
        <x:v>CS4100 LL</x:v>
      </x:c>
      <x:c r="D2230" s="66" t="n">
        <x:v>2024</x:v>
      </x:c>
      <x:c r="E2230" s="67"/>
      <x:c r="F2230" s="68"/>
      <x:c r="G2230" s="69" t="str">
        <x:f>IF(COUNT(E2230:F2230)=2,E2230*F2230,"")</x:f>
      </x:c>
    </x:row>
    <x:row r="2231">
      <x:c r="A2231" s="66" t="n">
        <x:v>17</x:v>
      </x:c>
      <x:c r="B2231" s="44" t="str">
        <x:v>Canola/Rapeseed</x:v>
      </x:c>
      <x:c r="C2231" s="44" t="str">
        <x:v>CS4100 LL</x:v>
      </x:c>
      <x:c r="D2231" s="66" t="n">
        <x:v>2025</x:v>
      </x:c>
      <x:c r="E2231" s="67" t="n">
        <x:v>6358</x:v>
      </x:c>
      <x:c r="F2231" s="68" t="n">
        <x:v>45.4</x:v>
      </x:c>
      <x:c r="G2231" s="69" t="n">
        <x:f>IF(COUNT(E2231:F2231)=2,E2231*F2231,"")</x:f>
        <x:v>288653.2</x:v>
      </x:c>
    </x:row>
    <x:row r="2232">
      <x:c r="A2232" s="66" t="n">
        <x:v>17</x:v>
      </x:c>
      <x:c r="B2232" s="44" t="str">
        <x:v>Canola/Rapeseed</x:v>
      </x:c>
      <x:c r="C2232" s="44" t="str">
        <x:v>DK 801 LL</x:v>
      </x:c>
      <x:c r="D2232" s="66" t="n">
        <x:v>2021</x:v>
      </x:c>
      <x:c r="E2232" s="67"/>
      <x:c r="F2232" s="68"/>
      <x:c r="G2232" s="69" t="str">
        <x:f>IF(COUNT(E2232:F2232)=2,E2232*F2232,"")</x:f>
      </x:c>
    </x:row>
    <x:row r="2233">
      <x:c r="A2233" s="66" t="n">
        <x:v>17</x:v>
      </x:c>
      <x:c r="B2233" s="44" t="str">
        <x:v>Canola/Rapeseed</x:v>
      </x:c>
      <x:c r="C2233" s="44" t="str">
        <x:v>DK 801 LL</x:v>
      </x:c>
      <x:c r="D2233" s="66" t="n">
        <x:v>2022</x:v>
      </x:c>
      <x:c r="E2233" s="67"/>
      <x:c r="F2233" s="68"/>
      <x:c r="G2233" s="69" t="str">
        <x:f>IF(COUNT(E2233:F2233)=2,E2233*F2233,"")</x:f>
      </x:c>
    </x:row>
    <x:row r="2234">
      <x:c r="A2234" s="66" t="n">
        <x:v>17</x:v>
      </x:c>
      <x:c r="B2234" s="44" t="str">
        <x:v>Canola/Rapeseed</x:v>
      </x:c>
      <x:c r="C2234" s="44" t="str">
        <x:v>DK 801 LL</x:v>
      </x:c>
      <x:c r="D2234" s="66" t="n">
        <x:v>2023</x:v>
      </x:c>
      <x:c r="E2234" s="67"/>
      <x:c r="F2234" s="68"/>
      <x:c r="G2234" s="69" t="str">
        <x:f>IF(COUNT(E2234:F2234)=2,E2234*F2234,"")</x:f>
      </x:c>
    </x:row>
    <x:row r="2235">
      <x:c r="A2235" s="66" t="n">
        <x:v>17</x:v>
      </x:c>
      <x:c r="B2235" s="44" t="str">
        <x:v>Canola/Rapeseed</x:v>
      </x:c>
      <x:c r="C2235" s="44" t="str">
        <x:v>DK 801 LL</x:v>
      </x:c>
      <x:c r="D2235" s="66" t="n">
        <x:v>2024</x:v>
      </x:c>
      <x:c r="E2235" s="67"/>
      <x:c r="F2235" s="68"/>
      <x:c r="G2235" s="69" t="str">
        <x:f>IF(COUNT(E2235:F2235)=2,E2235*F2235,"")</x:f>
      </x:c>
    </x:row>
    <x:row r="2236">
      <x:c r="A2236" s="66" t="n">
        <x:v>17</x:v>
      </x:c>
      <x:c r="B2236" s="44" t="str">
        <x:v>Canola/Rapeseed</x:v>
      </x:c>
      <x:c r="C2236" s="44" t="str">
        <x:v>DK 801 LL</x:v>
      </x:c>
      <x:c r="D2236" s="66" t="n">
        <x:v>2025</x:v>
      </x:c>
      <x:c r="E2236" s="67" t="n">
        <x:v>6834</x:v>
      </x:c>
      <x:c r="F2236" s="68" t="n">
        <x:v>49.4</x:v>
      </x:c>
      <x:c r="G2236" s="69" t="n">
        <x:f>IF(COUNT(E2236:F2236)=2,E2236*F2236,"")</x:f>
        <x:v>337599.6</x:v>
      </x:c>
    </x:row>
    <x:row r="2237">
      <x:c r="A2237" s="66" t="n">
        <x:v>17</x:v>
      </x:c>
      <x:c r="B2237" s="44" t="str">
        <x:v>Canola/Rapeseed</x:v>
      </x:c>
      <x:c r="C2237" s="44" t="str">
        <x:v>DK401TK</x:v>
      </x:c>
      <x:c r="D2237" s="66" t="n">
        <x:v>2021</x:v>
      </x:c>
      <x:c r="E2237" s="67"/>
      <x:c r="F2237" s="68"/>
      <x:c r="G2237" s="69" t="str">
        <x:f>IF(COUNT(E2237:F2237)=2,E2237*F2237,"")</x:f>
      </x:c>
    </x:row>
    <x:row r="2238">
      <x:c r="A2238" s="66" t="n">
        <x:v>17</x:v>
      </x:c>
      <x:c r="B2238" s="44" t="str">
        <x:v>Canola/Rapeseed</x:v>
      </x:c>
      <x:c r="C2238" s="44" t="str">
        <x:v>DK401TK</x:v>
      </x:c>
      <x:c r="D2238" s="66" t="n">
        <x:v>2022</x:v>
      </x:c>
      <x:c r="E2238" s="67"/>
      <x:c r="F2238" s="68"/>
      <x:c r="G2238" s="69" t="str">
        <x:f>IF(COUNT(E2238:F2238)=2,E2238*F2238,"")</x:f>
      </x:c>
    </x:row>
    <x:row r="2239">
      <x:c r="A2239" s="66" t="n">
        <x:v>17</x:v>
      </x:c>
      <x:c r="B2239" s="44" t="str">
        <x:v>Canola/Rapeseed</x:v>
      </x:c>
      <x:c r="C2239" s="44" t="str">
        <x:v>DK401TK</x:v>
      </x:c>
      <x:c r="D2239" s="66" t="n">
        <x:v>2023</x:v>
      </x:c>
      <x:c r="E2239" s="67"/>
      <x:c r="F2239" s="68"/>
      <x:c r="G2239" s="69" t="str">
        <x:f>IF(COUNT(E2239:F2239)=2,E2239*F2239,"")</x:f>
      </x:c>
    </x:row>
    <x:row r="2240">
      <x:c r="A2240" s="66" t="n">
        <x:v>17</x:v>
      </x:c>
      <x:c r="B2240" s="44" t="str">
        <x:v>Canola/Rapeseed</x:v>
      </x:c>
      <x:c r="C2240" s="44" t="str">
        <x:v>DK401TK</x:v>
      </x:c>
      <x:c r="D2240" s="66" t="n">
        <x:v>2024</x:v>
      </x:c>
      <x:c r="E2240" s="67"/>
      <x:c r="F2240" s="68"/>
      <x:c r="G2240" s="69" t="str">
        <x:f>IF(COUNT(E2240:F2240)=2,E2240*F2240,"")</x:f>
      </x:c>
    </x:row>
    <x:row r="2241">
      <x:c r="A2241" s="66" t="n">
        <x:v>17</x:v>
      </x:c>
      <x:c r="B2241" s="44" t="str">
        <x:v>Canola/Rapeseed</x:v>
      </x:c>
      <x:c r="C2241" s="44" t="str">
        <x:v>DK401TK</x:v>
      </x:c>
      <x:c r="D2241" s="66" t="n">
        <x:v>2025</x:v>
      </x:c>
      <x:c r="E2241" s="67" t="n">
        <x:v>7951</x:v>
      </x:c>
      <x:c r="F2241" s="68" t="n">
        <x:v>49.6</x:v>
      </x:c>
      <x:c r="G2241" s="69" t="n">
        <x:f>IF(COUNT(E2241:F2241)=2,E2241*F2241,"")</x:f>
        <x:v>394369.60000000003</x:v>
      </x:c>
    </x:row>
    <x:row r="2242">
      <x:c r="A2242" s="66" t="n">
        <x:v>17</x:v>
      </x:c>
      <x:c r="B2242" s="44" t="str">
        <x:v>Canola/Rapeseed</x:v>
      </x:c>
      <x:c r="C2242" s="44" t="str">
        <x:v>DK401TL</x:v>
      </x:c>
      <x:c r="D2242" s="66" t="n">
        <x:v>2021</x:v>
      </x:c>
      <x:c r="E2242" s="67"/>
      <x:c r="F2242" s="68"/>
      <x:c r="G2242" s="69" t="str">
        <x:f>IF(COUNT(E2242:F2242)=2,E2242*F2242,"")</x:f>
      </x:c>
    </x:row>
    <x:row r="2243">
      <x:c r="A2243" s="66" t="n">
        <x:v>17</x:v>
      </x:c>
      <x:c r="B2243" s="44" t="str">
        <x:v>Canola/Rapeseed</x:v>
      </x:c>
      <x:c r="C2243" s="44" t="str">
        <x:v>DK401TL</x:v>
      </x:c>
      <x:c r="D2243" s="66" t="n">
        <x:v>2022</x:v>
      </x:c>
      <x:c r="E2243" s="67"/>
      <x:c r="F2243" s="68"/>
      <x:c r="G2243" s="69" t="str">
        <x:f>IF(COUNT(E2243:F2243)=2,E2243*F2243,"")</x:f>
      </x:c>
    </x:row>
    <x:row r="2244">
      <x:c r="A2244" s="66" t="n">
        <x:v>17</x:v>
      </x:c>
      <x:c r="B2244" s="44" t="str">
        <x:v>Canola/Rapeseed</x:v>
      </x:c>
      <x:c r="C2244" s="44" t="str">
        <x:v>DK401TL</x:v>
      </x:c>
      <x:c r="D2244" s="66" t="n">
        <x:v>2023</x:v>
      </x:c>
      <x:c r="E2244" s="67"/>
      <x:c r="F2244" s="68"/>
      <x:c r="G2244" s="69" t="str">
        <x:f>IF(COUNT(E2244:F2244)=2,E2244*F2244,"")</x:f>
      </x:c>
    </x:row>
    <x:row r="2245">
      <x:c r="A2245" s="66" t="n">
        <x:v>17</x:v>
      </x:c>
      <x:c r="B2245" s="44" t="str">
        <x:v>Canola/Rapeseed</x:v>
      </x:c>
      <x:c r="C2245" s="44" t="str">
        <x:v>DK401TL</x:v>
      </x:c>
      <x:c r="D2245" s="66" t="n">
        <x:v>2024</x:v>
      </x:c>
      <x:c r="E2245" s="67"/>
      <x:c r="F2245" s="68"/>
      <x:c r="G2245" s="69" t="str">
        <x:f>IF(COUNT(E2245:F2245)=2,E2245*F2245,"")</x:f>
      </x:c>
    </x:row>
    <x:row r="2246">
      <x:c r="A2246" s="66" t="n">
        <x:v>17</x:v>
      </x:c>
      <x:c r="B2246" s="44" t="str">
        <x:v>Canola/Rapeseed</x:v>
      </x:c>
      <x:c r="C2246" s="44" t="str">
        <x:v>DK401TL</x:v>
      </x:c>
      <x:c r="D2246" s="66" t="n">
        <x:v>2025</x:v>
      </x:c>
      <x:c r="E2246" s="67" t="n">
        <x:v>7273</x:v>
      </x:c>
      <x:c r="F2246" s="68" t="n">
        <x:v>52.6</x:v>
      </x:c>
      <x:c r="G2246" s="69" t="n">
        <x:f>IF(COUNT(E2246:F2246)=2,E2246*F2246,"")</x:f>
        <x:v>382559.8</x:v>
      </x:c>
    </x:row>
    <x:row r="2247">
      <x:c r="A2247" s="66" t="n">
        <x:v>17</x:v>
      </x:c>
      <x:c r="B2247" s="44" t="str">
        <x:v>Canola/Rapeseed</x:v>
      </x:c>
      <x:c r="C2247" s="44" t="str">
        <x:v>DK800LL</x:v>
      </x:c>
      <x:c r="D2247" s="66" t="n">
        <x:v>2021</x:v>
      </x:c>
      <x:c r="E2247" s="67"/>
      <x:c r="F2247" s="68"/>
      <x:c r="G2247" s="69" t="str">
        <x:f>IF(COUNT(E2247:F2247)=2,E2247*F2247,"")</x:f>
      </x:c>
    </x:row>
    <x:row r="2248">
      <x:c r="A2248" s="66" t="n">
        <x:v>17</x:v>
      </x:c>
      <x:c r="B2248" s="44" t="str">
        <x:v>Canola/Rapeseed</x:v>
      </x:c>
      <x:c r="C2248" s="44" t="str">
        <x:v>DK800LL</x:v>
      </x:c>
      <x:c r="D2248" s="66" t="n">
        <x:v>2022</x:v>
      </x:c>
      <x:c r="E2248" s="67"/>
      <x:c r="F2248" s="68"/>
      <x:c r="G2248" s="69" t="str">
        <x:f>IF(COUNT(E2248:F2248)=2,E2248*F2248,"")</x:f>
      </x:c>
    </x:row>
    <x:row r="2249">
      <x:c r="A2249" s="66" t="n">
        <x:v>17</x:v>
      </x:c>
      <x:c r="B2249" s="44" t="str">
        <x:v>Canola/Rapeseed</x:v>
      </x:c>
      <x:c r="C2249" s="44" t="str">
        <x:v>DK800LL</x:v>
      </x:c>
      <x:c r="D2249" s="66" t="n">
        <x:v>2023</x:v>
      </x:c>
      <x:c r="E2249" s="67"/>
      <x:c r="F2249" s="68"/>
      <x:c r="G2249" s="69" t="str">
        <x:f>IF(COUNT(E2249:F2249)=2,E2249*F2249,"")</x:f>
      </x:c>
    </x:row>
    <x:row r="2250">
      <x:c r="A2250" s="66" t="n">
        <x:v>17</x:v>
      </x:c>
      <x:c r="B2250" s="44" t="str">
        <x:v>Canola/Rapeseed</x:v>
      </x:c>
      <x:c r="C2250" s="44" t="str">
        <x:v>DK800LL</x:v>
      </x:c>
      <x:c r="D2250" s="66" t="n">
        <x:v>2024</x:v>
      </x:c>
      <x:c r="E2250" s="67"/>
      <x:c r="F2250" s="68"/>
      <x:c r="G2250" s="69" t="str">
        <x:f>IF(COUNT(E2250:F2250)=2,E2250*F2250,"")</x:f>
      </x:c>
    </x:row>
    <x:row r="2251">
      <x:c r="A2251" s="66" t="n">
        <x:v>17</x:v>
      </x:c>
      <x:c r="B2251" s="44" t="str">
        <x:v>Canola/Rapeseed</x:v>
      </x:c>
      <x:c r="C2251" s="44" t="str">
        <x:v>DK800LL</x:v>
      </x:c>
      <x:c r="D2251" s="66" t="n">
        <x:v>2025</x:v>
      </x:c>
      <x:c r="E2251" s="67" t="n">
        <x:v>19933</x:v>
      </x:c>
      <x:c r="F2251" s="68" t="n">
        <x:v>51.7</x:v>
      </x:c>
      <x:c r="G2251" s="69" t="n">
        <x:f>IF(COUNT(E2251:F2251)=2,E2251*F2251,"")</x:f>
        <x:v>1030536.1000000001</x:v>
      </x:c>
    </x:row>
    <x:row r="2252">
      <x:c r="A2252" s="66" t="n">
        <x:v>17</x:v>
      </x:c>
      <x:c r="B2252" s="44" t="str">
        <x:v>Canola/Rapeseed</x:v>
      </x:c>
      <x:c r="C2252" s="44" t="str">
        <x:v>DK801LL</x:v>
      </x:c>
      <x:c r="D2252" s="66" t="n">
        <x:v>2021</x:v>
      </x:c>
      <x:c r="E2252" s="67"/>
      <x:c r="F2252" s="68"/>
      <x:c r="G2252" s="69" t="str">
        <x:f>IF(COUNT(E2252:F2252)=2,E2252*F2252,"")</x:f>
      </x:c>
    </x:row>
    <x:row r="2253">
      <x:c r="A2253" s="66" t="n">
        <x:v>17</x:v>
      </x:c>
      <x:c r="B2253" s="44" t="str">
        <x:v>Canola/Rapeseed</x:v>
      </x:c>
      <x:c r="C2253" s="44" t="str">
        <x:v>DK801LL</x:v>
      </x:c>
      <x:c r="D2253" s="66" t="n">
        <x:v>2022</x:v>
      </x:c>
      <x:c r="E2253" s="67"/>
      <x:c r="F2253" s="68"/>
      <x:c r="G2253" s="69" t="str">
        <x:f>IF(COUNT(E2253:F2253)=2,E2253*F2253,"")</x:f>
      </x:c>
    </x:row>
    <x:row r="2254">
      <x:c r="A2254" s="66" t="n">
        <x:v>17</x:v>
      </x:c>
      <x:c r="B2254" s="44" t="str">
        <x:v>Canola/Rapeseed</x:v>
      </x:c>
      <x:c r="C2254" s="44" t="str">
        <x:v>DK801LL</x:v>
      </x:c>
      <x:c r="D2254" s="66" t="n">
        <x:v>2023</x:v>
      </x:c>
      <x:c r="E2254" s="67"/>
      <x:c r="F2254" s="68"/>
      <x:c r="G2254" s="69" t="str">
        <x:f>IF(COUNT(E2254:F2254)=2,E2254*F2254,"")</x:f>
      </x:c>
    </x:row>
    <x:row r="2255">
      <x:c r="A2255" s="66" t="n">
        <x:v>17</x:v>
      </x:c>
      <x:c r="B2255" s="44" t="str">
        <x:v>Canola/Rapeseed</x:v>
      </x:c>
      <x:c r="C2255" s="44" t="str">
        <x:v>DK801LL</x:v>
      </x:c>
      <x:c r="D2255" s="66" t="n">
        <x:v>2024</x:v>
      </x:c>
      <x:c r="E2255" s="67"/>
      <x:c r="F2255" s="68"/>
      <x:c r="G2255" s="69" t="str">
        <x:f>IF(COUNT(E2255:F2255)=2,E2255*F2255,"")</x:f>
      </x:c>
    </x:row>
    <x:row r="2256">
      <x:c r="A2256" s="66" t="n">
        <x:v>17</x:v>
      </x:c>
      <x:c r="B2256" s="44" t="str">
        <x:v>Canola/Rapeseed</x:v>
      </x:c>
      <x:c r="C2256" s="44" t="str">
        <x:v>DK801LL</x:v>
      </x:c>
      <x:c r="D2256" s="66" t="n">
        <x:v>2025</x:v>
      </x:c>
      <x:c r="E2256" s="67" t="n">
        <x:v>3617</x:v>
      </x:c>
      <x:c r="F2256" s="68" t="n">
        <x:v>48.3</x:v>
      </x:c>
      <x:c r="G2256" s="69" t="n">
        <x:f>IF(COUNT(E2256:F2256)=2,E2256*F2256,"")</x:f>
        <x:v>174701.09999999998</x:v>
      </x:c>
    </x:row>
    <x:row r="2257">
      <x:c r="A2257" s="66" t="n">
        <x:v>17</x:v>
      </x:c>
      <x:c r="B2257" s="44" t="str">
        <x:v>Canola/Rapeseed</x:v>
      </x:c>
      <x:c r="C2257" s="44" t="str">
        <x:v>DK900TF</x:v>
      </x:c>
      <x:c r="D2257" s="66" t="n">
        <x:v>2021</x:v>
      </x:c>
      <x:c r="E2257" s="67"/>
      <x:c r="F2257" s="68"/>
      <x:c r="G2257" s="69" t="str">
        <x:f>IF(COUNT(E2257:F2257)=2,E2257*F2257,"")</x:f>
      </x:c>
    </x:row>
    <x:row r="2258">
      <x:c r="A2258" s="66" t="n">
        <x:v>17</x:v>
      </x:c>
      <x:c r="B2258" s="44" t="str">
        <x:v>Canola/Rapeseed</x:v>
      </x:c>
      <x:c r="C2258" s="44" t="str">
        <x:v>DK900TF</x:v>
      </x:c>
      <x:c r="D2258" s="66" t="n">
        <x:v>2022</x:v>
      </x:c>
      <x:c r="E2258" s="67"/>
      <x:c r="F2258" s="68"/>
      <x:c r="G2258" s="69" t="str">
        <x:f>IF(COUNT(E2258:F2258)=2,E2258*F2258,"")</x:f>
      </x:c>
    </x:row>
    <x:row r="2259">
      <x:c r="A2259" s="66" t="n">
        <x:v>17</x:v>
      </x:c>
      <x:c r="B2259" s="44" t="str">
        <x:v>Canola/Rapeseed</x:v>
      </x:c>
      <x:c r="C2259" s="44" t="str">
        <x:v>DK900TF</x:v>
      </x:c>
      <x:c r="D2259" s="66" t="n">
        <x:v>2023</x:v>
      </x:c>
      <x:c r="E2259" s="67" t="n">
        <x:v>19940</x:v>
      </x:c>
      <x:c r="F2259" s="68" t="n">
        <x:v>51.1</x:v>
      </x:c>
      <x:c r="G2259" s="69" t="n">
        <x:f>IF(COUNT(E2259:F2259)=2,E2259*F2259,"")</x:f>
        <x:v>1018934</x:v>
      </x:c>
    </x:row>
    <x:row r="2260">
      <x:c r="A2260" s="66" t="n">
        <x:v>17</x:v>
      </x:c>
      <x:c r="B2260" s="44" t="str">
        <x:v>Canola/Rapeseed</x:v>
      </x:c>
      <x:c r="C2260" s="44" t="str">
        <x:v>DK900TF</x:v>
      </x:c>
      <x:c r="D2260" s="66" t="n">
        <x:v>2024</x:v>
      </x:c>
      <x:c r="E2260" s="67" t="n">
        <x:v>37967</x:v>
      </x:c>
      <x:c r="F2260" s="68" t="n">
        <x:v>39.4</x:v>
      </x:c>
      <x:c r="G2260" s="69" t="n">
        <x:f>IF(COUNT(E2260:F2260)=2,E2260*F2260,"")</x:f>
        <x:v>1495899.8</x:v>
      </x:c>
    </x:row>
    <x:row r="2261">
      <x:c r="A2261" s="66" t="n">
        <x:v>17</x:v>
      </x:c>
      <x:c r="B2261" s="44" t="str">
        <x:v>Canola/Rapeseed</x:v>
      </x:c>
      <x:c r="C2261" s="44" t="str">
        <x:v>DK900TF</x:v>
      </x:c>
      <x:c r="D2261" s="66" t="n">
        <x:v>2025</x:v>
      </x:c>
      <x:c r="E2261" s="67" t="n">
        <x:v>41823</x:v>
      </x:c>
      <x:c r="F2261" s="68" t="n">
        <x:v>47.7</x:v>
      </x:c>
      <x:c r="G2261" s="69" t="n">
        <x:f>IF(COUNT(E2261:F2261)=2,E2261*F2261,"")</x:f>
        <x:v>1994957.1</x:v>
      </x:c>
    </x:row>
    <x:row r="2262">
      <x:c r="A2262" s="66" t="n">
        <x:v>17</x:v>
      </x:c>
      <x:c r="B2262" s="44" t="str">
        <x:v>Canola/Rapeseed</x:v>
      </x:c>
      <x:c r="C2262" s="44" t="str">
        <x:v>DK901TF</x:v>
      </x:c>
      <x:c r="D2262" s="66" t="n">
        <x:v>2021</x:v>
      </x:c>
      <x:c r="E2262" s="67"/>
      <x:c r="F2262" s="68"/>
      <x:c r="G2262" s="69" t="str">
        <x:f>IF(COUNT(E2262:F2262)=2,E2262*F2262,"")</x:f>
      </x:c>
    </x:row>
    <x:row r="2263">
      <x:c r="A2263" s="66" t="n">
        <x:v>17</x:v>
      </x:c>
      <x:c r="B2263" s="44" t="str">
        <x:v>Canola/Rapeseed</x:v>
      </x:c>
      <x:c r="C2263" s="44" t="str">
        <x:v>DK901TF</x:v>
      </x:c>
      <x:c r="D2263" s="66" t="n">
        <x:v>2022</x:v>
      </x:c>
      <x:c r="E2263" s="67"/>
      <x:c r="F2263" s="68"/>
      <x:c r="G2263" s="69" t="str">
        <x:f>IF(COUNT(E2263:F2263)=2,E2263*F2263,"")</x:f>
      </x:c>
    </x:row>
    <x:row r="2264">
      <x:c r="A2264" s="66" t="n">
        <x:v>17</x:v>
      </x:c>
      <x:c r="B2264" s="44" t="str">
        <x:v>Canola/Rapeseed</x:v>
      </x:c>
      <x:c r="C2264" s="44" t="str">
        <x:v>DK901TF</x:v>
      </x:c>
      <x:c r="D2264" s="66" t="n">
        <x:v>2023</x:v>
      </x:c>
      <x:c r="E2264" s="67" t="n">
        <x:v>1652</x:v>
      </x:c>
      <x:c r="F2264" s="68" t="n">
        <x:v>49.9</x:v>
      </x:c>
      <x:c r="G2264" s="69" t="n">
        <x:f>IF(COUNT(E2264:F2264)=2,E2264*F2264,"")</x:f>
        <x:v>82434.8</x:v>
      </x:c>
    </x:row>
    <x:row r="2265">
      <x:c r="A2265" s="66" t="n">
        <x:v>17</x:v>
      </x:c>
      <x:c r="B2265" s="44" t="str">
        <x:v>Canola/Rapeseed</x:v>
      </x:c>
      <x:c r="C2265" s="44" t="str">
        <x:v>DK901TF</x:v>
      </x:c>
      <x:c r="D2265" s="66" t="n">
        <x:v>2024</x:v>
      </x:c>
      <x:c r="E2265" s="67" t="n">
        <x:v>2347</x:v>
      </x:c>
      <x:c r="F2265" s="68" t="n">
        <x:v>41.6</x:v>
      </x:c>
      <x:c r="G2265" s="69" t="n">
        <x:f>IF(COUNT(E2265:F2265)=2,E2265*F2265,"")</x:f>
        <x:v>97635.2</x:v>
      </x:c>
    </x:row>
    <x:row r="2266">
      <x:c r="A2266" s="66" t="n">
        <x:v>17</x:v>
      </x:c>
      <x:c r="B2266" s="44" t="str">
        <x:v>Canola/Rapeseed</x:v>
      </x:c>
      <x:c r="C2266" s="44" t="str">
        <x:v>DK901TF</x:v>
      </x:c>
      <x:c r="D2266" s="66" t="n">
        <x:v>2025</x:v>
      </x:c>
      <x:c r="E2266" s="67" t="n">
        <x:v>2920</x:v>
      </x:c>
      <x:c r="F2266" s="68" t="n">
        <x:v>48.2</x:v>
      </x:c>
      <x:c r="G2266" s="69" t="n">
        <x:f>IF(COUNT(E2266:F2266)=2,E2266*F2266,"")</x:f>
        <x:v>140744</x:v>
      </x:c>
    </x:row>
    <x:row r="2267">
      <x:c r="A2267" s="66" t="n">
        <x:v>17</x:v>
      </x:c>
      <x:c r="B2267" s="44" t="str">
        <x:v>Canola/Rapeseed</x:v>
      </x:c>
      <x:c r="C2267" s="44" t="str">
        <x:v>DK902TF</x:v>
      </x:c>
      <x:c r="D2267" s="66" t="n">
        <x:v>2021</x:v>
      </x:c>
      <x:c r="E2267" s="67"/>
      <x:c r="F2267" s="68"/>
      <x:c r="G2267" s="69" t="str">
        <x:f>IF(COUNT(E2267:F2267)=2,E2267*F2267,"")</x:f>
      </x:c>
    </x:row>
    <x:row r="2268">
      <x:c r="A2268" s="66" t="n">
        <x:v>17</x:v>
      </x:c>
      <x:c r="B2268" s="44" t="str">
        <x:v>Canola/Rapeseed</x:v>
      </x:c>
      <x:c r="C2268" s="44" t="str">
        <x:v>DK902TF</x:v>
      </x:c>
      <x:c r="D2268" s="66" t="n">
        <x:v>2022</x:v>
      </x:c>
      <x:c r="E2268" s="67"/>
      <x:c r="F2268" s="68"/>
      <x:c r="G2268" s="69" t="str">
        <x:f>IF(COUNT(E2268:F2268)=2,E2268*F2268,"")</x:f>
      </x:c>
    </x:row>
    <x:row r="2269">
      <x:c r="A2269" s="66" t="n">
        <x:v>17</x:v>
      </x:c>
      <x:c r="B2269" s="44" t="str">
        <x:v>Canola/Rapeseed</x:v>
      </x:c>
      <x:c r="C2269" s="44" t="str">
        <x:v>DK902TF</x:v>
      </x:c>
      <x:c r="D2269" s="66" t="n">
        <x:v>2023</x:v>
      </x:c>
      <x:c r="E2269" s="67" t="n">
        <x:v>11508</x:v>
      </x:c>
      <x:c r="F2269" s="68" t="n">
        <x:v>51.5</x:v>
      </x:c>
      <x:c r="G2269" s="69" t="n">
        <x:f>IF(COUNT(E2269:F2269)=2,E2269*F2269,"")</x:f>
        <x:v>592662</x:v>
      </x:c>
    </x:row>
    <x:row r="2270">
      <x:c r="A2270" s="66" t="n">
        <x:v>17</x:v>
      </x:c>
      <x:c r="B2270" s="44" t="str">
        <x:v>Canola/Rapeseed</x:v>
      </x:c>
      <x:c r="C2270" s="44" t="str">
        <x:v>DK902TF</x:v>
      </x:c>
      <x:c r="D2270" s="66" t="n">
        <x:v>2024</x:v>
      </x:c>
      <x:c r="E2270" s="67" t="n">
        <x:v>52119</x:v>
      </x:c>
      <x:c r="F2270" s="68" t="n">
        <x:v>39.3</x:v>
      </x:c>
      <x:c r="G2270" s="69" t="n">
        <x:f>IF(COUNT(E2270:F2270)=2,E2270*F2270,"")</x:f>
        <x:v>2048276.7</x:v>
      </x:c>
    </x:row>
    <x:row r="2271">
      <x:c r="A2271" s="66" t="n">
        <x:v>17</x:v>
      </x:c>
      <x:c r="B2271" s="44" t="str">
        <x:v>Canola/Rapeseed</x:v>
      </x:c>
      <x:c r="C2271" s="44" t="str">
        <x:v>DK902TF</x:v>
      </x:c>
      <x:c r="D2271" s="66" t="n">
        <x:v>2025</x:v>
      </x:c>
      <x:c r="E2271" s="67" t="n">
        <x:v>38951</x:v>
      </x:c>
      <x:c r="F2271" s="68" t="n">
        <x:v>48.5</x:v>
      </x:c>
      <x:c r="G2271" s="69" t="n">
        <x:f>IF(COUNT(E2271:F2271)=2,E2271*F2271,"")</x:f>
        <x:v>1889123.5</x:v>
      </x:c>
    </x:row>
    <x:row r="2272">
      <x:c r="A2272" s="66" t="n">
        <x:v>17</x:v>
      </x:c>
      <x:c r="B2272" s="44" t="str">
        <x:v>Canola/Rapeseed</x:v>
      </x:c>
      <x:c r="C2272" s="44" t="str">
        <x:v>LR354PC</x:v>
      </x:c>
      <x:c r="D2272" s="66" t="n">
        <x:v>2021</x:v>
      </x:c>
      <x:c r="E2272" s="67"/>
      <x:c r="F2272" s="68"/>
      <x:c r="G2272" s="69" t="str">
        <x:f>IF(COUNT(E2272:F2272)=2,E2272*F2272,"")</x:f>
      </x:c>
    </x:row>
    <x:row r="2273">
      <x:c r="A2273" s="66" t="n">
        <x:v>17</x:v>
      </x:c>
      <x:c r="B2273" s="44" t="str">
        <x:v>Canola/Rapeseed</x:v>
      </x:c>
      <x:c r="C2273" s="44" t="str">
        <x:v>LR354PC</x:v>
      </x:c>
      <x:c r="D2273" s="66" t="n">
        <x:v>2022</x:v>
      </x:c>
      <x:c r="E2273" s="67"/>
      <x:c r="F2273" s="68"/>
      <x:c r="G2273" s="69" t="str">
        <x:f>IF(COUNT(E2273:F2273)=2,E2273*F2273,"")</x:f>
      </x:c>
    </x:row>
    <x:row r="2274">
      <x:c r="A2274" s="66" t="n">
        <x:v>17</x:v>
      </x:c>
      <x:c r="B2274" s="44" t="str">
        <x:v>Canola/Rapeseed</x:v>
      </x:c>
      <x:c r="C2274" s="44" t="str">
        <x:v>LR354PC</x:v>
      </x:c>
      <x:c r="D2274" s="66" t="n">
        <x:v>2023</x:v>
      </x:c>
      <x:c r="E2274" s="67" t="n">
        <x:v>3108</x:v>
      </x:c>
      <x:c r="F2274" s="68" t="n">
        <x:v>54.9</x:v>
      </x:c>
      <x:c r="G2274" s="69" t="n">
        <x:f>IF(COUNT(E2274:F2274)=2,E2274*F2274,"")</x:f>
        <x:v>170629.19999999998</x:v>
      </x:c>
    </x:row>
    <x:row r="2275">
      <x:c r="A2275" s="66" t="n">
        <x:v>17</x:v>
      </x:c>
      <x:c r="B2275" s="44" t="str">
        <x:v>Canola/Rapeseed</x:v>
      </x:c>
      <x:c r="C2275" s="44" t="str">
        <x:v>LR354PC</x:v>
      </x:c>
      <x:c r="D2275" s="66" t="n">
        <x:v>2024</x:v>
      </x:c>
      <x:c r="E2275" s="67" t="n">
        <x:v>7471</x:v>
      </x:c>
      <x:c r="F2275" s="68" t="n">
        <x:v>44.4</x:v>
      </x:c>
      <x:c r="G2275" s="69" t="n">
        <x:f>IF(COUNT(E2275:F2275)=2,E2275*F2275,"")</x:f>
        <x:v>331712.39999999997</x:v>
      </x:c>
    </x:row>
    <x:row r="2276">
      <x:c r="A2276" s="66" t="n">
        <x:v>17</x:v>
      </x:c>
      <x:c r="B2276" s="44" t="str">
        <x:v>Canola/Rapeseed</x:v>
      </x:c>
      <x:c r="C2276" s="44" t="str">
        <x:v>LR354PC</x:v>
      </x:c>
      <x:c r="D2276" s="66" t="n">
        <x:v>2025</x:v>
      </x:c>
      <x:c r="E2276" s="67" t="n">
        <x:v>7814</x:v>
      </x:c>
      <x:c r="F2276" s="68" t="n">
        <x:v>47.7</x:v>
      </x:c>
      <x:c r="G2276" s="69" t="n">
        <x:f>IF(COUNT(E2276:F2276)=2,E2276*F2276,"")</x:f>
        <x:v>372727.80000000005</x:v>
      </x:c>
    </x:row>
    <x:row r="2277">
      <x:c r="A2277" s="66" t="n">
        <x:v>17</x:v>
      </x:c>
      <x:c r="B2277" s="44" t="str">
        <x:v>Canola/Rapeseed</x:v>
      </x:c>
      <x:c r="C2277" s="44" t="str">
        <x:v>L230</x:v>
      </x:c>
      <x:c r="D2277" s="66" t="n">
        <x:v>2021</x:v>
      </x:c>
      <x:c r="E2277" s="67" t="n">
        <x:v>38170</x:v>
      </x:c>
      <x:c r="F2277" s="68" t="n">
        <x:v>28.8</x:v>
      </x:c>
      <x:c r="G2277" s="69" t="n">
        <x:f>IF(COUNT(E2277:F2277)=2,E2277*F2277,"")</x:f>
        <x:v>1099296</x:v>
      </x:c>
    </x:row>
    <x:row r="2278">
      <x:c r="A2278" s="66" t="n">
        <x:v>17</x:v>
      </x:c>
      <x:c r="B2278" s="44" t="str">
        <x:v>Canola/Rapeseed</x:v>
      </x:c>
      <x:c r="C2278" s="44" t="str">
        <x:v>L230</x:v>
      </x:c>
      <x:c r="D2278" s="66" t="n">
        <x:v>2022</x:v>
      </x:c>
      <x:c r="E2278" s="67" t="n">
        <x:v>743</x:v>
      </x:c>
      <x:c r="F2278" s="68" t="n">
        <x:v>57.8</x:v>
      </x:c>
      <x:c r="G2278" s="69" t="n">
        <x:f>IF(COUNT(E2278:F2278)=2,E2278*F2278,"")</x:f>
        <x:v>42945.4</x:v>
      </x:c>
    </x:row>
    <x:row r="2279">
      <x:c r="A2279" s="66" t="n">
        <x:v>17</x:v>
      </x:c>
      <x:c r="B2279" s="44" t="str">
        <x:v>Canola/Rapeseed</x:v>
      </x:c>
      <x:c r="C2279" s="44" t="str">
        <x:v>L230</x:v>
      </x:c>
      <x:c r="D2279" s="66" t="n">
        <x:v>2023</x:v>
      </x:c>
      <x:c r="E2279" s="67" t="n">
        <x:v>1688</x:v>
      </x:c>
      <x:c r="F2279" s="68" t="n">
        <x:v>53.5</x:v>
      </x:c>
      <x:c r="G2279" s="69" t="n">
        <x:f>IF(COUNT(E2279:F2279)=2,E2279*F2279,"")</x:f>
        <x:v>90308</x:v>
      </x:c>
    </x:row>
    <x:row r="2280">
      <x:c r="A2280" s="66" t="n">
        <x:v>17</x:v>
      </x:c>
      <x:c r="B2280" s="44" t="str">
        <x:v>Canola/Rapeseed</x:v>
      </x:c>
      <x:c r="C2280" s="44" t="str">
        <x:v>L230</x:v>
      </x:c>
      <x:c r="D2280" s="66" t="n">
        <x:v>2024</x:v>
      </x:c>
      <x:c r="E2280" s="67" t="n">
        <x:v>1036</x:v>
      </x:c>
      <x:c r="F2280" s="68" t="n">
        <x:v>43.7</x:v>
      </x:c>
      <x:c r="G2280" s="69" t="n">
        <x:f>IF(COUNT(E2280:F2280)=2,E2280*F2280,"")</x:f>
        <x:v>45273.200000000004</x:v>
      </x:c>
    </x:row>
    <x:row r="2281">
      <x:c r="A2281" s="66" t="n">
        <x:v>17</x:v>
      </x:c>
      <x:c r="B2281" s="44" t="str">
        <x:v>Canola/Rapeseed</x:v>
      </x:c>
      <x:c r="C2281" s="44" t="str">
        <x:v>L230</x:v>
      </x:c>
      <x:c r="D2281" s="66" t="n">
        <x:v>2025</x:v>
      </x:c>
      <x:c r="E2281" s="67" t="n">
        <x:v>794</x:v>
      </x:c>
      <x:c r="F2281" s="68" t="n">
        <x:v>44.5</x:v>
      </x:c>
      <x:c r="G2281" s="69" t="n">
        <x:f>IF(COUNT(E2281:F2281)=2,E2281*F2281,"")</x:f>
        <x:v>35333</x:v>
      </x:c>
    </x:row>
    <x:row r="2282">
      <x:c r="A2282" s="66" t="n">
        <x:v>17</x:v>
      </x:c>
      <x:c r="B2282" s="44" t="str">
        <x:v>Canola/Rapeseed</x:v>
      </x:c>
      <x:c r="C2282" s="44" t="str">
        <x:v>L233P</x:v>
      </x:c>
      <x:c r="D2282" s="66" t="n">
        <x:v>2021</x:v>
      </x:c>
      <x:c r="E2282" s="67" t="n">
        <x:v>181796</x:v>
      </x:c>
      <x:c r="F2282" s="68" t="n">
        <x:v>29.2</x:v>
      </x:c>
      <x:c r="G2282" s="69" t="n">
        <x:f>IF(COUNT(E2282:F2282)=2,E2282*F2282,"")</x:f>
        <x:v>5308443.2</x:v>
      </x:c>
    </x:row>
    <x:row r="2283">
      <x:c r="A2283" s="66" t="n">
        <x:v>17</x:v>
      </x:c>
      <x:c r="B2283" s="44" t="str">
        <x:v>Canola/Rapeseed</x:v>
      </x:c>
      <x:c r="C2283" s="44" t="str">
        <x:v>L233P</x:v>
      </x:c>
      <x:c r="D2283" s="66" t="n">
        <x:v>2022</x:v>
      </x:c>
      <x:c r="E2283" s="67" t="n">
        <x:v>147844</x:v>
      </x:c>
      <x:c r="F2283" s="68" t="n">
        <x:v>52.4</x:v>
      </x:c>
      <x:c r="G2283" s="69" t="n">
        <x:f>IF(COUNT(E2283:F2283)=2,E2283*F2283,"")</x:f>
        <x:v>7747025.6</x:v>
      </x:c>
    </x:row>
    <x:row r="2284">
      <x:c r="A2284" s="66" t="n">
        <x:v>17</x:v>
      </x:c>
      <x:c r="B2284" s="44" t="str">
        <x:v>Canola/Rapeseed</x:v>
      </x:c>
      <x:c r="C2284" s="44" t="str">
        <x:v>L233P</x:v>
      </x:c>
      <x:c r="D2284" s="66" t="n">
        <x:v>2023</x:v>
      </x:c>
      <x:c r="E2284" s="67" t="n">
        <x:v>115093</x:v>
      </x:c>
      <x:c r="F2284" s="68" t="n">
        <x:v>55</x:v>
      </x:c>
      <x:c r="G2284" s="69" t="n">
        <x:f>IF(COUNT(E2284:F2284)=2,E2284*F2284,"")</x:f>
        <x:v>6330115</x:v>
      </x:c>
    </x:row>
    <x:row r="2285">
      <x:c r="A2285" s="66" t="n">
        <x:v>17</x:v>
      </x:c>
      <x:c r="B2285" s="44" t="str">
        <x:v>Canola/Rapeseed</x:v>
      </x:c>
      <x:c r="C2285" s="44" t="str">
        <x:v>L233P</x:v>
      </x:c>
      <x:c r="D2285" s="66" t="n">
        <x:v>2024</x:v>
      </x:c>
      <x:c r="E2285" s="67" t="n">
        <x:v>57696</x:v>
      </x:c>
      <x:c r="F2285" s="68" t="n">
        <x:v>40.1</x:v>
      </x:c>
      <x:c r="G2285" s="69" t="n">
        <x:f>IF(COUNT(E2285:F2285)=2,E2285*F2285,"")</x:f>
        <x:v>2313609.6</x:v>
      </x:c>
    </x:row>
    <x:row r="2286">
      <x:c r="A2286" s="66" t="n">
        <x:v>17</x:v>
      </x:c>
      <x:c r="B2286" s="44" t="str">
        <x:v>Canola/Rapeseed</x:v>
      </x:c>
      <x:c r="C2286" s="44" t="str">
        <x:v>L233P</x:v>
      </x:c>
      <x:c r="D2286" s="66" t="n">
        <x:v>2025</x:v>
      </x:c>
      <x:c r="E2286" s="67" t="n">
        <x:v>17497</x:v>
      </x:c>
      <x:c r="F2286" s="68" t="n">
        <x:v>45.7</x:v>
      </x:c>
      <x:c r="G2286" s="69" t="n">
        <x:f>IF(COUNT(E2286:F2286)=2,E2286*F2286,"")</x:f>
        <x:v>799612.9</x:v>
      </x:c>
    </x:row>
    <x:row r="2287">
      <x:c r="A2287" s="66" t="n">
        <x:v>17</x:v>
      </x:c>
      <x:c r="B2287" s="44" t="str">
        <x:v>Canola/Rapeseed</x:v>
      </x:c>
      <x:c r="C2287" s="44" t="str">
        <x:v>L234PC</x:v>
      </x:c>
      <x:c r="D2287" s="66" t="n">
        <x:v>2021</x:v>
      </x:c>
      <x:c r="E2287" s="67" t="n">
        <x:v>13038</x:v>
      </x:c>
      <x:c r="F2287" s="68" t="n">
        <x:v>29.7</x:v>
      </x:c>
      <x:c r="G2287" s="69" t="n">
        <x:f>IF(COUNT(E2287:F2287)=2,E2287*F2287,"")</x:f>
        <x:v>387228.6</x:v>
      </x:c>
    </x:row>
    <x:row r="2288">
      <x:c r="A2288" s="66" t="n">
        <x:v>17</x:v>
      </x:c>
      <x:c r="B2288" s="44" t="str">
        <x:v>Canola/Rapeseed</x:v>
      </x:c>
      <x:c r="C2288" s="44" t="str">
        <x:v>L234PC</x:v>
      </x:c>
      <x:c r="D2288" s="66" t="n">
        <x:v>2022</x:v>
      </x:c>
      <x:c r="E2288" s="67" t="n">
        <x:v>5925</x:v>
      </x:c>
      <x:c r="F2288" s="68" t="n">
        <x:v>48.5</x:v>
      </x:c>
      <x:c r="G2288" s="69" t="n">
        <x:f>IF(COUNT(E2288:F2288)=2,E2288*F2288,"")</x:f>
        <x:v>287362.5</x:v>
      </x:c>
    </x:row>
    <x:row r="2289">
      <x:c r="A2289" s="66" t="n">
        <x:v>17</x:v>
      </x:c>
      <x:c r="B2289" s="44" t="str">
        <x:v>Canola/Rapeseed</x:v>
      </x:c>
      <x:c r="C2289" s="44" t="str">
        <x:v>L234PC</x:v>
      </x:c>
      <x:c r="D2289" s="66" t="n">
        <x:v>2023</x:v>
      </x:c>
      <x:c r="E2289" s="67" t="n">
        <x:v>627</x:v>
      </x:c>
      <x:c r="F2289" s="68" t="n">
        <x:v>51.1</x:v>
      </x:c>
      <x:c r="G2289" s="69" t="n">
        <x:f>IF(COUNT(E2289:F2289)=2,E2289*F2289,"")</x:f>
        <x:v>32039.7</x:v>
      </x:c>
    </x:row>
    <x:row r="2290">
      <x:c r="A2290" s="66" t="n">
        <x:v>17</x:v>
      </x:c>
      <x:c r="B2290" s="44" t="str">
        <x:v>Canola/Rapeseed</x:v>
      </x:c>
      <x:c r="C2290" s="44" t="str">
        <x:v>L234PC</x:v>
      </x:c>
      <x:c r="D2290" s="66" t="n">
        <x:v>2024</x:v>
      </x:c>
      <x:c r="E2290" s="67" t="n">
        <x:v>2665</x:v>
      </x:c>
      <x:c r="F2290" s="68" t="n">
        <x:v>44.8</x:v>
      </x:c>
      <x:c r="G2290" s="69" t="n">
        <x:f>IF(COUNT(E2290:F2290)=2,E2290*F2290,"")</x:f>
        <x:v>119391.99999999999</x:v>
      </x:c>
    </x:row>
    <x:row r="2291">
      <x:c r="A2291" s="66" t="n">
        <x:v>17</x:v>
      </x:c>
      <x:c r="B2291" s="44" t="str">
        <x:v>Canola/Rapeseed</x:v>
      </x:c>
      <x:c r="C2291" s="44" t="str">
        <x:v>L234PC</x:v>
      </x:c>
      <x:c r="D2291" s="66" t="n">
        <x:v>2025</x:v>
      </x:c>
      <x:c r="E2291" s="67" t="n">
        <x:v>887</x:v>
      </x:c>
      <x:c r="F2291" s="68" t="n">
        <x:v>35.8</x:v>
      </x:c>
      <x:c r="G2291" s="69" t="n">
        <x:f>IF(COUNT(E2291:F2291)=2,E2291*F2291,"")</x:f>
        <x:v>31754.6</x:v>
      </x:c>
    </x:row>
    <x:row r="2292">
      <x:c r="A2292" s="66" t="n">
        <x:v>17</x:v>
      </x:c>
      <x:c r="B2292" s="44" t="str">
        <x:v>Canola/Rapeseed</x:v>
      </x:c>
      <x:c r="C2292" s="44" t="str">
        <x:v>L330PC</x:v>
      </x:c>
      <x:c r="D2292" s="66" t="n">
        <x:v>2021</x:v>
      </x:c>
      <x:c r="E2292" s="67"/>
      <x:c r="F2292" s="68"/>
      <x:c r="G2292" s="69" t="str">
        <x:f>IF(COUNT(E2292:F2292)=2,E2292*F2292,"")</x:f>
      </x:c>
    </x:row>
    <x:row r="2293">
      <x:c r="A2293" s="66" t="n">
        <x:v>17</x:v>
      </x:c>
      <x:c r="B2293" s="44" t="str">
        <x:v>Canola/Rapeseed</x:v>
      </x:c>
      <x:c r="C2293" s="44" t="str">
        <x:v>L330PC</x:v>
      </x:c>
      <x:c r="D2293" s="66" t="n">
        <x:v>2022</x:v>
      </x:c>
      <x:c r="E2293" s="67"/>
      <x:c r="F2293" s="68"/>
      <x:c r="G2293" s="69" t="str">
        <x:f>IF(COUNT(E2293:F2293)=2,E2293*F2293,"")</x:f>
      </x:c>
    </x:row>
    <x:row r="2294">
      <x:c r="A2294" s="66" t="n">
        <x:v>17</x:v>
      </x:c>
      <x:c r="B2294" s="44" t="str">
        <x:v>Canola/Rapeseed</x:v>
      </x:c>
      <x:c r="C2294" s="44" t="str">
        <x:v>L330PC</x:v>
      </x:c>
      <x:c r="D2294" s="66" t="n">
        <x:v>2023</x:v>
      </x:c>
      <x:c r="E2294" s="67"/>
      <x:c r="F2294" s="68"/>
      <x:c r="G2294" s="69" t="str">
        <x:f>IF(COUNT(E2294:F2294)=2,E2294*F2294,"")</x:f>
      </x:c>
    </x:row>
    <x:row r="2295">
      <x:c r="A2295" s="66" t="n">
        <x:v>17</x:v>
      </x:c>
      <x:c r="B2295" s="44" t="str">
        <x:v>Canola/Rapeseed</x:v>
      </x:c>
      <x:c r="C2295" s="44" t="str">
        <x:v>L330PC</x:v>
      </x:c>
      <x:c r="D2295" s="66" t="n">
        <x:v>2024</x:v>
      </x:c>
      <x:c r="E2295" s="67"/>
      <x:c r="F2295" s="68"/>
      <x:c r="G2295" s="69" t="str">
        <x:f>IF(COUNT(E2295:F2295)=2,E2295*F2295,"")</x:f>
      </x:c>
    </x:row>
    <x:row r="2296">
      <x:c r="A2296" s="66" t="n">
        <x:v>17</x:v>
      </x:c>
      <x:c r="B2296" s="44" t="str">
        <x:v>Canola/Rapeseed</x:v>
      </x:c>
      <x:c r="C2296" s="44" t="str">
        <x:v>L330PC</x:v>
      </x:c>
      <x:c r="D2296" s="66" t="n">
        <x:v>2025</x:v>
      </x:c>
      <x:c r="E2296" s="67" t="n">
        <x:v>33704</x:v>
      </x:c>
      <x:c r="F2296" s="68" t="n">
        <x:v>50.4</x:v>
      </x:c>
      <x:c r="G2296" s="69" t="n">
        <x:f>IF(COUNT(E2296:F2296)=2,E2296*F2296,"")</x:f>
        <x:v>1698681.5999999999</x:v>
      </x:c>
    </x:row>
    <x:row r="2297">
      <x:c r="A2297" s="66" t="n">
        <x:v>17</x:v>
      </x:c>
      <x:c r="B2297" s="44" t="str">
        <x:v>Canola/Rapeseed</x:v>
      </x:c>
      <x:c r="C2297" s="44" t="str">
        <x:v>L333PC</x:v>
      </x:c>
      <x:c r="D2297" s="66" t="n">
        <x:v>2021</x:v>
      </x:c>
      <x:c r="E2297" s="67"/>
      <x:c r="F2297" s="68"/>
      <x:c r="G2297" s="69" t="str">
        <x:f>IF(COUNT(E2297:F2297)=2,E2297*F2297,"")</x:f>
      </x:c>
    </x:row>
    <x:row r="2298">
      <x:c r="A2298" s="66" t="n">
        <x:v>17</x:v>
      </x:c>
      <x:c r="B2298" s="44" t="str">
        <x:v>Canola/Rapeseed</x:v>
      </x:c>
      <x:c r="C2298" s="44" t="str">
        <x:v>L333PC</x:v>
      </x:c>
      <x:c r="D2298" s="66" t="n">
        <x:v>2022</x:v>
      </x:c>
      <x:c r="E2298" s="67"/>
      <x:c r="F2298" s="68"/>
      <x:c r="G2298" s="69" t="str">
        <x:f>IF(COUNT(E2298:F2298)=2,E2298*F2298,"")</x:f>
      </x:c>
    </x:row>
    <x:row r="2299">
      <x:c r="A2299" s="66" t="n">
        <x:v>17</x:v>
      </x:c>
      <x:c r="B2299" s="44" t="str">
        <x:v>Canola/Rapeseed</x:v>
      </x:c>
      <x:c r="C2299" s="44" t="str">
        <x:v>L333PC</x:v>
      </x:c>
      <x:c r="D2299" s="66" t="n">
        <x:v>2023</x:v>
      </x:c>
      <x:c r="E2299" s="67"/>
      <x:c r="F2299" s="68"/>
      <x:c r="G2299" s="69" t="str">
        <x:f>IF(COUNT(E2299:F2299)=2,E2299*F2299,"")</x:f>
      </x:c>
    </x:row>
    <x:row r="2300">
      <x:c r="A2300" s="66" t="n">
        <x:v>17</x:v>
      </x:c>
      <x:c r="B2300" s="44" t="str">
        <x:v>Canola/Rapeseed</x:v>
      </x:c>
      <x:c r="C2300" s="44" t="str">
        <x:v>L333PC</x:v>
      </x:c>
      <x:c r="D2300" s="66" t="n">
        <x:v>2024</x:v>
      </x:c>
      <x:c r="E2300" s="67"/>
      <x:c r="F2300" s="68"/>
      <x:c r="G2300" s="69" t="str">
        <x:f>IF(COUNT(E2300:F2300)=2,E2300*F2300,"")</x:f>
      </x:c>
    </x:row>
    <x:row r="2301">
      <x:c r="A2301" s="66" t="n">
        <x:v>17</x:v>
      </x:c>
      <x:c r="B2301" s="44" t="str">
        <x:v>Canola/Rapeseed</x:v>
      </x:c>
      <x:c r="C2301" s="44" t="str">
        <x:v>L333PC</x:v>
      </x:c>
      <x:c r="D2301" s="66" t="n">
        <x:v>2025</x:v>
      </x:c>
      <x:c r="E2301" s="67" t="n">
        <x:v>31516</x:v>
      </x:c>
      <x:c r="F2301" s="68" t="n">
        <x:v>51.1</x:v>
      </x:c>
      <x:c r="G2301" s="69" t="n">
        <x:f>IF(COUNT(E2301:F2301)=2,E2301*F2301,"")</x:f>
        <x:v>1610467.6</x:v>
      </x:c>
    </x:row>
    <x:row r="2302">
      <x:c r="A2302" s="66" t="n">
        <x:v>17</x:v>
      </x:c>
      <x:c r="B2302" s="44" t="str">
        <x:v>Canola/Rapeseed</x:v>
      </x:c>
      <x:c r="C2302" s="44" t="str">
        <x:v>L340PC</x:v>
      </x:c>
      <x:c r="D2302" s="66" t="n">
        <x:v>2021</x:v>
      </x:c>
      <x:c r="E2302" s="67" t="n">
        <x:v>81385</x:v>
      </x:c>
      <x:c r="F2302" s="68" t="n">
        <x:v>31.2</x:v>
      </x:c>
      <x:c r="G2302" s="69" t="n">
        <x:f>IF(COUNT(E2302:F2302)=2,E2302*F2302,"")</x:f>
        <x:v>2539212</x:v>
      </x:c>
    </x:row>
    <x:row r="2303">
      <x:c r="A2303" s="66" t="n">
        <x:v>17</x:v>
      </x:c>
      <x:c r="B2303" s="44" t="str">
        <x:v>Canola/Rapeseed</x:v>
      </x:c>
      <x:c r="C2303" s="44" t="str">
        <x:v>L340PC</x:v>
      </x:c>
      <x:c r="D2303" s="66" t="n">
        <x:v>2022</x:v>
      </x:c>
      <x:c r="E2303" s="67" t="n">
        <x:v>212583</x:v>
      </x:c>
      <x:c r="F2303" s="68" t="n">
        <x:v>53</x:v>
      </x:c>
      <x:c r="G2303" s="69" t="n">
        <x:f>IF(COUNT(E2303:F2303)=2,E2303*F2303,"")</x:f>
        <x:v>11266899</x:v>
      </x:c>
    </x:row>
    <x:row r="2304">
      <x:c r="A2304" s="66" t="n">
        <x:v>17</x:v>
      </x:c>
      <x:c r="B2304" s="44" t="str">
        <x:v>Canola/Rapeseed</x:v>
      </x:c>
      <x:c r="C2304" s="44" t="str">
        <x:v>L340PC</x:v>
      </x:c>
      <x:c r="D2304" s="66" t="n">
        <x:v>2023</x:v>
      </x:c>
      <x:c r="E2304" s="67" t="n">
        <x:v>272567</x:v>
      </x:c>
      <x:c r="F2304" s="68" t="n">
        <x:v>54.5</x:v>
      </x:c>
      <x:c r="G2304" s="69" t="n">
        <x:f>IF(COUNT(E2304:F2304)=2,E2304*F2304,"")</x:f>
        <x:v>14854901.5</x:v>
      </x:c>
    </x:row>
    <x:row r="2305">
      <x:c r="A2305" s="66" t="n">
        <x:v>17</x:v>
      </x:c>
      <x:c r="B2305" s="44" t="str">
        <x:v>Canola/Rapeseed</x:v>
      </x:c>
      <x:c r="C2305" s="44" t="str">
        <x:v>L340PC</x:v>
      </x:c>
      <x:c r="D2305" s="66" t="n">
        <x:v>2024</x:v>
      </x:c>
      <x:c r="E2305" s="67" t="n">
        <x:v>329298</x:v>
      </x:c>
      <x:c r="F2305" s="68" t="n">
        <x:v>43.3</x:v>
      </x:c>
      <x:c r="G2305" s="69" t="n">
        <x:f>IF(COUNT(E2305:F2305)=2,E2305*F2305,"")</x:f>
        <x:v>14258603.399999999</x:v>
      </x:c>
    </x:row>
    <x:row r="2306">
      <x:c r="A2306" s="66" t="n">
        <x:v>17</x:v>
      </x:c>
      <x:c r="B2306" s="44" t="str">
        <x:v>Canola/Rapeseed</x:v>
      </x:c>
      <x:c r="C2306" s="44" t="str">
        <x:v>L340PC</x:v>
      </x:c>
      <x:c r="D2306" s="66" t="n">
        <x:v>2025</x:v>
      </x:c>
      <x:c r="E2306" s="67" t="n">
        <x:v>334610</x:v>
      </x:c>
      <x:c r="F2306" s="68" t="n">
        <x:v>50.9</x:v>
      </x:c>
      <x:c r="G2306" s="69" t="n">
        <x:f>IF(COUNT(E2306:F2306)=2,E2306*F2306,"")</x:f>
        <x:v>17031649</x:v>
      </x:c>
    </x:row>
    <x:row r="2307">
      <x:c r="A2307" s="66" t="n">
        <x:v>17</x:v>
      </x:c>
      <x:c r="B2307" s="44" t="str">
        <x:v>Canola/Rapeseed</x:v>
      </x:c>
      <x:c r="C2307" s="44" t="str">
        <x:v>L341PC</x:v>
      </x:c>
      <x:c r="D2307" s="66" t="n">
        <x:v>2021</x:v>
      </x:c>
      <x:c r="E2307" s="67"/>
      <x:c r="F2307" s="68"/>
      <x:c r="G2307" s="69" t="str">
        <x:f>IF(COUNT(E2307:F2307)=2,E2307*F2307,"")</x:f>
      </x:c>
    </x:row>
    <x:row r="2308">
      <x:c r="A2308" s="66" t="n">
        <x:v>17</x:v>
      </x:c>
      <x:c r="B2308" s="44" t="str">
        <x:v>Canola/Rapeseed</x:v>
      </x:c>
      <x:c r="C2308" s="44" t="str">
        <x:v>L341PC</x:v>
      </x:c>
      <x:c r="D2308" s="66" t="n">
        <x:v>2022</x:v>
      </x:c>
      <x:c r="E2308" s="67"/>
      <x:c r="F2308" s="68"/>
      <x:c r="G2308" s="69" t="str">
        <x:f>IF(COUNT(E2308:F2308)=2,E2308*F2308,"")</x:f>
      </x:c>
    </x:row>
    <x:row r="2309">
      <x:c r="A2309" s="66" t="n">
        <x:v>17</x:v>
      </x:c>
      <x:c r="B2309" s="44" t="str">
        <x:v>Canola/Rapeseed</x:v>
      </x:c>
      <x:c r="C2309" s="44" t="str">
        <x:v>L341PC</x:v>
      </x:c>
      <x:c r="D2309" s="66" t="n">
        <x:v>2023</x:v>
      </x:c>
      <x:c r="E2309" s="67"/>
      <x:c r="F2309" s="68"/>
      <x:c r="G2309" s="69" t="str">
        <x:f>IF(COUNT(E2309:F2309)=2,E2309*F2309,"")</x:f>
      </x:c>
    </x:row>
    <x:row r="2310">
      <x:c r="A2310" s="66" t="n">
        <x:v>17</x:v>
      </x:c>
      <x:c r="B2310" s="44" t="str">
        <x:v>Canola/Rapeseed</x:v>
      </x:c>
      <x:c r="C2310" s="44" t="str">
        <x:v>L341PC</x:v>
      </x:c>
      <x:c r="D2310" s="66" t="n">
        <x:v>2024</x:v>
      </x:c>
      <x:c r="E2310" s="67"/>
      <x:c r="F2310" s="68"/>
      <x:c r="G2310" s="69" t="str">
        <x:f>IF(COUNT(E2310:F2310)=2,E2310*F2310,"")</x:f>
      </x:c>
    </x:row>
    <x:row r="2311">
      <x:c r="A2311" s="66" t="n">
        <x:v>17</x:v>
      </x:c>
      <x:c r="B2311" s="44" t="str">
        <x:v>Canola/Rapeseed</x:v>
      </x:c>
      <x:c r="C2311" s="44" t="str">
        <x:v>L341PC</x:v>
      </x:c>
      <x:c r="D2311" s="66" t="n">
        <x:v>2025</x:v>
      </x:c>
      <x:c r="E2311" s="67" t="n">
        <x:v>458</x:v>
      </x:c>
      <x:c r="F2311" s="68" t="n">
        <x:v>45.4</x:v>
      </x:c>
      <x:c r="G2311" s="69" t="n">
        <x:f>IF(COUNT(E2311:F2311)=2,E2311*F2311,"")</x:f>
        <x:v>20793.2</x:v>
      </x:c>
    </x:row>
    <x:row r="2312">
      <x:c r="A2312" s="66" t="n">
        <x:v>17</x:v>
      </x:c>
      <x:c r="B2312" s="44" t="str">
        <x:v>Canola/Rapeseed</x:v>
      </x:c>
      <x:c r="C2312" s="44" t="str">
        <x:v>L343PC</x:v>
      </x:c>
      <x:c r="D2312" s="66" t="n">
        <x:v>2021</x:v>
      </x:c>
      <x:c r="E2312" s="67"/>
      <x:c r="F2312" s="68"/>
      <x:c r="G2312" s="69" t="str">
        <x:f>IF(COUNT(E2312:F2312)=2,E2312*F2312,"")</x:f>
      </x:c>
    </x:row>
    <x:row r="2313">
      <x:c r="A2313" s="66" t="n">
        <x:v>17</x:v>
      </x:c>
      <x:c r="B2313" s="44" t="str">
        <x:v>Canola/Rapeseed</x:v>
      </x:c>
      <x:c r="C2313" s="44" t="str">
        <x:v>L343PC</x:v>
      </x:c>
      <x:c r="D2313" s="66" t="n">
        <x:v>2022</x:v>
      </x:c>
      <x:c r="E2313" s="67" t="n">
        <x:v>26170</x:v>
      </x:c>
      <x:c r="F2313" s="68" t="n">
        <x:v>52.2</x:v>
      </x:c>
      <x:c r="G2313" s="69" t="n">
        <x:f>IF(COUNT(E2313:F2313)=2,E2313*F2313,"")</x:f>
        <x:v>1366074</x:v>
      </x:c>
    </x:row>
    <x:row r="2314">
      <x:c r="A2314" s="66" t="n">
        <x:v>17</x:v>
      </x:c>
      <x:c r="B2314" s="44" t="str">
        <x:v>Canola/Rapeseed</x:v>
      </x:c>
      <x:c r="C2314" s="44" t="str">
        <x:v>L343PC</x:v>
      </x:c>
      <x:c r="D2314" s="66" t="n">
        <x:v>2023</x:v>
      </x:c>
      <x:c r="E2314" s="67" t="n">
        <x:v>33195</x:v>
      </x:c>
      <x:c r="F2314" s="68" t="n">
        <x:v>53.7</x:v>
      </x:c>
      <x:c r="G2314" s="69" t="n">
        <x:f>IF(COUNT(E2314:F2314)=2,E2314*F2314,"")</x:f>
        <x:v>1782571.5</x:v>
      </x:c>
    </x:row>
    <x:row r="2315">
      <x:c r="A2315" s="66" t="n">
        <x:v>17</x:v>
      </x:c>
      <x:c r="B2315" s="44" t="str">
        <x:v>Canola/Rapeseed</x:v>
      </x:c>
      <x:c r="C2315" s="44" t="str">
        <x:v>L343PC</x:v>
      </x:c>
      <x:c r="D2315" s="66" t="n">
        <x:v>2024</x:v>
      </x:c>
      <x:c r="E2315" s="67" t="n">
        <x:v>31554</x:v>
      </x:c>
      <x:c r="F2315" s="68" t="n">
        <x:v>47.1</x:v>
      </x:c>
      <x:c r="G2315" s="69" t="n">
        <x:f>IF(COUNT(E2315:F2315)=2,E2315*F2315,"")</x:f>
        <x:v>1486193.4000000001</x:v>
      </x:c>
    </x:row>
    <x:row r="2316">
      <x:c r="A2316" s="66" t="n">
        <x:v>17</x:v>
      </x:c>
      <x:c r="B2316" s="44" t="str">
        <x:v>Canola/Rapeseed</x:v>
      </x:c>
      <x:c r="C2316" s="44" t="str">
        <x:v>L343PC</x:v>
      </x:c>
      <x:c r="D2316" s="66" t="n">
        <x:v>2025</x:v>
      </x:c>
      <x:c r="E2316" s="67" t="n">
        <x:v>30605</x:v>
      </x:c>
      <x:c r="F2316" s="68" t="n">
        <x:v>54.1</x:v>
      </x:c>
      <x:c r="G2316" s="69" t="n">
        <x:f>IF(COUNT(E2316:F2316)=2,E2316*F2316,"")</x:f>
        <x:v>1655730.5</x:v>
      </x:c>
    </x:row>
    <x:row r="2317">
      <x:c r="A2317" s="66" t="n">
        <x:v>17</x:v>
      </x:c>
      <x:c r="B2317" s="44" t="str">
        <x:v>Canola/Rapeseed</x:v>
      </x:c>
      <x:c r="C2317" s="44" t="str">
        <x:v>L345PC</x:v>
      </x:c>
      <x:c r="D2317" s="66" t="n">
        <x:v>2021</x:v>
      </x:c>
      <x:c r="E2317" s="67" t="n">
        <x:v>73508</x:v>
      </x:c>
      <x:c r="F2317" s="68" t="n">
        <x:v>28.1</x:v>
      </x:c>
      <x:c r="G2317" s="69" t="n">
        <x:f>IF(COUNT(E2317:F2317)=2,E2317*F2317,"")</x:f>
        <x:v>2065574.8</x:v>
      </x:c>
    </x:row>
    <x:row r="2318">
      <x:c r="A2318" s="66" t="n">
        <x:v>17</x:v>
      </x:c>
      <x:c r="B2318" s="44" t="str">
        <x:v>Canola/Rapeseed</x:v>
      </x:c>
      <x:c r="C2318" s="44" t="str">
        <x:v>L345PC</x:v>
      </x:c>
      <x:c r="D2318" s="66" t="n">
        <x:v>2022</x:v>
      </x:c>
      <x:c r="E2318" s="67" t="n">
        <x:v>48748</x:v>
      </x:c>
      <x:c r="F2318" s="68" t="n">
        <x:v>53.7</x:v>
      </x:c>
      <x:c r="G2318" s="69" t="n">
        <x:f>IF(COUNT(E2318:F2318)=2,E2318*F2318,"")</x:f>
        <x:v>2617767.6</x:v>
      </x:c>
    </x:row>
    <x:row r="2319">
      <x:c r="A2319" s="66" t="n">
        <x:v>17</x:v>
      </x:c>
      <x:c r="B2319" s="44" t="str">
        <x:v>Canola/Rapeseed</x:v>
      </x:c>
      <x:c r="C2319" s="44" t="str">
        <x:v>L345PC</x:v>
      </x:c>
      <x:c r="D2319" s="66" t="n">
        <x:v>2023</x:v>
      </x:c>
      <x:c r="E2319" s="67" t="n">
        <x:v>47523</x:v>
      </x:c>
      <x:c r="F2319" s="68" t="n">
        <x:v>54.9</x:v>
      </x:c>
      <x:c r="G2319" s="69" t="n">
        <x:f>IF(COUNT(E2319:F2319)=2,E2319*F2319,"")</x:f>
        <x:v>2609012.6999999997</x:v>
      </x:c>
    </x:row>
    <x:row r="2320">
      <x:c r="A2320" s="66" t="n">
        <x:v>17</x:v>
      </x:c>
      <x:c r="B2320" s="44" t="str">
        <x:v>Canola/Rapeseed</x:v>
      </x:c>
      <x:c r="C2320" s="44" t="str">
        <x:v>L345PC</x:v>
      </x:c>
      <x:c r="D2320" s="66" t="n">
        <x:v>2024</x:v>
      </x:c>
      <x:c r="E2320" s="67" t="n">
        <x:v>47909</x:v>
      </x:c>
      <x:c r="F2320" s="68" t="n">
        <x:v>44.3</x:v>
      </x:c>
      <x:c r="G2320" s="69" t="n">
        <x:f>IF(COUNT(E2320:F2320)=2,E2320*F2320,"")</x:f>
        <x:v>2122368.6999999997</x:v>
      </x:c>
    </x:row>
    <x:row r="2321">
      <x:c r="A2321" s="66" t="n">
        <x:v>17</x:v>
      </x:c>
      <x:c r="B2321" s="44" t="str">
        <x:v>Canola/Rapeseed</x:v>
      </x:c>
      <x:c r="C2321" s="44" t="str">
        <x:v>L345PC</x:v>
      </x:c>
      <x:c r="D2321" s="66" t="n">
        <x:v>2025</x:v>
      </x:c>
      <x:c r="E2321" s="67" t="n">
        <x:v>25540</x:v>
      </x:c>
      <x:c r="F2321" s="68" t="n">
        <x:v>53.6</x:v>
      </x:c>
      <x:c r="G2321" s="69" t="n">
        <x:f>IF(COUNT(E2321:F2321)=2,E2321*F2321,"")</x:f>
        <x:v>1368944</x:v>
      </x:c>
    </x:row>
    <x:row r="2322">
      <x:c r="A2322" s="66" t="n">
        <x:v>17</x:v>
      </x:c>
      <x:c r="B2322" s="44" t="str">
        <x:v>Canola/Rapeseed</x:v>
      </x:c>
      <x:c r="C2322" s="44" t="str">
        <x:v>L350PC</x:v>
      </x:c>
      <x:c r="D2322" s="66" t="n">
        <x:v>2021</x:v>
      </x:c>
      <x:c r="E2322" s="67"/>
      <x:c r="F2322" s="68"/>
      <x:c r="G2322" s="69" t="str">
        <x:f>IF(COUNT(E2322:F2322)=2,E2322*F2322,"")</x:f>
      </x:c>
    </x:row>
    <x:row r="2323">
      <x:c r="A2323" s="66" t="n">
        <x:v>17</x:v>
      </x:c>
      <x:c r="B2323" s="44" t="str">
        <x:v>Canola/Rapeseed</x:v>
      </x:c>
      <x:c r="C2323" s="44" t="str">
        <x:v>L350PC</x:v>
      </x:c>
      <x:c r="D2323" s="66" t="n">
        <x:v>2022</x:v>
      </x:c>
      <x:c r="E2323" s="67"/>
      <x:c r="F2323" s="68"/>
      <x:c r="G2323" s="69" t="str">
        <x:f>IF(COUNT(E2323:F2323)=2,E2323*F2323,"")</x:f>
      </x:c>
    </x:row>
    <x:row r="2324">
      <x:c r="A2324" s="66" t="n">
        <x:v>17</x:v>
      </x:c>
      <x:c r="B2324" s="44" t="str">
        <x:v>Canola/Rapeseed</x:v>
      </x:c>
      <x:c r="C2324" s="44" t="str">
        <x:v>L350PC</x:v>
      </x:c>
      <x:c r="D2324" s="66" t="n">
        <x:v>2023</x:v>
      </x:c>
      <x:c r="E2324" s="67" t="n">
        <x:v>41138</x:v>
      </x:c>
      <x:c r="F2324" s="68" t="n">
        <x:v>54.9</x:v>
      </x:c>
      <x:c r="G2324" s="69" t="n">
        <x:f>IF(COUNT(E2324:F2324)=2,E2324*F2324,"")</x:f>
        <x:v>2258476.1999999997</x:v>
      </x:c>
    </x:row>
    <x:row r="2325">
      <x:c r="A2325" s="66" t="n">
        <x:v>17</x:v>
      </x:c>
      <x:c r="B2325" s="44" t="str">
        <x:v>Canola/Rapeseed</x:v>
      </x:c>
      <x:c r="C2325" s="44" t="str">
        <x:v>L350PC</x:v>
      </x:c>
      <x:c r="D2325" s="66" t="n">
        <x:v>2024</x:v>
      </x:c>
      <x:c r="E2325" s="67" t="n">
        <x:v>23982</x:v>
      </x:c>
      <x:c r="F2325" s="68" t="n">
        <x:v>42.9</x:v>
      </x:c>
      <x:c r="G2325" s="69" t="n">
        <x:f>IF(COUNT(E2325:F2325)=2,E2325*F2325,"")</x:f>
        <x:v>1028827.7999999999</x:v>
      </x:c>
    </x:row>
    <x:row r="2326">
      <x:c r="A2326" s="66" t="n">
        <x:v>17</x:v>
      </x:c>
      <x:c r="B2326" s="44" t="str">
        <x:v>Canola/Rapeseed</x:v>
      </x:c>
      <x:c r="C2326" s="44" t="str">
        <x:v>L350PC</x:v>
      </x:c>
      <x:c r="D2326" s="66" t="n">
        <x:v>2025</x:v>
      </x:c>
      <x:c r="E2326" s="67" t="n">
        <x:v>28440</x:v>
      </x:c>
      <x:c r="F2326" s="68" t="n">
        <x:v>52.7</x:v>
      </x:c>
      <x:c r="G2326" s="69" t="n">
        <x:f>IF(COUNT(E2326:F2326)=2,E2326*F2326,"")</x:f>
        <x:v>1498788</x:v>
      </x:c>
    </x:row>
    <x:row r="2327">
      <x:c r="A2327" s="66" t="n">
        <x:v>17</x:v>
      </x:c>
      <x:c r="B2327" s="44" t="str">
        <x:v>Canola/Rapeseed</x:v>
      </x:c>
      <x:c r="C2327" s="44" t="str">
        <x:v>L356PC</x:v>
      </x:c>
      <x:c r="D2327" s="66" t="n">
        <x:v>2021</x:v>
      </x:c>
      <x:c r="E2327" s="67"/>
      <x:c r="F2327" s="68"/>
      <x:c r="G2327" s="69" t="str">
        <x:f>IF(COUNT(E2327:F2327)=2,E2327*F2327,"")</x:f>
      </x:c>
    </x:row>
    <x:row r="2328">
      <x:c r="A2328" s="66" t="n">
        <x:v>17</x:v>
      </x:c>
      <x:c r="B2328" s="44" t="str">
        <x:v>Canola/Rapeseed</x:v>
      </x:c>
      <x:c r="C2328" s="44" t="str">
        <x:v>L356PC</x:v>
      </x:c>
      <x:c r="D2328" s="66" t="n">
        <x:v>2022</x:v>
      </x:c>
      <x:c r="E2328" s="67" t="n">
        <x:v>42120</x:v>
      </x:c>
      <x:c r="F2328" s="68" t="n">
        <x:v>52</x:v>
      </x:c>
      <x:c r="G2328" s="69" t="n">
        <x:f>IF(COUNT(E2328:F2328)=2,E2328*F2328,"")</x:f>
        <x:v>2190240</x:v>
      </x:c>
    </x:row>
    <x:row r="2329">
      <x:c r="A2329" s="66" t="n">
        <x:v>17</x:v>
      </x:c>
      <x:c r="B2329" s="44" t="str">
        <x:v>Canola/Rapeseed</x:v>
      </x:c>
      <x:c r="C2329" s="44" t="str">
        <x:v>L356PC</x:v>
      </x:c>
      <x:c r="D2329" s="66" t="n">
        <x:v>2023</x:v>
      </x:c>
      <x:c r="E2329" s="67" t="n">
        <x:v>56037</x:v>
      </x:c>
      <x:c r="F2329" s="68" t="n">
        <x:v>52.8</x:v>
      </x:c>
      <x:c r="G2329" s="69" t="n">
        <x:f>IF(COUNT(E2329:F2329)=2,E2329*F2329,"")</x:f>
        <x:v>2958753.5999999996</x:v>
      </x:c>
    </x:row>
    <x:row r="2330">
      <x:c r="A2330" s="66" t="n">
        <x:v>17</x:v>
      </x:c>
      <x:c r="B2330" s="44" t="str">
        <x:v>Canola/Rapeseed</x:v>
      </x:c>
      <x:c r="C2330" s="44" t="str">
        <x:v>L356PC</x:v>
      </x:c>
      <x:c r="D2330" s="66" t="n">
        <x:v>2024</x:v>
      </x:c>
      <x:c r="E2330" s="67" t="n">
        <x:v>91056</x:v>
      </x:c>
      <x:c r="F2330" s="68" t="n">
        <x:v>45</x:v>
      </x:c>
      <x:c r="G2330" s="69" t="n">
        <x:f>IF(COUNT(E2330:F2330)=2,E2330*F2330,"")</x:f>
        <x:v>4097520</x:v>
      </x:c>
    </x:row>
    <x:row r="2331">
      <x:c r="A2331" s="66" t="n">
        <x:v>17</x:v>
      </x:c>
      <x:c r="B2331" s="44" t="str">
        <x:v>Canola/Rapeseed</x:v>
      </x:c>
      <x:c r="C2331" s="44" t="str">
        <x:v>L356PC</x:v>
      </x:c>
      <x:c r="D2331" s="66" t="n">
        <x:v>2025</x:v>
      </x:c>
      <x:c r="E2331" s="67" t="n">
        <x:v>79005</x:v>
      </x:c>
      <x:c r="F2331" s="68" t="n">
        <x:v>50.8</x:v>
      </x:c>
      <x:c r="G2331" s="69" t="n">
        <x:f>IF(COUNT(E2331:F2331)=2,E2331*F2331,"")</x:f>
        <x:v>4013454</x:v>
      </x:c>
    </x:row>
    <x:row r="2332">
      <x:c r="A2332" s="66" t="n">
        <x:v>17</x:v>
      </x:c>
      <x:c r="B2332" s="44" t="str">
        <x:v>Canola/Rapeseed</x:v>
      </x:c>
      <x:c r="C2332" s="44" t="str">
        <x:v>L357P</x:v>
      </x:c>
      <x:c r="D2332" s="66" t="n">
        <x:v>2021</x:v>
      </x:c>
      <x:c r="E2332" s="67" t="n">
        <x:v>25972</x:v>
      </x:c>
      <x:c r="F2332" s="68" t="n">
        <x:v>26.1</x:v>
      </x:c>
      <x:c r="G2332" s="69" t="n">
        <x:f>IF(COUNT(E2332:F2332)=2,E2332*F2332,"")</x:f>
        <x:v>677869.2000000001</x:v>
      </x:c>
    </x:row>
    <x:row r="2333">
      <x:c r="A2333" s="66" t="n">
        <x:v>17</x:v>
      </x:c>
      <x:c r="B2333" s="44" t="str">
        <x:v>Canola/Rapeseed</x:v>
      </x:c>
      <x:c r="C2333" s="44" t="str">
        <x:v>L357P</x:v>
      </x:c>
      <x:c r="D2333" s="66" t="n">
        <x:v>2022</x:v>
      </x:c>
      <x:c r="E2333" s="67" t="n">
        <x:v>30434</x:v>
      </x:c>
      <x:c r="F2333" s="68" t="n">
        <x:v>54.7</x:v>
      </x:c>
      <x:c r="G2333" s="69" t="n">
        <x:f>IF(COUNT(E2333:F2333)=2,E2333*F2333,"")</x:f>
        <x:v>1664739.8</x:v>
      </x:c>
    </x:row>
    <x:row r="2334">
      <x:c r="A2334" s="66" t="n">
        <x:v>17</x:v>
      </x:c>
      <x:c r="B2334" s="44" t="str">
        <x:v>Canola/Rapeseed</x:v>
      </x:c>
      <x:c r="C2334" s="44" t="str">
        <x:v>L357P</x:v>
      </x:c>
      <x:c r="D2334" s="66" t="n">
        <x:v>2023</x:v>
      </x:c>
      <x:c r="E2334" s="67" t="n">
        <x:v>35044</x:v>
      </x:c>
      <x:c r="F2334" s="68" t="n">
        <x:v>55</x:v>
      </x:c>
      <x:c r="G2334" s="69" t="n">
        <x:f>IF(COUNT(E2334:F2334)=2,E2334*F2334,"")</x:f>
        <x:v>1927420</x:v>
      </x:c>
    </x:row>
    <x:row r="2335">
      <x:c r="A2335" s="66" t="n">
        <x:v>17</x:v>
      </x:c>
      <x:c r="B2335" s="44" t="str">
        <x:v>Canola/Rapeseed</x:v>
      </x:c>
      <x:c r="C2335" s="44" t="str">
        <x:v>L357P</x:v>
      </x:c>
      <x:c r="D2335" s="66" t="n">
        <x:v>2024</x:v>
      </x:c>
      <x:c r="E2335" s="67" t="n">
        <x:v>436</x:v>
      </x:c>
      <x:c r="F2335" s="68" t="n">
        <x:v>39.2</x:v>
      </x:c>
      <x:c r="G2335" s="69" t="n">
        <x:f>IF(COUNT(E2335:F2335)=2,E2335*F2335,"")</x:f>
        <x:v>17091.2</x:v>
      </x:c>
    </x:row>
    <x:row r="2336">
      <x:c r="A2336" s="66" t="n">
        <x:v>17</x:v>
      </x:c>
      <x:c r="B2336" s="44" t="str">
        <x:v>Canola/Rapeseed</x:v>
      </x:c>
      <x:c r="C2336" s="44" t="str">
        <x:v>L357P</x:v>
      </x:c>
      <x:c r="D2336" s="66" t="n">
        <x:v>2025</x:v>
      </x:c>
      <x:c r="E2336" s="67" t="n">
        <x:v>1118</x:v>
      </x:c>
      <x:c r="F2336" s="68" t="n">
        <x:v>52.9</x:v>
      </x:c>
      <x:c r="G2336" s="69" t="n">
        <x:f>IF(COUNT(E2336:F2336)=2,E2336*F2336,"")</x:f>
        <x:v>59142.2</x:v>
      </x:c>
    </x:row>
    <x:row r="2337">
      <x:c r="A2337" s="66" t="n">
        <x:v>17</x:v>
      </x:c>
      <x:c r="B2337" s="44" t="str">
        <x:v>Canola/Rapeseed</x:v>
      </x:c>
      <x:c r="C2337" s="44" t="str">
        <x:v>PV 661 LCM</x:v>
      </x:c>
      <x:c r="D2337" s="66" t="n">
        <x:v>2021</x:v>
      </x:c>
      <x:c r="E2337" s="67"/>
      <x:c r="F2337" s="68"/>
      <x:c r="G2337" s="69" t="str">
        <x:f>IF(COUNT(E2337:F2337)=2,E2337*F2337,"")</x:f>
      </x:c>
    </x:row>
    <x:row r="2338">
      <x:c r="A2338" s="66" t="n">
        <x:v>17</x:v>
      </x:c>
      <x:c r="B2338" s="44" t="str">
        <x:v>Canola/Rapeseed</x:v>
      </x:c>
      <x:c r="C2338" s="44" t="str">
        <x:v>PV 661 LCM</x:v>
      </x:c>
      <x:c r="D2338" s="66" t="n">
        <x:v>2022</x:v>
      </x:c>
      <x:c r="E2338" s="67"/>
      <x:c r="F2338" s="68"/>
      <x:c r="G2338" s="69" t="str">
        <x:f>IF(COUNT(E2338:F2338)=2,E2338*F2338,"")</x:f>
      </x:c>
    </x:row>
    <x:row r="2339">
      <x:c r="A2339" s="66" t="n">
        <x:v>17</x:v>
      </x:c>
      <x:c r="B2339" s="44" t="str">
        <x:v>Canola/Rapeseed</x:v>
      </x:c>
      <x:c r="C2339" s="44" t="str">
        <x:v>PV 661 LCM</x:v>
      </x:c>
      <x:c r="D2339" s="66" t="n">
        <x:v>2023</x:v>
      </x:c>
      <x:c r="E2339" s="67"/>
      <x:c r="F2339" s="68"/>
      <x:c r="G2339" s="69" t="str">
        <x:f>IF(COUNT(E2339:F2339)=2,E2339*F2339,"")</x:f>
      </x:c>
    </x:row>
    <x:row r="2340">
      <x:c r="A2340" s="66" t="n">
        <x:v>17</x:v>
      </x:c>
      <x:c r="B2340" s="44" t="str">
        <x:v>Canola/Rapeseed</x:v>
      </x:c>
      <x:c r="C2340" s="44" t="str">
        <x:v>PV 661 LCM</x:v>
      </x:c>
      <x:c r="D2340" s="66" t="n">
        <x:v>2024</x:v>
      </x:c>
      <x:c r="E2340" s="67" t="n">
        <x:v>6656</x:v>
      </x:c>
      <x:c r="F2340" s="68" t="n">
        <x:v>39.2</x:v>
      </x:c>
      <x:c r="G2340" s="69" t="n">
        <x:f>IF(COUNT(E2340:F2340)=2,E2340*F2340,"")</x:f>
        <x:v>260915.2</x:v>
      </x:c>
    </x:row>
    <x:row r="2341">
      <x:c r="A2341" s="66" t="n">
        <x:v>17</x:v>
      </x:c>
      <x:c r="B2341" s="44" t="str">
        <x:v>Canola/Rapeseed</x:v>
      </x:c>
      <x:c r="C2341" s="44" t="str">
        <x:v>PV 661 LCM</x:v>
      </x:c>
      <x:c r="D2341" s="66" t="n">
        <x:v>2025</x:v>
      </x:c>
      <x:c r="E2341" s="67" t="n">
        <x:v>5726</x:v>
      </x:c>
      <x:c r="F2341" s="68" t="n">
        <x:v>44.2</x:v>
      </x:c>
      <x:c r="G2341" s="69" t="n">
        <x:f>IF(COUNT(E2341:F2341)=2,E2341*F2341,"")</x:f>
        <x:v>253089.2</x:v>
      </x:c>
    </x:row>
    <x:row r="2342">
      <x:c r="A2342" s="66" t="n">
        <x:v>17</x:v>
      </x:c>
      <x:c r="B2342" s="44" t="str">
        <x:v>Canola/Rapeseed</x:v>
      </x:c>
      <x:c r="C2342" s="44" t="str">
        <x:v>PV 681 LC</x:v>
      </x:c>
      <x:c r="D2342" s="66" t="n">
        <x:v>2021</x:v>
      </x:c>
      <x:c r="E2342" s="67" t="n">
        <x:v>15588</x:v>
      </x:c>
      <x:c r="F2342" s="68" t="n">
        <x:v>24.6</x:v>
      </x:c>
      <x:c r="G2342" s="69" t="n">
        <x:f>IF(COUNT(E2342:F2342)=2,E2342*F2342,"")</x:f>
        <x:v>383464.80000000005</x:v>
      </x:c>
    </x:row>
    <x:row r="2343">
      <x:c r="A2343" s="66" t="n">
        <x:v>17</x:v>
      </x:c>
      <x:c r="B2343" s="44" t="str">
        <x:v>Canola/Rapeseed</x:v>
      </x:c>
      <x:c r="C2343" s="44" t="str">
        <x:v>PV 681 LC</x:v>
      </x:c>
      <x:c r="D2343" s="66" t="n">
        <x:v>2022</x:v>
      </x:c>
      <x:c r="E2343" s="67" t="n">
        <x:v>12342</x:v>
      </x:c>
      <x:c r="F2343" s="68" t="n">
        <x:v>45</x:v>
      </x:c>
      <x:c r="G2343" s="69" t="n">
        <x:f>IF(COUNT(E2343:F2343)=2,E2343*F2343,"")</x:f>
        <x:v>555390</x:v>
      </x:c>
    </x:row>
    <x:row r="2344">
      <x:c r="A2344" s="66" t="n">
        <x:v>17</x:v>
      </x:c>
      <x:c r="B2344" s="44" t="str">
        <x:v>Canola/Rapeseed</x:v>
      </x:c>
      <x:c r="C2344" s="44" t="str">
        <x:v>PV 681 LC</x:v>
      </x:c>
      <x:c r="D2344" s="66" t="n">
        <x:v>2023</x:v>
      </x:c>
      <x:c r="E2344" s="67" t="n">
        <x:v>10849</x:v>
      </x:c>
      <x:c r="F2344" s="68" t="n">
        <x:v>45.5</x:v>
      </x:c>
      <x:c r="G2344" s="69" t="n">
        <x:f>IF(COUNT(E2344:F2344)=2,E2344*F2344,"")</x:f>
        <x:v>493629.5</x:v>
      </x:c>
    </x:row>
    <x:row r="2345">
      <x:c r="A2345" s="66" t="n">
        <x:v>17</x:v>
      </x:c>
      <x:c r="B2345" s="44" t="str">
        <x:v>Canola/Rapeseed</x:v>
      </x:c>
      <x:c r="C2345" s="44" t="str">
        <x:v>PV 681 LC</x:v>
      </x:c>
      <x:c r="D2345" s="66" t="n">
        <x:v>2024</x:v>
      </x:c>
      <x:c r="E2345" s="67" t="n">
        <x:v>4729</x:v>
      </x:c>
      <x:c r="F2345" s="68" t="n">
        <x:v>37</x:v>
      </x:c>
      <x:c r="G2345" s="69" t="n">
        <x:f>IF(COUNT(E2345:F2345)=2,E2345*F2345,"")</x:f>
        <x:v>174973</x:v>
      </x:c>
    </x:row>
    <x:row r="2346">
      <x:c r="A2346" s="66" t="n">
        <x:v>17</x:v>
      </x:c>
      <x:c r="B2346" s="44" t="str">
        <x:v>Canola/Rapeseed</x:v>
      </x:c>
      <x:c r="C2346" s="44" t="str">
        <x:v>PV 681 LC</x:v>
      </x:c>
      <x:c r="D2346" s="66" t="n">
        <x:v>2025</x:v>
      </x:c>
      <x:c r="E2346" s="67" t="n">
        <x:v>2278</x:v>
      </x:c>
      <x:c r="F2346" s="68" t="n">
        <x:v>40.8</x:v>
      </x:c>
      <x:c r="G2346" s="69" t="n">
        <x:f>IF(COUNT(E2346:F2346)=2,E2346*F2346,"")</x:f>
        <x:v>92942.4</x:v>
      </x:c>
    </x:row>
    <x:row r="2347">
      <x:c r="A2347" s="66" t="n">
        <x:v>17</x:v>
      </x:c>
      <x:c r="B2347" s="44" t="str">
        <x:v>Canola/Rapeseed</x:v>
      </x:c>
      <x:c r="C2347" s="44" t="str">
        <x:v>PV 760 TM</x:v>
      </x:c>
      <x:c r="D2347" s="66" t="n">
        <x:v>2021</x:v>
      </x:c>
      <x:c r="E2347" s="67" t="n">
        <x:v>4302</x:v>
      </x:c>
      <x:c r="F2347" s="68" t="n">
        <x:v>25.6</x:v>
      </x:c>
      <x:c r="G2347" s="69" t="n">
        <x:f>IF(COUNT(E2347:F2347)=2,E2347*F2347,"")</x:f>
        <x:v>110131.20000000001</x:v>
      </x:c>
    </x:row>
    <x:row r="2348">
      <x:c r="A2348" s="66" t="n">
        <x:v>17</x:v>
      </x:c>
      <x:c r="B2348" s="44" t="str">
        <x:v>Canola/Rapeseed</x:v>
      </x:c>
      <x:c r="C2348" s="44" t="str">
        <x:v>PV 760 TM</x:v>
      </x:c>
      <x:c r="D2348" s="66" t="n">
        <x:v>2022</x:v>
      </x:c>
      <x:c r="E2348" s="67" t="n">
        <x:v>3670</x:v>
      </x:c>
      <x:c r="F2348" s="68" t="n">
        <x:v>42.9</x:v>
      </x:c>
      <x:c r="G2348" s="69" t="n">
        <x:f>IF(COUNT(E2348:F2348)=2,E2348*F2348,"")</x:f>
        <x:v>157443</x:v>
      </x:c>
    </x:row>
    <x:row r="2349">
      <x:c r="A2349" s="66" t="n">
        <x:v>17</x:v>
      </x:c>
      <x:c r="B2349" s="44" t="str">
        <x:v>Canola/Rapeseed</x:v>
      </x:c>
      <x:c r="C2349" s="44" t="str">
        <x:v>PV 760 TM</x:v>
      </x:c>
      <x:c r="D2349" s="66" t="n">
        <x:v>2023</x:v>
      </x:c>
      <x:c r="E2349" s="67" t="n">
        <x:v>1247</x:v>
      </x:c>
      <x:c r="F2349" s="68" t="n">
        <x:v>50.3</x:v>
      </x:c>
      <x:c r="G2349" s="69" t="n">
        <x:f>IF(COUNT(E2349:F2349)=2,E2349*F2349,"")</x:f>
        <x:v>62724.1</x:v>
      </x:c>
    </x:row>
    <x:row r="2350">
      <x:c r="A2350" s="66" t="n">
        <x:v>17</x:v>
      </x:c>
      <x:c r="B2350" s="44" t="str">
        <x:v>Canola/Rapeseed</x:v>
      </x:c>
      <x:c r="C2350" s="44" t="str">
        <x:v>PV 760 TM</x:v>
      </x:c>
      <x:c r="D2350" s="66" t="n">
        <x:v>2024</x:v>
      </x:c>
      <x:c r="E2350" s="67" t="n">
        <x:v>817</x:v>
      </x:c>
      <x:c r="F2350" s="68" t="n">
        <x:v>39.7</x:v>
      </x:c>
      <x:c r="G2350" s="69" t="n">
        <x:f>IF(COUNT(E2350:F2350)=2,E2350*F2350,"")</x:f>
        <x:v>32434.9</x:v>
      </x:c>
    </x:row>
    <x:row r="2351">
      <x:c r="A2351" s="66" t="n">
        <x:v>17</x:v>
      </x:c>
      <x:c r="B2351" s="44" t="str">
        <x:v>Canola/Rapeseed</x:v>
      </x:c>
      <x:c r="C2351" s="44" t="str">
        <x:v>PV 760 TM</x:v>
      </x:c>
      <x:c r="D2351" s="66" t="n">
        <x:v>2025</x:v>
      </x:c>
      <x:c r="E2351" s="67" t="n">
        <x:v>1125</x:v>
      </x:c>
      <x:c r="F2351" s="68" t="n">
        <x:v>44.9</x:v>
      </x:c>
      <x:c r="G2351" s="69" t="n">
        <x:f>IF(COUNT(E2351:F2351)=2,E2351*F2351,"")</x:f>
        <x:v>50512.5</x:v>
      </x:c>
    </x:row>
    <x:row r="2352">
      <x:c r="A2352" s="66" t="n">
        <x:v>17</x:v>
      </x:c>
      <x:c r="B2352" s="44" t="str">
        <x:v>Canola/Rapeseed</x:v>
      </x:c>
      <x:c r="C2352" s="44" t="str">
        <x:v>PV 761 TM</x:v>
      </x:c>
      <x:c r="D2352" s="66" t="n">
        <x:v>2021</x:v>
      </x:c>
      <x:c r="E2352" s="67" t="n">
        <x:v>54730</x:v>
      </x:c>
      <x:c r="F2352" s="68" t="n">
        <x:v>23.8</x:v>
      </x:c>
      <x:c r="G2352" s="69" t="n">
        <x:f>IF(COUNT(E2352:F2352)=2,E2352*F2352,"")</x:f>
        <x:v>1302574</x:v>
      </x:c>
    </x:row>
    <x:row r="2353">
      <x:c r="A2353" s="66" t="n">
        <x:v>17</x:v>
      </x:c>
      <x:c r="B2353" s="44" t="str">
        <x:v>Canola/Rapeseed</x:v>
      </x:c>
      <x:c r="C2353" s="44" t="str">
        <x:v>PV 761 TM</x:v>
      </x:c>
      <x:c r="D2353" s="66" t="n">
        <x:v>2022</x:v>
      </x:c>
      <x:c r="E2353" s="67" t="n">
        <x:v>56246</x:v>
      </x:c>
      <x:c r="F2353" s="68" t="n">
        <x:v>44.7</x:v>
      </x:c>
      <x:c r="G2353" s="69" t="n">
        <x:f>IF(COUNT(E2353:F2353)=2,E2353*F2353,"")</x:f>
        <x:v>2514196.2</x:v>
      </x:c>
    </x:row>
    <x:row r="2354">
      <x:c r="A2354" s="66" t="n">
        <x:v>17</x:v>
      </x:c>
      <x:c r="B2354" s="44" t="str">
        <x:v>Canola/Rapeseed</x:v>
      </x:c>
      <x:c r="C2354" s="44" t="str">
        <x:v>PV 761 TM</x:v>
      </x:c>
      <x:c r="D2354" s="66" t="n">
        <x:v>2023</x:v>
      </x:c>
      <x:c r="E2354" s="67" t="n">
        <x:v>35031</x:v>
      </x:c>
      <x:c r="F2354" s="68" t="n">
        <x:v>44.7</x:v>
      </x:c>
      <x:c r="G2354" s="69" t="n">
        <x:f>IF(COUNT(E2354:F2354)=2,E2354*F2354,"")</x:f>
        <x:v>1565885.7000000002</x:v>
      </x:c>
    </x:row>
    <x:row r="2355">
      <x:c r="A2355" s="66" t="n">
        <x:v>17</x:v>
      </x:c>
      <x:c r="B2355" s="44" t="str">
        <x:v>Canola/Rapeseed</x:v>
      </x:c>
      <x:c r="C2355" s="44" t="str">
        <x:v>PV 761 TM</x:v>
      </x:c>
      <x:c r="D2355" s="66" t="n">
        <x:v>2024</x:v>
      </x:c>
      <x:c r="E2355" s="67" t="n">
        <x:v>16820</x:v>
      </x:c>
      <x:c r="F2355" s="68" t="n">
        <x:v>34.7</x:v>
      </x:c>
      <x:c r="G2355" s="69" t="n">
        <x:f>IF(COUNT(E2355:F2355)=2,E2355*F2355,"")</x:f>
        <x:v>583654</x:v>
      </x:c>
    </x:row>
    <x:row r="2356">
      <x:c r="A2356" s="66" t="n">
        <x:v>17</x:v>
      </x:c>
      <x:c r="B2356" s="44" t="str">
        <x:v>Canola/Rapeseed</x:v>
      </x:c>
      <x:c r="C2356" s="44" t="str">
        <x:v>PV 761 TM</x:v>
      </x:c>
      <x:c r="D2356" s="66" t="n">
        <x:v>2025</x:v>
      </x:c>
      <x:c r="E2356" s="67" t="n">
        <x:v>9269</x:v>
      </x:c>
      <x:c r="F2356" s="68" t="n">
        <x:v>44.7</x:v>
      </x:c>
      <x:c r="G2356" s="69" t="n">
        <x:f>IF(COUNT(E2356:F2356)=2,E2356*F2356,"")</x:f>
        <x:v>414324.30000000005</x:v>
      </x:c>
    </x:row>
    <x:row r="2357">
      <x:c r="A2357" s="66" t="n">
        <x:v>17</x:v>
      </x:c>
      <x:c r="B2357" s="44" t="str">
        <x:v>Canola/Rapeseed</x:v>
      </x:c>
      <x:c r="C2357" s="44" t="str">
        <x:v>PV 780 TC</x:v>
      </x:c>
      <x:c r="D2357" s="66" t="n">
        <x:v>2021</x:v>
      </x:c>
      <x:c r="E2357" s="67" t="n">
        <x:v>482</x:v>
      </x:c>
      <x:c r="F2357" s="68" t="n">
        <x:v>21.5</x:v>
      </x:c>
      <x:c r="G2357" s="69" t="n">
        <x:f>IF(COUNT(E2357:F2357)=2,E2357*F2357,"")</x:f>
        <x:v>10363</x:v>
      </x:c>
    </x:row>
    <x:row r="2358">
      <x:c r="A2358" s="66" t="n">
        <x:v>17</x:v>
      </x:c>
      <x:c r="B2358" s="44" t="str">
        <x:v>Canola/Rapeseed</x:v>
      </x:c>
      <x:c r="C2358" s="44" t="str">
        <x:v>PV 780 TC</x:v>
      </x:c>
      <x:c r="D2358" s="66" t="n">
        <x:v>2022</x:v>
      </x:c>
      <x:c r="E2358" s="67" t="n">
        <x:v>974</x:v>
      </x:c>
      <x:c r="F2358" s="68" t="n">
        <x:v>41.7</x:v>
      </x:c>
      <x:c r="G2358" s="69" t="n">
        <x:f>IF(COUNT(E2358:F2358)=2,E2358*F2358,"")</x:f>
        <x:v>40615.8</x:v>
      </x:c>
    </x:row>
    <x:row r="2359">
      <x:c r="A2359" s="66" t="n">
        <x:v>17</x:v>
      </x:c>
      <x:c r="B2359" s="44" t="str">
        <x:v>Canola/Rapeseed</x:v>
      </x:c>
      <x:c r="C2359" s="44" t="str">
        <x:v>PV 780 TC</x:v>
      </x:c>
      <x:c r="D2359" s="66" t="n">
        <x:v>2023</x:v>
      </x:c>
      <x:c r="E2359" s="67" t="n">
        <x:v>708</x:v>
      </x:c>
      <x:c r="F2359" s="68" t="n">
        <x:v>45.2</x:v>
      </x:c>
      <x:c r="G2359" s="69" t="n">
        <x:f>IF(COUNT(E2359:F2359)=2,E2359*F2359,"")</x:f>
        <x:v>32001.600000000002</x:v>
      </x:c>
    </x:row>
    <x:row r="2360">
      <x:c r="A2360" s="66" t="n">
        <x:v>17</x:v>
      </x:c>
      <x:c r="B2360" s="44" t="str">
        <x:v>Canola/Rapeseed</x:v>
      </x:c>
      <x:c r="C2360" s="44" t="str">
        <x:v>PV 780 TC</x:v>
      </x:c>
      <x:c r="D2360" s="66" t="n">
        <x:v>2024</x:v>
      </x:c>
      <x:c r="E2360" s="67" t="n">
        <x:v>621</x:v>
      </x:c>
      <x:c r="F2360" s="68" t="n">
        <x:v>46.5</x:v>
      </x:c>
      <x:c r="G2360" s="69" t="n">
        <x:f>IF(COUNT(E2360:F2360)=2,E2360*F2360,"")</x:f>
        <x:v>28876.5</x:v>
      </x:c>
    </x:row>
    <x:row r="2361">
      <x:c r="A2361" s="66" t="n">
        <x:v>17</x:v>
      </x:c>
      <x:c r="B2361" s="44" t="str">
        <x:v>Canola/Rapeseed</x:v>
      </x:c>
      <x:c r="C2361" s="44" t="str">
        <x:v>PV 780 TC</x:v>
      </x:c>
      <x:c r="D2361" s="66" t="n">
        <x:v>2025</x:v>
      </x:c>
      <x:c r="E2361" s="67" t="n">
        <x:v>1586</x:v>
      </x:c>
      <x:c r="F2361" s="68" t="n">
        <x:v>58.2</x:v>
      </x:c>
      <x:c r="G2361" s="69" t="n">
        <x:f>IF(COUNT(E2361:F2361)=2,E2361*F2361,"")</x:f>
        <x:v>92305.20000000001</x:v>
      </x:c>
    </x:row>
    <x:row r="2362">
      <x:c r="A2362" s="66" t="n">
        <x:v>17</x:v>
      </x:c>
      <x:c r="B2362" s="44" t="str">
        <x:v>Canola/Rapeseed</x:v>
      </x:c>
      <x:c r="C2362" s="44" t="str">
        <x:v>PV 781 TCM</x:v>
      </x:c>
      <x:c r="D2362" s="66" t="n">
        <x:v>2021</x:v>
      </x:c>
      <x:c r="E2362" s="67"/>
      <x:c r="F2362" s="68"/>
      <x:c r="G2362" s="69" t="str">
        <x:f>IF(COUNT(E2362:F2362)=2,E2362*F2362,"")</x:f>
      </x:c>
    </x:row>
    <x:row r="2363">
      <x:c r="A2363" s="66" t="n">
        <x:v>17</x:v>
      </x:c>
      <x:c r="B2363" s="44" t="str">
        <x:v>Canola/Rapeseed</x:v>
      </x:c>
      <x:c r="C2363" s="44" t="str">
        <x:v>PV 781 TCM</x:v>
      </x:c>
      <x:c r="D2363" s="66" t="n">
        <x:v>2022</x:v>
      </x:c>
      <x:c r="E2363" s="67" t="n">
        <x:v>1351</x:v>
      </x:c>
      <x:c r="F2363" s="68" t="n">
        <x:v>44.6</x:v>
      </x:c>
      <x:c r="G2363" s="69" t="n">
        <x:f>IF(COUNT(E2363:F2363)=2,E2363*F2363,"")</x:f>
        <x:v>60254.6</x:v>
      </x:c>
    </x:row>
    <x:row r="2364">
      <x:c r="A2364" s="66" t="n">
        <x:v>17</x:v>
      </x:c>
      <x:c r="B2364" s="44" t="str">
        <x:v>Canola/Rapeseed</x:v>
      </x:c>
      <x:c r="C2364" s="44" t="str">
        <x:v>PV 781 TCM</x:v>
      </x:c>
      <x:c r="D2364" s="66" t="n">
        <x:v>2023</x:v>
      </x:c>
      <x:c r="E2364" s="67" t="n">
        <x:v>37923</x:v>
      </x:c>
      <x:c r="F2364" s="68" t="n">
        <x:v>46.5</x:v>
      </x:c>
      <x:c r="G2364" s="69" t="n">
        <x:f>IF(COUNT(E2364:F2364)=2,E2364*F2364,"")</x:f>
        <x:v>1763419.5</x:v>
      </x:c>
    </x:row>
    <x:row r="2365">
      <x:c r="A2365" s="66" t="n">
        <x:v>17</x:v>
      </x:c>
      <x:c r="B2365" s="44" t="str">
        <x:v>Canola/Rapeseed</x:v>
      </x:c>
      <x:c r="C2365" s="44" t="str">
        <x:v>PV 781 TCM</x:v>
      </x:c>
      <x:c r="D2365" s="66" t="n">
        <x:v>2024</x:v>
      </x:c>
      <x:c r="E2365" s="67" t="n">
        <x:v>34692</x:v>
      </x:c>
      <x:c r="F2365" s="68" t="n">
        <x:v>34.7</x:v>
      </x:c>
      <x:c r="G2365" s="69" t="n">
        <x:f>IF(COUNT(E2365:F2365)=2,E2365*F2365,"")</x:f>
        <x:v>1203812.4000000001</x:v>
      </x:c>
    </x:row>
    <x:row r="2366">
      <x:c r="A2366" s="66" t="n">
        <x:v>17</x:v>
      </x:c>
      <x:c r="B2366" s="44" t="str">
        <x:v>Canola/Rapeseed</x:v>
      </x:c>
      <x:c r="C2366" s="44" t="str">
        <x:v>PV 781 TCM</x:v>
      </x:c>
      <x:c r="D2366" s="66" t="n">
        <x:v>2025</x:v>
      </x:c>
      <x:c r="E2366" s="67" t="n">
        <x:v>20595</x:v>
      </x:c>
      <x:c r="F2366" s="68" t="n">
        <x:v>41.8</x:v>
      </x:c>
      <x:c r="G2366" s="69" t="n">
        <x:f>IF(COUNT(E2366:F2366)=2,E2366*F2366,"")</x:f>
        <x:v>860870.9999999999</x:v>
      </x:c>
    </x:row>
    <x:row r="2367">
      <x:c r="A2367" s="66" t="n">
        <x:v>17</x:v>
      </x:c>
      <x:c r="B2367" s="44" t="str">
        <x:v>Canola/Rapeseed</x:v>
      </x:c>
      <x:c r="C2367" s="44" t="str">
        <x:v>PV 782 TCN</x:v>
      </x:c>
      <x:c r="D2367" s="66" t="n">
        <x:v>2021</x:v>
      </x:c>
      <x:c r="E2367" s="67"/>
      <x:c r="F2367" s="68"/>
      <x:c r="G2367" s="69" t="str">
        <x:f>IF(COUNT(E2367:F2367)=2,E2367*F2367,"")</x:f>
      </x:c>
    </x:row>
    <x:row r="2368">
      <x:c r="A2368" s="66" t="n">
        <x:v>17</x:v>
      </x:c>
      <x:c r="B2368" s="44" t="str">
        <x:v>Canola/Rapeseed</x:v>
      </x:c>
      <x:c r="C2368" s="44" t="str">
        <x:v>PV 782 TCN</x:v>
      </x:c>
      <x:c r="D2368" s="66" t="n">
        <x:v>2022</x:v>
      </x:c>
      <x:c r="E2368" s="67"/>
      <x:c r="F2368" s="68"/>
      <x:c r="G2368" s="69" t="str">
        <x:f>IF(COUNT(E2368:F2368)=2,E2368*F2368,"")</x:f>
      </x:c>
    </x:row>
    <x:row r="2369">
      <x:c r="A2369" s="66" t="n">
        <x:v>17</x:v>
      </x:c>
      <x:c r="B2369" s="44" t="str">
        <x:v>Canola/Rapeseed</x:v>
      </x:c>
      <x:c r="C2369" s="44" t="str">
        <x:v>PV 782 TCN</x:v>
      </x:c>
      <x:c r="D2369" s="66" t="n">
        <x:v>2023</x:v>
      </x:c>
      <x:c r="E2369" s="67"/>
      <x:c r="F2369" s="68"/>
      <x:c r="G2369" s="69" t="str">
        <x:f>IF(COUNT(E2369:F2369)=2,E2369*F2369,"")</x:f>
      </x:c>
    </x:row>
    <x:row r="2370">
      <x:c r="A2370" s="66" t="n">
        <x:v>17</x:v>
      </x:c>
      <x:c r="B2370" s="44" t="str">
        <x:v>Canola/Rapeseed</x:v>
      </x:c>
      <x:c r="C2370" s="44" t="str">
        <x:v>PV 782 TCN</x:v>
      </x:c>
      <x:c r="D2370" s="66" t="n">
        <x:v>2024</x:v>
      </x:c>
      <x:c r="E2370" s="67" t="n">
        <x:v>747</x:v>
      </x:c>
      <x:c r="F2370" s="68" t="n">
        <x:v>32.8</x:v>
      </x:c>
      <x:c r="G2370" s="69" t="n">
        <x:f>IF(COUNT(E2370:F2370)=2,E2370*F2370,"")</x:f>
        <x:v>24501.6</x:v>
      </x:c>
    </x:row>
    <x:row r="2371">
      <x:c r="A2371" s="66" t="n">
        <x:v>17</x:v>
      </x:c>
      <x:c r="B2371" s="44" t="str">
        <x:v>Canola/Rapeseed</x:v>
      </x:c>
      <x:c r="C2371" s="44" t="str">
        <x:v>PV 782 TCN</x:v>
      </x:c>
      <x:c r="D2371" s="66" t="n">
        <x:v>2025</x:v>
      </x:c>
      <x:c r="E2371" s="67" t="n">
        <x:v>660</x:v>
      </x:c>
      <x:c r="F2371" s="68" t="n">
        <x:v>39.4</x:v>
      </x:c>
      <x:c r="G2371" s="69" t="n">
        <x:f>IF(COUNT(E2371:F2371)=2,E2371*F2371,"")</x:f>
        <x:v>26004</x:v>
      </x:c>
    </x:row>
    <x:row r="2372">
      <x:c r="A2372" s="66" t="n">
        <x:v>17</x:v>
      </x:c>
      <x:c r="B2372" s="44" t="str">
        <x:v>Canola/Rapeseed</x:v>
      </x:c>
      <x:c r="C2372" s="44" t="str">
        <x:v>PV661 LCM</x:v>
      </x:c>
      <x:c r="D2372" s="66" t="n">
        <x:v>2021</x:v>
      </x:c>
      <x:c r="E2372" s="67"/>
      <x:c r="F2372" s="68"/>
      <x:c r="G2372" s="69" t="str">
        <x:f>IF(COUNT(E2372:F2372)=2,E2372*F2372,"")</x:f>
      </x:c>
    </x:row>
    <x:row r="2373">
      <x:c r="A2373" s="66" t="n">
        <x:v>17</x:v>
      </x:c>
      <x:c r="B2373" s="44" t="str">
        <x:v>Canola/Rapeseed</x:v>
      </x:c>
      <x:c r="C2373" s="44" t="str">
        <x:v>PV661 LCM</x:v>
      </x:c>
      <x:c r="D2373" s="66" t="n">
        <x:v>2022</x:v>
      </x:c>
      <x:c r="E2373" s="67"/>
      <x:c r="F2373" s="68"/>
      <x:c r="G2373" s="69" t="str">
        <x:f>IF(COUNT(E2373:F2373)=2,E2373*F2373,"")</x:f>
      </x:c>
    </x:row>
    <x:row r="2374">
      <x:c r="A2374" s="66" t="n">
        <x:v>17</x:v>
      </x:c>
      <x:c r="B2374" s="44" t="str">
        <x:v>Canola/Rapeseed</x:v>
      </x:c>
      <x:c r="C2374" s="44" t="str">
        <x:v>PV661 LCM</x:v>
      </x:c>
      <x:c r="D2374" s="66" t="n">
        <x:v>2023</x:v>
      </x:c>
      <x:c r="E2374" s="67" t="n">
        <x:v>2807</x:v>
      </x:c>
      <x:c r="F2374" s="68" t="n">
        <x:v>48.5</x:v>
      </x:c>
      <x:c r="G2374" s="69" t="n">
        <x:f>IF(COUNT(E2374:F2374)=2,E2374*F2374,"")</x:f>
        <x:v>136139.5</x:v>
      </x:c>
    </x:row>
    <x:row r="2375">
      <x:c r="A2375" s="66" t="n">
        <x:v>17</x:v>
      </x:c>
      <x:c r="B2375" s="44" t="str">
        <x:v>Canola/Rapeseed</x:v>
      </x:c>
      <x:c r="C2375" s="44" t="str">
        <x:v>PV661 LCM</x:v>
      </x:c>
      <x:c r="D2375" s="66" t="n">
        <x:v>2024</x:v>
      </x:c>
      <x:c r="E2375" s="67" t="n">
        <x:v>3645</x:v>
      </x:c>
      <x:c r="F2375" s="68" t="n">
        <x:v>40</x:v>
      </x:c>
      <x:c r="G2375" s="69" t="n">
        <x:f>IF(COUNT(E2375:F2375)=2,E2375*F2375,"")</x:f>
        <x:v>145800</x:v>
      </x:c>
    </x:row>
    <x:row r="2376">
      <x:c r="A2376" s="66" t="n">
        <x:v>17</x:v>
      </x:c>
      <x:c r="B2376" s="44" t="str">
        <x:v>Canola/Rapeseed</x:v>
      </x:c>
      <x:c r="C2376" s="44" t="str">
        <x:v>PV661 LCM</x:v>
      </x:c>
      <x:c r="D2376" s="66" t="n">
        <x:v>2025</x:v>
      </x:c>
      <x:c r="E2376" s="67" t="n">
        <x:v>4284</x:v>
      </x:c>
      <x:c r="F2376" s="68" t="n">
        <x:v>41.4</x:v>
      </x:c>
      <x:c r="G2376" s="69" t="n">
        <x:f>IF(COUNT(E2376:F2376)=2,E2376*F2376,"")</x:f>
        <x:v>177357.6</x:v>
      </x:c>
    </x:row>
    <x:row r="2377">
      <x:c r="A2377" s="66" t="n">
        <x:v>17</x:v>
      </x:c>
      <x:c r="B2377" s="44" t="str">
        <x:v>Canola/Rapeseed</x:v>
      </x:c>
      <x:c r="C2377" s="44" t="str">
        <x:v>PV783</x:v>
      </x:c>
      <x:c r="D2377" s="66" t="n">
        <x:v>2021</x:v>
      </x:c>
      <x:c r="E2377" s="67"/>
      <x:c r="F2377" s="68"/>
      <x:c r="G2377" s="69" t="str">
        <x:f>IF(COUNT(E2377:F2377)=2,E2377*F2377,"")</x:f>
      </x:c>
    </x:row>
    <x:row r="2378">
      <x:c r="A2378" s="66" t="n">
        <x:v>17</x:v>
      </x:c>
      <x:c r="B2378" s="44" t="str">
        <x:v>Canola/Rapeseed</x:v>
      </x:c>
      <x:c r="C2378" s="44" t="str">
        <x:v>PV783</x:v>
      </x:c>
      <x:c r="D2378" s="66" t="n">
        <x:v>2022</x:v>
      </x:c>
      <x:c r="E2378" s="67"/>
      <x:c r="F2378" s="68"/>
      <x:c r="G2378" s="69" t="str">
        <x:f>IF(COUNT(E2378:F2378)=2,E2378*F2378,"")</x:f>
      </x:c>
    </x:row>
    <x:row r="2379">
      <x:c r="A2379" s="66" t="n">
        <x:v>17</x:v>
      </x:c>
      <x:c r="B2379" s="44" t="str">
        <x:v>Canola/Rapeseed</x:v>
      </x:c>
      <x:c r="C2379" s="44" t="str">
        <x:v>PV783</x:v>
      </x:c>
      <x:c r="D2379" s="66" t="n">
        <x:v>2023</x:v>
      </x:c>
      <x:c r="E2379" s="67"/>
      <x:c r="F2379" s="68"/>
      <x:c r="G2379" s="69" t="str">
        <x:f>IF(COUNT(E2379:F2379)=2,E2379*F2379,"")</x:f>
      </x:c>
    </x:row>
    <x:row r="2380">
      <x:c r="A2380" s="66" t="n">
        <x:v>17</x:v>
      </x:c>
      <x:c r="B2380" s="44" t="str">
        <x:v>Canola/Rapeseed</x:v>
      </x:c>
      <x:c r="C2380" s="44" t="str">
        <x:v>PV783</x:v>
      </x:c>
      <x:c r="D2380" s="66" t="n">
        <x:v>2024</x:v>
      </x:c>
      <x:c r="E2380" s="67"/>
      <x:c r="F2380" s="68"/>
      <x:c r="G2380" s="69" t="str">
        <x:f>IF(COUNT(E2380:F2380)=2,E2380*F2380,"")</x:f>
      </x:c>
    </x:row>
    <x:row r="2381">
      <x:c r="A2381" s="66" t="n">
        <x:v>17</x:v>
      </x:c>
      <x:c r="B2381" s="44" t="str">
        <x:v>Canola/Rapeseed</x:v>
      </x:c>
      <x:c r="C2381" s="44" t="str">
        <x:v>PV783</x:v>
      </x:c>
      <x:c r="D2381" s="66" t="n">
        <x:v>2025</x:v>
      </x:c>
      <x:c r="E2381" s="67" t="n">
        <x:v>12741</x:v>
      </x:c>
      <x:c r="F2381" s="68" t="n">
        <x:v>45.3</x:v>
      </x:c>
      <x:c r="G2381" s="69" t="n">
        <x:f>IF(COUNT(E2381:F2381)=2,E2381*F2381,"")</x:f>
        <x:v>577167.2999999999</x:v>
      </x:c>
    </x:row>
    <x:row r="2382">
      <x:c r="A2382" s="66" t="n">
        <x:v>17</x:v>
      </x:c>
      <x:c r="B2382" s="44" t="str">
        <x:v>Canola/Rapeseed</x:v>
      </x:c>
      <x:c r="C2382" s="44" t="str">
        <x:v>P1530G</x:v>
      </x:c>
      <x:c r="D2382" s="66" t="n">
        <x:v>2021</x:v>
      </x:c>
      <x:c r="E2382" s="67"/>
      <x:c r="F2382" s="68"/>
      <x:c r="G2382" s="69" t="str">
        <x:f>IF(COUNT(E2382:F2382)=2,E2382*F2382,"")</x:f>
      </x:c>
    </x:row>
    <x:row r="2383">
      <x:c r="A2383" s="66" t="n">
        <x:v>17</x:v>
      </x:c>
      <x:c r="B2383" s="44" t="str">
        <x:v>Canola/Rapeseed</x:v>
      </x:c>
      <x:c r="C2383" s="44" t="str">
        <x:v>P1530G</x:v>
      </x:c>
      <x:c r="D2383" s="66" t="n">
        <x:v>2022</x:v>
      </x:c>
      <x:c r="E2383" s="67"/>
      <x:c r="F2383" s="68"/>
      <x:c r="G2383" s="69" t="str">
        <x:f>IF(COUNT(E2383:F2383)=2,E2383*F2383,"")</x:f>
      </x:c>
    </x:row>
    <x:row r="2384">
      <x:c r="A2384" s="66" t="n">
        <x:v>17</x:v>
      </x:c>
      <x:c r="B2384" s="44" t="str">
        <x:v>Canola/Rapeseed</x:v>
      </x:c>
      <x:c r="C2384" s="44" t="str">
        <x:v>P1530G</x:v>
      </x:c>
      <x:c r="D2384" s="66" t="n">
        <x:v>2023</x:v>
      </x:c>
      <x:c r="E2384" s="67"/>
      <x:c r="F2384" s="68"/>
      <x:c r="G2384" s="69" t="str">
        <x:f>IF(COUNT(E2384:F2384)=2,E2384*F2384,"")</x:f>
      </x:c>
    </x:row>
    <x:row r="2385">
      <x:c r="A2385" s="66" t="n">
        <x:v>17</x:v>
      </x:c>
      <x:c r="B2385" s="44" t="str">
        <x:v>Canola/Rapeseed</x:v>
      </x:c>
      <x:c r="C2385" s="44" t="str">
        <x:v>P1530G</x:v>
      </x:c>
      <x:c r="D2385" s="66" t="n">
        <x:v>2024</x:v>
      </x:c>
      <x:c r="E2385" s="67"/>
      <x:c r="F2385" s="68"/>
      <x:c r="G2385" s="69" t="str">
        <x:f>IF(COUNT(E2385:F2385)=2,E2385*F2385,"")</x:f>
      </x:c>
    </x:row>
    <x:row r="2386">
      <x:c r="A2386" s="66" t="n">
        <x:v>17</x:v>
      </x:c>
      <x:c r="B2386" s="44" t="str">
        <x:v>Canola/Rapeseed</x:v>
      </x:c>
      <x:c r="C2386" s="44" t="str">
        <x:v>P1530G</x:v>
      </x:c>
      <x:c r="D2386" s="66" t="n">
        <x:v>2025</x:v>
      </x:c>
      <x:c r="E2386" s="67" t="n">
        <x:v>2665</x:v>
      </x:c>
      <x:c r="F2386" s="68" t="n">
        <x:v>51.7</x:v>
      </x:c>
      <x:c r="G2386" s="69" t="n">
        <x:f>IF(COUNT(E2386:F2386)=2,E2386*F2386,"")</x:f>
        <x:v>137780.5</x:v>
      </x:c>
    </x:row>
    <x:row r="2387">
      <x:c r="A2387" s="66" t="n">
        <x:v>17</x:v>
      </x:c>
      <x:c r="B2387" s="44" t="str">
        <x:v>Canola/Rapeseed</x:v>
      </x:c>
      <x:c r="C2387" s="44" t="str">
        <x:v>P1540L</x:v>
      </x:c>
      <x:c r="D2387" s="66" t="n">
        <x:v>2021</x:v>
      </x:c>
      <x:c r="E2387" s="67"/>
      <x:c r="F2387" s="68"/>
      <x:c r="G2387" s="69" t="str">
        <x:f>IF(COUNT(E2387:F2387)=2,E2387*F2387,"")</x:f>
      </x:c>
    </x:row>
    <x:row r="2388">
      <x:c r="A2388" s="66" t="n">
        <x:v>17</x:v>
      </x:c>
      <x:c r="B2388" s="44" t="str">
        <x:v>Canola/Rapeseed</x:v>
      </x:c>
      <x:c r="C2388" s="44" t="str">
        <x:v>P1540L</x:v>
      </x:c>
      <x:c r="D2388" s="66" t="n">
        <x:v>2022</x:v>
      </x:c>
      <x:c r="E2388" s="67"/>
      <x:c r="F2388" s="68"/>
      <x:c r="G2388" s="69" t="str">
        <x:f>IF(COUNT(E2388:F2388)=2,E2388*F2388,"")</x:f>
      </x:c>
    </x:row>
    <x:row r="2389">
      <x:c r="A2389" s="66" t="n">
        <x:v>17</x:v>
      </x:c>
      <x:c r="B2389" s="44" t="str">
        <x:v>Canola/Rapeseed</x:v>
      </x:c>
      <x:c r="C2389" s="44" t="str">
        <x:v>P1540L</x:v>
      </x:c>
      <x:c r="D2389" s="66" t="n">
        <x:v>2023</x:v>
      </x:c>
      <x:c r="E2389" s="67"/>
      <x:c r="F2389" s="68"/>
      <x:c r="G2389" s="69" t="str">
        <x:f>IF(COUNT(E2389:F2389)=2,E2389*F2389,"")</x:f>
      </x:c>
    </x:row>
    <x:row r="2390">
      <x:c r="A2390" s="66" t="n">
        <x:v>17</x:v>
      </x:c>
      <x:c r="B2390" s="44" t="str">
        <x:v>Canola/Rapeseed</x:v>
      </x:c>
      <x:c r="C2390" s="44" t="str">
        <x:v>P1540L</x:v>
      </x:c>
      <x:c r="D2390" s="66" t="n">
        <x:v>2024</x:v>
      </x:c>
      <x:c r="E2390" s="67"/>
      <x:c r="F2390" s="68"/>
      <x:c r="G2390" s="69" t="str">
        <x:f>IF(COUNT(E2390:F2390)=2,E2390*F2390,"")</x:f>
      </x:c>
    </x:row>
    <x:row r="2391">
      <x:c r="A2391" s="66" t="n">
        <x:v>17</x:v>
      </x:c>
      <x:c r="B2391" s="44" t="str">
        <x:v>Canola/Rapeseed</x:v>
      </x:c>
      <x:c r="C2391" s="44" t="str">
        <x:v>P1540L</x:v>
      </x:c>
      <x:c r="D2391" s="66" t="n">
        <x:v>2025</x:v>
      </x:c>
      <x:c r="E2391" s="67" t="n">
        <x:v>2943</x:v>
      </x:c>
      <x:c r="F2391" s="68" t="n">
        <x:v>50.3</x:v>
      </x:c>
      <x:c r="G2391" s="69" t="n">
        <x:f>IF(COUNT(E2391:F2391)=2,E2391*F2391,"")</x:f>
        <x:v>148032.9</x:v>
      </x:c>
    </x:row>
    <x:row r="2392">
      <x:c r="A2392" s="66" t="n">
        <x:v>17</x:v>
      </x:c>
      <x:c r="B2392" s="44" t="str">
        <x:v>Canola/Rapeseed</x:v>
      </x:c>
      <x:c r="C2392" s="44" t="str">
        <x:v>P501L</x:v>
      </x:c>
      <x:c r="D2392" s="66" t="n">
        <x:v>2021</x:v>
      </x:c>
      <x:c r="E2392" s="67" t="n">
        <x:v>32211</x:v>
      </x:c>
      <x:c r="F2392" s="68" t="n">
        <x:v>28.7</x:v>
      </x:c>
      <x:c r="G2392" s="69" t="n">
        <x:f>IF(COUNT(E2392:F2392)=2,E2392*F2392,"")</x:f>
        <x:v>924455.7</x:v>
      </x:c>
    </x:row>
    <x:row r="2393">
      <x:c r="A2393" s="66" t="n">
        <x:v>17</x:v>
      </x:c>
      <x:c r="B2393" s="44" t="str">
        <x:v>Canola/Rapeseed</x:v>
      </x:c>
      <x:c r="C2393" s="44" t="str">
        <x:v>P501L</x:v>
      </x:c>
      <x:c r="D2393" s="66" t="n">
        <x:v>2022</x:v>
      </x:c>
      <x:c r="E2393" s="67" t="n">
        <x:v>11256</x:v>
      </x:c>
      <x:c r="F2393" s="68" t="n">
        <x:v>47.7</x:v>
      </x:c>
      <x:c r="G2393" s="69" t="n">
        <x:f>IF(COUNT(E2393:F2393)=2,E2393*F2393,"")</x:f>
        <x:v>536911.2000000001</x:v>
      </x:c>
    </x:row>
    <x:row r="2394">
      <x:c r="A2394" s="66" t="n">
        <x:v>17</x:v>
      </x:c>
      <x:c r="B2394" s="44" t="str">
        <x:v>Canola/Rapeseed</x:v>
      </x:c>
      <x:c r="C2394" s="44" t="str">
        <x:v>P501L</x:v>
      </x:c>
      <x:c r="D2394" s="66" t="n">
        <x:v>2023</x:v>
      </x:c>
      <x:c r="E2394" s="67" t="n">
        <x:v>10640</x:v>
      </x:c>
      <x:c r="F2394" s="68" t="n">
        <x:v>51.8</x:v>
      </x:c>
      <x:c r="G2394" s="69" t="n">
        <x:f>IF(COUNT(E2394:F2394)=2,E2394*F2394,"")</x:f>
        <x:v>551152</x:v>
      </x:c>
    </x:row>
    <x:row r="2395">
      <x:c r="A2395" s="66" t="n">
        <x:v>17</x:v>
      </x:c>
      <x:c r="B2395" s="44" t="str">
        <x:v>Canola/Rapeseed</x:v>
      </x:c>
      <x:c r="C2395" s="44" t="str">
        <x:v>P501L</x:v>
      </x:c>
      <x:c r="D2395" s="66" t="n">
        <x:v>2024</x:v>
      </x:c>
      <x:c r="E2395" s="67" t="n">
        <x:v>1977</x:v>
      </x:c>
      <x:c r="F2395" s="68" t="n">
        <x:v>41.9</x:v>
      </x:c>
      <x:c r="G2395" s="69" t="n">
        <x:f>IF(COUNT(E2395:F2395)=2,E2395*F2395,"")</x:f>
        <x:v>82836.3</x:v>
      </x:c>
    </x:row>
    <x:row r="2396">
      <x:c r="A2396" s="66" t="n">
        <x:v>17</x:v>
      </x:c>
      <x:c r="B2396" s="44" t="str">
        <x:v>Canola/Rapeseed</x:v>
      </x:c>
      <x:c r="C2396" s="44" t="str">
        <x:v>P501L</x:v>
      </x:c>
      <x:c r="D2396" s="66" t="n">
        <x:v>2025</x:v>
      </x:c>
      <x:c r="E2396" s="67" t="n">
        <x:v>475</x:v>
      </x:c>
      <x:c r="F2396" s="68" t="n">
        <x:v>39.7</x:v>
      </x:c>
      <x:c r="G2396" s="69" t="n">
        <x:f>IF(COUNT(E2396:F2396)=2,E2396*F2396,"")</x:f>
        <x:v>18857.5</x:v>
      </x:c>
    </x:row>
    <x:row r="2397">
      <x:c r="A2397" s="66" t="n">
        <x:v>17</x:v>
      </x:c>
      <x:c r="B2397" s="44" t="str">
        <x:v>Canola/Rapeseed</x:v>
      </x:c>
      <x:c r="C2397" s="44" t="str">
        <x:v>P505MSL</x:v>
      </x:c>
      <x:c r="D2397" s="66" t="n">
        <x:v>2021</x:v>
      </x:c>
      <x:c r="E2397" s="67" t="n">
        <x:v>5012</x:v>
      </x:c>
      <x:c r="F2397" s="68" t="n">
        <x:v>32.6</x:v>
      </x:c>
      <x:c r="G2397" s="69" t="n">
        <x:f>IF(COUNT(E2397:F2397)=2,E2397*F2397,"")</x:f>
        <x:v>163391.2</x:v>
      </x:c>
    </x:row>
    <x:row r="2398">
      <x:c r="A2398" s="66" t="n">
        <x:v>17</x:v>
      </x:c>
      <x:c r="B2398" s="44" t="str">
        <x:v>Canola/Rapeseed</x:v>
      </x:c>
      <x:c r="C2398" s="44" t="str">
        <x:v>P505MSL</x:v>
      </x:c>
      <x:c r="D2398" s="66" t="n">
        <x:v>2022</x:v>
      </x:c>
      <x:c r="E2398" s="67" t="n">
        <x:v>3294</x:v>
      </x:c>
      <x:c r="F2398" s="68" t="n">
        <x:v>49.5</x:v>
      </x:c>
      <x:c r="G2398" s="69" t="n">
        <x:f>IF(COUNT(E2398:F2398)=2,E2398*F2398,"")</x:f>
        <x:v>163053</x:v>
      </x:c>
    </x:row>
    <x:row r="2399">
      <x:c r="A2399" s="66" t="n">
        <x:v>17</x:v>
      </x:c>
      <x:c r="B2399" s="44" t="str">
        <x:v>Canola/Rapeseed</x:v>
      </x:c>
      <x:c r="C2399" s="44" t="str">
        <x:v>P505MSL</x:v>
      </x:c>
      <x:c r="D2399" s="66" t="n">
        <x:v>2023</x:v>
      </x:c>
      <x:c r="E2399" s="67" t="n">
        <x:v>11629</x:v>
      </x:c>
      <x:c r="F2399" s="68" t="n">
        <x:v>53.5</x:v>
      </x:c>
      <x:c r="G2399" s="69" t="n">
        <x:f>IF(COUNT(E2399:F2399)=2,E2399*F2399,"")</x:f>
        <x:v>622151.5</x:v>
      </x:c>
    </x:row>
    <x:row r="2400">
      <x:c r="A2400" s="66" t="n">
        <x:v>17</x:v>
      </x:c>
      <x:c r="B2400" s="44" t="str">
        <x:v>Canola/Rapeseed</x:v>
      </x:c>
      <x:c r="C2400" s="44" t="str">
        <x:v>P505MSL</x:v>
      </x:c>
      <x:c r="D2400" s="66" t="n">
        <x:v>2024</x:v>
      </x:c>
      <x:c r="E2400" s="67" t="n">
        <x:v>14094</x:v>
      </x:c>
      <x:c r="F2400" s="68" t="n">
        <x:v>39.5</x:v>
      </x:c>
      <x:c r="G2400" s="69" t="n">
        <x:f>IF(COUNT(E2400:F2400)=2,E2400*F2400,"")</x:f>
        <x:v>556713</x:v>
      </x:c>
    </x:row>
    <x:row r="2401">
      <x:c r="A2401" s="66" t="n">
        <x:v>17</x:v>
      </x:c>
      <x:c r="B2401" s="44" t="str">
        <x:v>Canola/Rapeseed</x:v>
      </x:c>
      <x:c r="C2401" s="44" t="str">
        <x:v>P505MSL</x:v>
      </x:c>
      <x:c r="D2401" s="66" t="n">
        <x:v>2025</x:v>
      </x:c>
      <x:c r="E2401" s="67" t="n">
        <x:v>12900</x:v>
      </x:c>
      <x:c r="F2401" s="68" t="n">
        <x:v>49.4</x:v>
      </x:c>
      <x:c r="G2401" s="69" t="n">
        <x:f>IF(COUNT(E2401:F2401)=2,E2401*F2401,"")</x:f>
        <x:v>637260</x:v>
      </x:c>
    </x:row>
    <x:row r="2402">
      <x:c r="A2402" s="66" t="n">
        <x:v>17</x:v>
      </x:c>
      <x:c r="B2402" s="44" t="str">
        <x:v>Canola/Rapeseed</x:v>
      </x:c>
      <x:c r="C2402" s="44" t="str">
        <x:v>P508CL</x:v>
      </x:c>
      <x:c r="D2402" s="66" t="n">
        <x:v>2021</x:v>
      </x:c>
      <x:c r="E2402" s="67"/>
      <x:c r="F2402" s="68"/>
      <x:c r="G2402" s="69" t="str">
        <x:f>IF(COUNT(E2402:F2402)=2,E2402*F2402,"")</x:f>
      </x:c>
    </x:row>
    <x:row r="2403">
      <x:c r="A2403" s="66" t="n">
        <x:v>17</x:v>
      </x:c>
      <x:c r="B2403" s="44" t="str">
        <x:v>Canola/Rapeseed</x:v>
      </x:c>
      <x:c r="C2403" s="44" t="str">
        <x:v>P508CL</x:v>
      </x:c>
      <x:c r="D2403" s="66" t="n">
        <x:v>2022</x:v>
      </x:c>
      <x:c r="E2403" s="67"/>
      <x:c r="F2403" s="68"/>
      <x:c r="G2403" s="69" t="str">
        <x:f>IF(COUNT(E2403:F2403)=2,E2403*F2403,"")</x:f>
      </x:c>
    </x:row>
    <x:row r="2404">
      <x:c r="A2404" s="66" t="n">
        <x:v>17</x:v>
      </x:c>
      <x:c r="B2404" s="44" t="str">
        <x:v>Canola/Rapeseed</x:v>
      </x:c>
      <x:c r="C2404" s="44" t="str">
        <x:v>P508CL</x:v>
      </x:c>
      <x:c r="D2404" s="66" t="n">
        <x:v>2023</x:v>
      </x:c>
      <x:c r="E2404" s="67"/>
      <x:c r="F2404" s="68"/>
      <x:c r="G2404" s="69" t="str">
        <x:f>IF(COUNT(E2404:F2404)=2,E2404*F2404,"")</x:f>
      </x:c>
    </x:row>
    <x:row r="2405">
      <x:c r="A2405" s="66" t="n">
        <x:v>17</x:v>
      </x:c>
      <x:c r="B2405" s="44" t="str">
        <x:v>Canola/Rapeseed</x:v>
      </x:c>
      <x:c r="C2405" s="44" t="str">
        <x:v>P508CL</x:v>
      </x:c>
      <x:c r="D2405" s="66" t="n">
        <x:v>2024</x:v>
      </x:c>
      <x:c r="E2405" s="67"/>
      <x:c r="F2405" s="68"/>
      <x:c r="G2405" s="69" t="str">
        <x:f>IF(COUNT(E2405:F2405)=2,E2405*F2405,"")</x:f>
      </x:c>
    </x:row>
    <x:row r="2406">
      <x:c r="A2406" s="66" t="n">
        <x:v>17</x:v>
      </x:c>
      <x:c r="B2406" s="44" t="str">
        <x:v>Canola/Rapeseed</x:v>
      </x:c>
      <x:c r="C2406" s="44" t="str">
        <x:v>P508CL</x:v>
      </x:c>
      <x:c r="D2406" s="66" t="n">
        <x:v>2025</x:v>
      </x:c>
      <x:c r="E2406" s="67" t="n">
        <x:v>14459</x:v>
      </x:c>
      <x:c r="F2406" s="68" t="n">
        <x:v>47.5</x:v>
      </x:c>
      <x:c r="G2406" s="69" t="n">
        <x:f>IF(COUNT(E2406:F2406)=2,E2406*F2406,"")</x:f>
        <x:v>686802.5</x:v>
      </x:c>
    </x:row>
    <x:row r="2407">
      <x:c r="A2407" s="66" t="n">
        <x:v>17</x:v>
      </x:c>
      <x:c r="B2407" s="44" t="str">
        <x:v>Canola/Rapeseed</x:v>
      </x:c>
      <x:c r="C2407" s="44" t="str">
        <x:v>P508MCL</x:v>
      </x:c>
      <x:c r="D2407" s="66" t="n">
        <x:v>2021</x:v>
      </x:c>
      <x:c r="E2407" s="67" t="n">
        <x:v>19452</x:v>
      </x:c>
      <x:c r="F2407" s="68" t="n">
        <x:v>27.7</x:v>
      </x:c>
      <x:c r="G2407" s="69" t="n">
        <x:f>IF(COUNT(E2407:F2407)=2,E2407*F2407,"")</x:f>
        <x:v>538820.4</x:v>
      </x:c>
    </x:row>
    <x:row r="2408">
      <x:c r="A2408" s="66" t="n">
        <x:v>17</x:v>
      </x:c>
      <x:c r="B2408" s="44" t="str">
        <x:v>Canola/Rapeseed</x:v>
      </x:c>
      <x:c r="C2408" s="44" t="str">
        <x:v>P508MCL</x:v>
      </x:c>
      <x:c r="D2408" s="66" t="n">
        <x:v>2022</x:v>
      </x:c>
      <x:c r="E2408" s="67" t="n">
        <x:v>15495</x:v>
      </x:c>
      <x:c r="F2408" s="68" t="n">
        <x:v>49.4</x:v>
      </x:c>
      <x:c r="G2408" s="69" t="n">
        <x:f>IF(COUNT(E2408:F2408)=2,E2408*F2408,"")</x:f>
        <x:v>765453</x:v>
      </x:c>
    </x:row>
    <x:row r="2409">
      <x:c r="A2409" s="66" t="n">
        <x:v>17</x:v>
      </x:c>
      <x:c r="B2409" s="44" t="str">
        <x:v>Canola/Rapeseed</x:v>
      </x:c>
      <x:c r="C2409" s="44" t="str">
        <x:v>P508MCL</x:v>
      </x:c>
      <x:c r="D2409" s="66" t="n">
        <x:v>2023</x:v>
      </x:c>
      <x:c r="E2409" s="67" t="n">
        <x:v>15954</x:v>
      </x:c>
      <x:c r="F2409" s="68" t="n">
        <x:v>49.5</x:v>
      </x:c>
      <x:c r="G2409" s="69" t="n">
        <x:f>IF(COUNT(E2409:F2409)=2,E2409*F2409,"")</x:f>
        <x:v>789723</x:v>
      </x:c>
    </x:row>
    <x:row r="2410">
      <x:c r="A2410" s="66" t="n">
        <x:v>17</x:v>
      </x:c>
      <x:c r="B2410" s="44" t="str">
        <x:v>Canola/Rapeseed</x:v>
      </x:c>
      <x:c r="C2410" s="44" t="str">
        <x:v>P508MCL</x:v>
      </x:c>
      <x:c r="D2410" s="66" t="n">
        <x:v>2024</x:v>
      </x:c>
      <x:c r="E2410" s="67" t="n">
        <x:v>15376</x:v>
      </x:c>
      <x:c r="F2410" s="68" t="n">
        <x:v>39.9</x:v>
      </x:c>
      <x:c r="G2410" s="69" t="n">
        <x:f>IF(COUNT(E2410:F2410)=2,E2410*F2410,"")</x:f>
        <x:v>613502.4</x:v>
      </x:c>
    </x:row>
    <x:row r="2411">
      <x:c r="A2411" s="66" t="n">
        <x:v>17</x:v>
      </x:c>
      <x:c r="B2411" s="44" t="str">
        <x:v>Canola/Rapeseed</x:v>
      </x:c>
      <x:c r="C2411" s="44" t="str">
        <x:v>P508MCL</x:v>
      </x:c>
      <x:c r="D2411" s="66" t="n">
        <x:v>2025</x:v>
      </x:c>
      <x:c r="E2411" s="67" t="n">
        <x:v>8396</x:v>
      </x:c>
      <x:c r="F2411" s="68" t="n">
        <x:v>47.8</x:v>
      </x:c>
      <x:c r="G2411" s="69" t="n">
        <x:f>IF(COUNT(E2411:F2411)=2,E2411*F2411,"")</x:f>
        <x:v>401328.8</x:v>
      </x:c>
    </x:row>
    <x:row r="2412">
      <x:c r="A2412" s="66" t="n">
        <x:v>17</x:v>
      </x:c>
      <x:c r="B2412" s="44" t="str">
        <x:v>Canola/Rapeseed</x:v>
      </x:c>
      <x:c r="C2412" s="44" t="str">
        <x:v>P510G</x:v>
      </x:c>
      <x:c r="D2412" s="66" t="n">
        <x:v>2021</x:v>
      </x:c>
      <x:c r="E2412" s="67"/>
      <x:c r="F2412" s="68"/>
      <x:c r="G2412" s="69" t="str">
        <x:f>IF(COUNT(E2412:F2412)=2,E2412*F2412,"")</x:f>
      </x:c>
    </x:row>
    <x:row r="2413">
      <x:c r="A2413" s="66" t="n">
        <x:v>17</x:v>
      </x:c>
      <x:c r="B2413" s="44" t="str">
        <x:v>Canola/Rapeseed</x:v>
      </x:c>
      <x:c r="C2413" s="44" t="str">
        <x:v>P510G</x:v>
      </x:c>
      <x:c r="D2413" s="66" t="n">
        <x:v>2022</x:v>
      </x:c>
      <x:c r="E2413" s="67"/>
      <x:c r="F2413" s="68"/>
      <x:c r="G2413" s="69" t="str">
        <x:f>IF(COUNT(E2413:F2413)=2,E2413*F2413,"")</x:f>
      </x:c>
    </x:row>
    <x:row r="2414">
      <x:c r="A2414" s="66" t="n">
        <x:v>17</x:v>
      </x:c>
      <x:c r="B2414" s="44" t="str">
        <x:v>Canola/Rapeseed</x:v>
      </x:c>
      <x:c r="C2414" s="44" t="str">
        <x:v>P510G</x:v>
      </x:c>
      <x:c r="D2414" s="66" t="n">
        <x:v>2023</x:v>
      </x:c>
      <x:c r="E2414" s="67"/>
      <x:c r="F2414" s="68"/>
      <x:c r="G2414" s="69" t="str">
        <x:f>IF(COUNT(E2414:F2414)=2,E2414*F2414,"")</x:f>
      </x:c>
    </x:row>
    <x:row r="2415">
      <x:c r="A2415" s="66" t="n">
        <x:v>17</x:v>
      </x:c>
      <x:c r="B2415" s="44" t="str">
        <x:v>Canola/Rapeseed</x:v>
      </x:c>
      <x:c r="C2415" s="44" t="str">
        <x:v>P510G</x:v>
      </x:c>
      <x:c r="D2415" s="66" t="n">
        <x:v>2024</x:v>
      </x:c>
      <x:c r="E2415" s="67" t="n">
        <x:v>4028</x:v>
      </x:c>
      <x:c r="F2415" s="68" t="n">
        <x:v>39.9</x:v>
      </x:c>
      <x:c r="G2415" s="69" t="n">
        <x:f>IF(COUNT(E2415:F2415)=2,E2415*F2415,"")</x:f>
        <x:v>160717.19999999998</x:v>
      </x:c>
    </x:row>
    <x:row r="2416">
      <x:c r="A2416" s="66" t="n">
        <x:v>17</x:v>
      </x:c>
      <x:c r="B2416" s="44" t="str">
        <x:v>Canola/Rapeseed</x:v>
      </x:c>
      <x:c r="C2416" s="44" t="str">
        <x:v>P510G</x:v>
      </x:c>
      <x:c r="D2416" s="66" t="n">
        <x:v>2025</x:v>
      </x:c>
      <x:c r="E2416" s="67" t="n">
        <x:v>2197</x:v>
      </x:c>
      <x:c r="F2416" s="68" t="n">
        <x:v>46.1</x:v>
      </x:c>
      <x:c r="G2416" s="69" t="n">
        <x:f>IF(COUNT(E2416:F2416)=2,E2416*F2416,"")</x:f>
        <x:v>101281.7</x:v>
      </x:c>
    </x:row>
    <x:row r="2417">
      <x:c r="A2417" s="66" t="n">
        <x:v>17</x:v>
      </x:c>
      <x:c r="B2417" s="44" t="str">
        <x:v>Canola/Rapeseed</x:v>
      </x:c>
      <x:c r="C2417" s="44" t="str">
        <x:v>P514CL</x:v>
      </x:c>
      <x:c r="D2417" s="66" t="n">
        <x:v>2021</x:v>
      </x:c>
      <x:c r="E2417" s="67"/>
      <x:c r="F2417" s="68"/>
      <x:c r="G2417" s="69" t="str">
        <x:f>IF(COUNT(E2417:F2417)=2,E2417*F2417,"")</x:f>
      </x:c>
    </x:row>
    <x:row r="2418">
      <x:c r="A2418" s="66" t="n">
        <x:v>17</x:v>
      </x:c>
      <x:c r="B2418" s="44" t="str">
        <x:v>Canola/Rapeseed</x:v>
      </x:c>
      <x:c r="C2418" s="44" t="str">
        <x:v>P514CL</x:v>
      </x:c>
      <x:c r="D2418" s="66" t="n">
        <x:v>2022</x:v>
      </x:c>
      <x:c r="E2418" s="67"/>
      <x:c r="F2418" s="68"/>
      <x:c r="G2418" s="69" t="str">
        <x:f>IF(COUNT(E2418:F2418)=2,E2418*F2418,"")</x:f>
      </x:c>
    </x:row>
    <x:row r="2419">
      <x:c r="A2419" s="66" t="n">
        <x:v>17</x:v>
      </x:c>
      <x:c r="B2419" s="44" t="str">
        <x:v>Canola/Rapeseed</x:v>
      </x:c>
      <x:c r="C2419" s="44" t="str">
        <x:v>P514CL</x:v>
      </x:c>
      <x:c r="D2419" s="66" t="n">
        <x:v>2023</x:v>
      </x:c>
      <x:c r="E2419" s="67" t="n">
        <x:v>8319</x:v>
      </x:c>
      <x:c r="F2419" s="68" t="n">
        <x:v>50.5</x:v>
      </x:c>
      <x:c r="G2419" s="69" t="n">
        <x:f>IF(COUNT(E2419:F2419)=2,E2419*F2419,"")</x:f>
        <x:v>420109.5</x:v>
      </x:c>
    </x:row>
    <x:row r="2420">
      <x:c r="A2420" s="66" t="n">
        <x:v>17</x:v>
      </x:c>
      <x:c r="B2420" s="44" t="str">
        <x:v>Canola/Rapeseed</x:v>
      </x:c>
      <x:c r="C2420" s="44" t="str">
        <x:v>P514CL</x:v>
      </x:c>
      <x:c r="D2420" s="66" t="n">
        <x:v>2024</x:v>
      </x:c>
      <x:c r="E2420" s="67" t="n">
        <x:v>4919</x:v>
      </x:c>
      <x:c r="F2420" s="68" t="n">
        <x:v>38.5</x:v>
      </x:c>
      <x:c r="G2420" s="69" t="n">
        <x:f>IF(COUNT(E2420:F2420)=2,E2420*F2420,"")</x:f>
        <x:v>189381.5</x:v>
      </x:c>
    </x:row>
    <x:row r="2421">
      <x:c r="A2421" s="66" t="n">
        <x:v>17</x:v>
      </x:c>
      <x:c r="B2421" s="44" t="str">
        <x:v>Canola/Rapeseed</x:v>
      </x:c>
      <x:c r="C2421" s="44" t="str">
        <x:v>P514CL</x:v>
      </x:c>
      <x:c r="D2421" s="66" t="n">
        <x:v>2025</x:v>
      </x:c>
      <x:c r="E2421" s="67" t="n">
        <x:v>2628</x:v>
      </x:c>
      <x:c r="F2421" s="68" t="n">
        <x:v>50.7</x:v>
      </x:c>
      <x:c r="G2421" s="69" t="n">
        <x:f>IF(COUNT(E2421:F2421)=2,E2421*F2421,"")</x:f>
        <x:v>133239.6</x:v>
      </x:c>
    </x:row>
    <x:row r="2422">
      <x:c r="A2422" s="66" t="n">
        <x:v>17</x:v>
      </x:c>
      <x:c r="B2422" s="44" t="str">
        <x:v>Canola/Rapeseed</x:v>
      </x:c>
      <x:c r="C2422" s="44" t="str">
        <x:v>P515G</x:v>
      </x:c>
      <x:c r="D2422" s="66" t="n">
        <x:v>2021</x:v>
      </x:c>
      <x:c r="E2422" s="67"/>
      <x:c r="F2422" s="68"/>
      <x:c r="G2422" s="69" t="str">
        <x:f>IF(COUNT(E2422:F2422)=2,E2422*F2422,"")</x:f>
      </x:c>
    </x:row>
    <x:row r="2423">
      <x:c r="A2423" s="66" t="n">
        <x:v>17</x:v>
      </x:c>
      <x:c r="B2423" s="44" t="str">
        <x:v>Canola/Rapeseed</x:v>
      </x:c>
      <x:c r="C2423" s="44" t="str">
        <x:v>P515G</x:v>
      </x:c>
      <x:c r="D2423" s="66" t="n">
        <x:v>2022</x:v>
      </x:c>
      <x:c r="E2423" s="67"/>
      <x:c r="F2423" s="68"/>
      <x:c r="G2423" s="69" t="str">
        <x:f>IF(COUNT(E2423:F2423)=2,E2423*F2423,"")</x:f>
      </x:c>
    </x:row>
    <x:row r="2424">
      <x:c r="A2424" s="66" t="n">
        <x:v>17</x:v>
      </x:c>
      <x:c r="B2424" s="44" t="str">
        <x:v>Canola/Rapeseed</x:v>
      </x:c>
      <x:c r="C2424" s="44" t="str">
        <x:v>P515G</x:v>
      </x:c>
      <x:c r="D2424" s="66" t="n">
        <x:v>2023</x:v>
      </x:c>
      <x:c r="E2424" s="67" t="n">
        <x:v>3410</x:v>
      </x:c>
      <x:c r="F2424" s="68" t="n">
        <x:v>48.9</x:v>
      </x:c>
      <x:c r="G2424" s="69" t="n">
        <x:f>IF(COUNT(E2424:F2424)=2,E2424*F2424,"")</x:f>
        <x:v>166749</x:v>
      </x:c>
    </x:row>
    <x:row r="2425">
      <x:c r="A2425" s="66" t="n">
        <x:v>17</x:v>
      </x:c>
      <x:c r="B2425" s="44" t="str">
        <x:v>Canola/Rapeseed</x:v>
      </x:c>
      <x:c r="C2425" s="44" t="str">
        <x:v>P515G</x:v>
      </x:c>
      <x:c r="D2425" s="66" t="n">
        <x:v>2024</x:v>
      </x:c>
      <x:c r="E2425" s="67" t="n">
        <x:v>54484</x:v>
      </x:c>
      <x:c r="F2425" s="68" t="n">
        <x:v>39</x:v>
      </x:c>
      <x:c r="G2425" s="69" t="n">
        <x:f>IF(COUNT(E2425:F2425)=2,E2425*F2425,"")</x:f>
        <x:v>2124876</x:v>
      </x:c>
    </x:row>
    <x:row r="2426">
      <x:c r="A2426" s="66" t="n">
        <x:v>17</x:v>
      </x:c>
      <x:c r="B2426" s="44" t="str">
        <x:v>Canola/Rapeseed</x:v>
      </x:c>
      <x:c r="C2426" s="44" t="str">
        <x:v>P515G</x:v>
      </x:c>
      <x:c r="D2426" s="66" t="n">
        <x:v>2025</x:v>
      </x:c>
      <x:c r="E2426" s="67" t="n">
        <x:v>34804</x:v>
      </x:c>
      <x:c r="F2426" s="68" t="n">
        <x:v>45.8</x:v>
      </x:c>
      <x:c r="G2426" s="69" t="n">
        <x:f>IF(COUNT(E2426:F2426)=2,E2426*F2426,"")</x:f>
        <x:v>1594023.2</x:v>
      </x:c>
    </x:row>
    <x:row r="2427">
      <x:c r="A2427" s="66" t="n">
        <x:v>17</x:v>
      </x:c>
      <x:c r="B2427" s="44" t="str">
        <x:v>Canola/Rapeseed</x:v>
      </x:c>
      <x:c r="C2427" s="44" t="str">
        <x:v>P516L</x:v>
      </x:c>
      <x:c r="D2427" s="66" t="n">
        <x:v>2021</x:v>
      </x:c>
      <x:c r="E2427" s="67"/>
      <x:c r="F2427" s="68"/>
      <x:c r="G2427" s="69" t="str">
        <x:f>IF(COUNT(E2427:F2427)=2,E2427*F2427,"")</x:f>
      </x:c>
    </x:row>
    <x:row r="2428">
      <x:c r="A2428" s="66" t="n">
        <x:v>17</x:v>
      </x:c>
      <x:c r="B2428" s="44" t="str">
        <x:v>Canola/Rapeseed</x:v>
      </x:c>
      <x:c r="C2428" s="44" t="str">
        <x:v>P516L</x:v>
      </x:c>
      <x:c r="D2428" s="66" t="n">
        <x:v>2022</x:v>
      </x:c>
      <x:c r="E2428" s="67"/>
      <x:c r="F2428" s="68"/>
      <x:c r="G2428" s="69" t="str">
        <x:f>IF(COUNT(E2428:F2428)=2,E2428*F2428,"")</x:f>
      </x:c>
    </x:row>
    <x:row r="2429">
      <x:c r="A2429" s="66" t="n">
        <x:v>17</x:v>
      </x:c>
      <x:c r="B2429" s="44" t="str">
        <x:v>Canola/Rapeseed</x:v>
      </x:c>
      <x:c r="C2429" s="44" t="str">
        <x:v>P516L</x:v>
      </x:c>
      <x:c r="D2429" s="66" t="n">
        <x:v>2023</x:v>
      </x:c>
      <x:c r="E2429" s="67" t="n">
        <x:v>6966</x:v>
      </x:c>
      <x:c r="F2429" s="68" t="n">
        <x:v>52.4</x:v>
      </x:c>
      <x:c r="G2429" s="69" t="n">
        <x:f>IF(COUNT(E2429:F2429)=2,E2429*F2429,"")</x:f>
        <x:v>365018.39999999997</x:v>
      </x:c>
    </x:row>
    <x:row r="2430">
      <x:c r="A2430" s="66" t="n">
        <x:v>17</x:v>
      </x:c>
      <x:c r="B2430" s="44" t="str">
        <x:v>Canola/Rapeseed</x:v>
      </x:c>
      <x:c r="C2430" s="44" t="str">
        <x:v>P516L</x:v>
      </x:c>
      <x:c r="D2430" s="66" t="n">
        <x:v>2024</x:v>
      </x:c>
      <x:c r="E2430" s="67" t="n">
        <x:v>27828</x:v>
      </x:c>
      <x:c r="F2430" s="68" t="n">
        <x:v>40</x:v>
      </x:c>
      <x:c r="G2430" s="69" t="n">
        <x:f>IF(COUNT(E2430:F2430)=2,E2430*F2430,"")</x:f>
        <x:v>1113120</x:v>
      </x:c>
    </x:row>
    <x:row r="2431">
      <x:c r="A2431" s="66" t="n">
        <x:v>17</x:v>
      </x:c>
      <x:c r="B2431" s="44" t="str">
        <x:v>Canola/Rapeseed</x:v>
      </x:c>
      <x:c r="C2431" s="44" t="str">
        <x:v>P516L</x:v>
      </x:c>
      <x:c r="D2431" s="66" t="n">
        <x:v>2025</x:v>
      </x:c>
      <x:c r="E2431" s="67" t="n">
        <x:v>11851</x:v>
      </x:c>
      <x:c r="F2431" s="68" t="n">
        <x:v>46</x:v>
      </x:c>
      <x:c r="G2431" s="69" t="n">
        <x:f>IF(COUNT(E2431:F2431)=2,E2431*F2431,"")</x:f>
        <x:v>545146</x:v>
      </x:c>
    </x:row>
    <x:row r="2432">
      <x:c r="A2432" s="66" t="n">
        <x:v>17</x:v>
      </x:c>
      <x:c r="B2432" s="44" t="str">
        <x:v>Canola/Rapeseed</x:v>
      </x:c>
      <x:c r="C2432" s="44" t="str">
        <x:v>P519L</x:v>
      </x:c>
      <x:c r="D2432" s="66" t="n">
        <x:v>2021</x:v>
      </x:c>
      <x:c r="E2432" s="67"/>
      <x:c r="F2432" s="68"/>
      <x:c r="G2432" s="69" t="str">
        <x:f>IF(COUNT(E2432:F2432)=2,E2432*F2432,"")</x:f>
      </x:c>
    </x:row>
    <x:row r="2433">
      <x:c r="A2433" s="66" t="n">
        <x:v>17</x:v>
      </x:c>
      <x:c r="B2433" s="44" t="str">
        <x:v>Canola/Rapeseed</x:v>
      </x:c>
      <x:c r="C2433" s="44" t="str">
        <x:v>P519L</x:v>
      </x:c>
      <x:c r="D2433" s="66" t="n">
        <x:v>2022</x:v>
      </x:c>
      <x:c r="E2433" s="67"/>
      <x:c r="F2433" s="68"/>
      <x:c r="G2433" s="69" t="str">
        <x:f>IF(COUNT(E2433:F2433)=2,E2433*F2433,"")</x:f>
      </x:c>
    </x:row>
    <x:row r="2434">
      <x:c r="A2434" s="66" t="n">
        <x:v>17</x:v>
      </x:c>
      <x:c r="B2434" s="44" t="str">
        <x:v>Canola/Rapeseed</x:v>
      </x:c>
      <x:c r="C2434" s="44" t="str">
        <x:v>P519L</x:v>
      </x:c>
      <x:c r="D2434" s="66" t="n">
        <x:v>2023</x:v>
      </x:c>
      <x:c r="E2434" s="67"/>
      <x:c r="F2434" s="68"/>
      <x:c r="G2434" s="69" t="str">
        <x:f>IF(COUNT(E2434:F2434)=2,E2434*F2434,"")</x:f>
      </x:c>
    </x:row>
    <x:row r="2435">
      <x:c r="A2435" s="66" t="n">
        <x:v>17</x:v>
      </x:c>
      <x:c r="B2435" s="44" t="str">
        <x:v>Canola/Rapeseed</x:v>
      </x:c>
      <x:c r="C2435" s="44" t="str">
        <x:v>P519L</x:v>
      </x:c>
      <x:c r="D2435" s="66" t="n">
        <x:v>2024</x:v>
      </x:c>
      <x:c r="E2435" s="67" t="n">
        <x:v>637</x:v>
      </x:c>
      <x:c r="F2435" s="68" t="n">
        <x:v>37.7</x:v>
      </x:c>
      <x:c r="G2435" s="69" t="n">
        <x:f>IF(COUNT(E2435:F2435)=2,E2435*F2435,"")</x:f>
        <x:v>24014.9</x:v>
      </x:c>
    </x:row>
    <x:row r="2436">
      <x:c r="A2436" s="66" t="n">
        <x:v>17</x:v>
      </x:c>
      <x:c r="B2436" s="44" t="str">
        <x:v>Canola/Rapeseed</x:v>
      </x:c>
      <x:c r="C2436" s="44" t="str">
        <x:v>P519L</x:v>
      </x:c>
      <x:c r="D2436" s="66" t="n">
        <x:v>2025</x:v>
      </x:c>
      <x:c r="E2436" s="67" t="n">
        <x:v>892</x:v>
      </x:c>
      <x:c r="F2436" s="68" t="n">
        <x:v>47.7</x:v>
      </x:c>
      <x:c r="G2436" s="69" t="n">
        <x:f>IF(COUNT(E2436:F2436)=2,E2436*F2436,"")</x:f>
        <x:v>42548.4</x:v>
      </x:c>
    </x:row>
    <x:row r="2437">
      <x:c r="A2437" s="66" t="n">
        <x:v>17</x:v>
      </x:c>
      <x:c r="B2437" s="44" t="str">
        <x:v>Canola/Rapeseed</x:v>
      </x:c>
      <x:c r="C2437" s="44" t="str">
        <x:v>P520L</x:v>
      </x:c>
      <x:c r="D2437" s="66" t="n">
        <x:v>2021</x:v>
      </x:c>
      <x:c r="E2437" s="67"/>
      <x:c r="F2437" s="68"/>
      <x:c r="G2437" s="69" t="str">
        <x:f>IF(COUNT(E2437:F2437)=2,E2437*F2437,"")</x:f>
      </x:c>
    </x:row>
    <x:row r="2438">
      <x:c r="A2438" s="66" t="n">
        <x:v>17</x:v>
      </x:c>
      <x:c r="B2438" s="44" t="str">
        <x:v>Canola/Rapeseed</x:v>
      </x:c>
      <x:c r="C2438" s="44" t="str">
        <x:v>P520L</x:v>
      </x:c>
      <x:c r="D2438" s="66" t="n">
        <x:v>2022</x:v>
      </x:c>
      <x:c r="E2438" s="67"/>
      <x:c r="F2438" s="68"/>
      <x:c r="G2438" s="69" t="str">
        <x:f>IF(COUNT(E2438:F2438)=2,E2438*F2438,"")</x:f>
      </x:c>
    </x:row>
    <x:row r="2439">
      <x:c r="A2439" s="66" t="n">
        <x:v>17</x:v>
      </x:c>
      <x:c r="B2439" s="44" t="str">
        <x:v>Canola/Rapeseed</x:v>
      </x:c>
      <x:c r="C2439" s="44" t="str">
        <x:v>P520L</x:v>
      </x:c>
      <x:c r="D2439" s="66" t="n">
        <x:v>2023</x:v>
      </x:c>
      <x:c r="E2439" s="67"/>
      <x:c r="F2439" s="68"/>
      <x:c r="G2439" s="69" t="str">
        <x:f>IF(COUNT(E2439:F2439)=2,E2439*F2439,"")</x:f>
      </x:c>
    </x:row>
    <x:row r="2440">
      <x:c r="A2440" s="66" t="n">
        <x:v>17</x:v>
      </x:c>
      <x:c r="B2440" s="44" t="str">
        <x:v>Canola/Rapeseed</x:v>
      </x:c>
      <x:c r="C2440" s="44" t="str">
        <x:v>P520L</x:v>
      </x:c>
      <x:c r="D2440" s="66" t="n">
        <x:v>2024</x:v>
      </x:c>
      <x:c r="E2440" s="67" t="n">
        <x:v>842</x:v>
      </x:c>
      <x:c r="F2440" s="68" t="n">
        <x:v>41.4</x:v>
      </x:c>
      <x:c r="G2440" s="69" t="n">
        <x:f>IF(COUNT(E2440:F2440)=2,E2440*F2440,"")</x:f>
        <x:v>34858.799999999996</x:v>
      </x:c>
    </x:row>
    <x:row r="2441">
      <x:c r="A2441" s="66" t="n">
        <x:v>17</x:v>
      </x:c>
      <x:c r="B2441" s="44" t="str">
        <x:v>Canola/Rapeseed</x:v>
      </x:c>
      <x:c r="C2441" s="44" t="str">
        <x:v>P520L</x:v>
      </x:c>
      <x:c r="D2441" s="66" t="n">
        <x:v>2025</x:v>
      </x:c>
      <x:c r="E2441" s="67" t="n">
        <x:v>28254</x:v>
      </x:c>
      <x:c r="F2441" s="68" t="n">
        <x:v>47.1</x:v>
      </x:c>
      <x:c r="G2441" s="69" t="n">
        <x:f>IF(COUNT(E2441:F2441)=2,E2441*F2441,"")</x:f>
        <x:v>1330763.4000000001</x:v>
      </x:c>
    </x:row>
    <x:row r="2442">
      <x:c r="A2442" s="66" t="n">
        <x:v>17</x:v>
      </x:c>
      <x:c r="B2442" s="44" t="str">
        <x:v>Canola/Rapeseed</x:v>
      </x:c>
      <x:c r="C2442" s="44" t="str">
        <x:v>P612L</x:v>
      </x:c>
      <x:c r="D2442" s="66" t="n">
        <x:v>2021</x:v>
      </x:c>
      <x:c r="E2442" s="67"/>
      <x:c r="F2442" s="68"/>
      <x:c r="G2442" s="69" t="str">
        <x:f>IF(COUNT(E2442:F2442)=2,E2442*F2442,"")</x:f>
      </x:c>
    </x:row>
    <x:row r="2443">
      <x:c r="A2443" s="66" t="n">
        <x:v>17</x:v>
      </x:c>
      <x:c r="B2443" s="44" t="str">
        <x:v>Canola/Rapeseed</x:v>
      </x:c>
      <x:c r="C2443" s="44" t="str">
        <x:v>P612L</x:v>
      </x:c>
      <x:c r="D2443" s="66" t="n">
        <x:v>2022</x:v>
      </x:c>
      <x:c r="E2443" s="67" t="n">
        <x:v>2341</x:v>
      </x:c>
      <x:c r="F2443" s="68" t="n">
        <x:v>48.3</x:v>
      </x:c>
      <x:c r="G2443" s="69" t="n">
        <x:f>IF(COUNT(E2443:F2443)=2,E2443*F2443,"")</x:f>
        <x:v>113070.29999999999</x:v>
      </x:c>
    </x:row>
    <x:row r="2444">
      <x:c r="A2444" s="66" t="n">
        <x:v>17</x:v>
      </x:c>
      <x:c r="B2444" s="44" t="str">
        <x:v>Canola/Rapeseed</x:v>
      </x:c>
      <x:c r="C2444" s="44" t="str">
        <x:v>P612L</x:v>
      </x:c>
      <x:c r="D2444" s="66" t="n">
        <x:v>2023</x:v>
      </x:c>
      <x:c r="E2444" s="67" t="n">
        <x:v>4077</x:v>
      </x:c>
      <x:c r="F2444" s="68" t="n">
        <x:v>58</x:v>
      </x:c>
      <x:c r="G2444" s="69" t="n">
        <x:f>IF(COUNT(E2444:F2444)=2,E2444*F2444,"")</x:f>
        <x:v>236466</x:v>
      </x:c>
    </x:row>
    <x:row r="2445">
      <x:c r="A2445" s="66" t="n">
        <x:v>17</x:v>
      </x:c>
      <x:c r="B2445" s="44" t="str">
        <x:v>Canola/Rapeseed</x:v>
      </x:c>
      <x:c r="C2445" s="44" t="str">
        <x:v>P612L</x:v>
      </x:c>
      <x:c r="D2445" s="66" t="n">
        <x:v>2024</x:v>
      </x:c>
      <x:c r="E2445" s="67" t="n">
        <x:v>4244</x:v>
      </x:c>
      <x:c r="F2445" s="68" t="n">
        <x:v>36.1</x:v>
      </x:c>
      <x:c r="G2445" s="69" t="n">
        <x:f>IF(COUNT(E2445:F2445)=2,E2445*F2445,"")</x:f>
        <x:v>153208.4</x:v>
      </x:c>
    </x:row>
    <x:row r="2446">
      <x:c r="A2446" s="66" t="n">
        <x:v>17</x:v>
      </x:c>
      <x:c r="B2446" s="44" t="str">
        <x:v>Canola/Rapeseed</x:v>
      </x:c>
      <x:c r="C2446" s="44" t="str">
        <x:v>P612L</x:v>
      </x:c>
      <x:c r="D2446" s="66" t="n">
        <x:v>2025</x:v>
      </x:c>
      <x:c r="E2446" s="67" t="n">
        <x:v>4530</x:v>
      </x:c>
      <x:c r="F2446" s="68" t="n">
        <x:v>48.9</x:v>
      </x:c>
      <x:c r="G2446" s="69" t="n">
        <x:f>IF(COUNT(E2446:F2446)=2,E2446*F2446,"")</x:f>
        <x:v>221517</x:v>
      </x:c>
    </x:row>
    <x:row r="2447">
      <x:c r="A2447" s="66" t="n">
        <x:v>17</x:v>
      </x:c>
      <x:c r="B2447" s="44" t="str">
        <x:v>Canola/Rapeseed</x:v>
      </x:c>
      <x:c r="C2447" s="44" t="str">
        <x:v>P617SL</x:v>
      </x:c>
      <x:c r="D2447" s="66" t="n">
        <x:v>2021</x:v>
      </x:c>
      <x:c r="E2447" s="67"/>
      <x:c r="F2447" s="68"/>
      <x:c r="G2447" s="69" t="str">
        <x:f>IF(COUNT(E2447:F2447)=2,E2447*F2447,"")</x:f>
      </x:c>
    </x:row>
    <x:row r="2448">
      <x:c r="A2448" s="66" t="n">
        <x:v>17</x:v>
      </x:c>
      <x:c r="B2448" s="44" t="str">
        <x:v>Canola/Rapeseed</x:v>
      </x:c>
      <x:c r="C2448" s="44" t="str">
        <x:v>P617SL</x:v>
      </x:c>
      <x:c r="D2448" s="66" t="n">
        <x:v>2022</x:v>
      </x:c>
      <x:c r="E2448" s="67"/>
      <x:c r="F2448" s="68"/>
      <x:c r="G2448" s="69" t="str">
        <x:f>IF(COUNT(E2448:F2448)=2,E2448*F2448,"")</x:f>
      </x:c>
    </x:row>
    <x:row r="2449">
      <x:c r="A2449" s="66" t="n">
        <x:v>17</x:v>
      </x:c>
      <x:c r="B2449" s="44" t="str">
        <x:v>Canola/Rapeseed</x:v>
      </x:c>
      <x:c r="C2449" s="44" t="str">
        <x:v>P617SL</x:v>
      </x:c>
      <x:c r="D2449" s="66" t="n">
        <x:v>2023</x:v>
      </x:c>
      <x:c r="E2449" s="67"/>
      <x:c r="F2449" s="68"/>
      <x:c r="G2449" s="69" t="str">
        <x:f>IF(COUNT(E2449:F2449)=2,E2449*F2449,"")</x:f>
      </x:c>
    </x:row>
    <x:row r="2450">
      <x:c r="A2450" s="66" t="n">
        <x:v>17</x:v>
      </x:c>
      <x:c r="B2450" s="44" t="str">
        <x:v>Canola/Rapeseed</x:v>
      </x:c>
      <x:c r="C2450" s="44" t="str">
        <x:v>P617SL</x:v>
      </x:c>
      <x:c r="D2450" s="66" t="n">
        <x:v>2024</x:v>
      </x:c>
      <x:c r="E2450" s="67"/>
      <x:c r="F2450" s="68"/>
      <x:c r="G2450" s="69" t="str">
        <x:f>IF(COUNT(E2450:F2450)=2,E2450*F2450,"")</x:f>
      </x:c>
    </x:row>
    <x:row r="2451">
      <x:c r="A2451" s="66" t="n">
        <x:v>17</x:v>
      </x:c>
      <x:c r="B2451" s="44" t="str">
        <x:v>Canola/Rapeseed</x:v>
      </x:c>
      <x:c r="C2451" s="44" t="str">
        <x:v>P617SL</x:v>
      </x:c>
      <x:c r="D2451" s="66" t="n">
        <x:v>2025</x:v>
      </x:c>
      <x:c r="E2451" s="67" t="n">
        <x:v>2417</x:v>
      </x:c>
      <x:c r="F2451" s="68" t="n">
        <x:v>47.1</x:v>
      </x:c>
      <x:c r="G2451" s="69" t="n">
        <x:f>IF(COUNT(E2451:F2451)=2,E2451*F2451,"")</x:f>
        <x:v>113840.7</x:v>
      </x:c>
    </x:row>
    <x:row r="2452">
      <x:c r="A2452" s="66" t="n">
        <x:v>17</x:v>
      </x:c>
      <x:c r="B2452" s="44" t="str">
        <x:v>Canola/Rapeseed</x:v>
      </x:c>
      <x:c r="C2452" s="44" t="str">
        <x:v>2600 CS CR-T</x:v>
      </x:c>
      <x:c r="D2452" s="66" t="n">
        <x:v>2021</x:v>
      </x:c>
      <x:c r="E2452" s="67" t="n">
        <x:v>8589</x:v>
      </x:c>
      <x:c r="F2452" s="68" t="n">
        <x:v>22.6</x:v>
      </x:c>
      <x:c r="G2452" s="69" t="n">
        <x:f>IF(COUNT(E2452:F2452)=2,E2452*F2452,"")</x:f>
        <x:v>194111.40000000002</x:v>
      </x:c>
    </x:row>
    <x:row r="2453">
      <x:c r="A2453" s="66" t="n">
        <x:v>17</x:v>
      </x:c>
      <x:c r="B2453" s="44" t="str">
        <x:v>Canola/Rapeseed</x:v>
      </x:c>
      <x:c r="C2453" s="44" t="str">
        <x:v>2600 CS CR-T</x:v>
      </x:c>
      <x:c r="D2453" s="66" t="n">
        <x:v>2022</x:v>
      </x:c>
      <x:c r="E2453" s="67" t="n">
        <x:v>7373</x:v>
      </x:c>
      <x:c r="F2453" s="68" t="n">
        <x:v>47.7</x:v>
      </x:c>
      <x:c r="G2453" s="69" t="n">
        <x:f>IF(COUNT(E2453:F2453)=2,E2453*F2453,"")</x:f>
        <x:v>351692.10000000003</x:v>
      </x:c>
    </x:row>
    <x:row r="2454">
      <x:c r="A2454" s="66" t="n">
        <x:v>17</x:v>
      </x:c>
      <x:c r="B2454" s="44" t="str">
        <x:v>Canola/Rapeseed</x:v>
      </x:c>
      <x:c r="C2454" s="44" t="str">
        <x:v>2600 CS CR-T</x:v>
      </x:c>
      <x:c r="D2454" s="66" t="n">
        <x:v>2023</x:v>
      </x:c>
      <x:c r="E2454" s="67" t="n">
        <x:v>7380</x:v>
      </x:c>
      <x:c r="F2454" s="68" t="n">
        <x:v>48.7</x:v>
      </x:c>
      <x:c r="G2454" s="69" t="n">
        <x:f>IF(COUNT(E2454:F2454)=2,E2454*F2454,"")</x:f>
        <x:v>359406</x:v>
      </x:c>
    </x:row>
    <x:row r="2455">
      <x:c r="A2455" s="66" t="n">
        <x:v>17</x:v>
      </x:c>
      <x:c r="B2455" s="44" t="str">
        <x:v>Canola/Rapeseed</x:v>
      </x:c>
      <x:c r="C2455" s="44" t="str">
        <x:v>2600 CS CR-T</x:v>
      </x:c>
      <x:c r="D2455" s="66" t="n">
        <x:v>2024</x:v>
      </x:c>
      <x:c r="E2455" s="67" t="n">
        <x:v>4171</x:v>
      </x:c>
      <x:c r="F2455" s="68" t="n">
        <x:v>38.1</x:v>
      </x:c>
      <x:c r="G2455" s="69" t="n">
        <x:f>IF(COUNT(E2455:F2455)=2,E2455*F2455,"")</x:f>
        <x:v>158915.1</x:v>
      </x:c>
    </x:row>
    <x:row r="2456">
      <x:c r="A2456" s="66" t="n">
        <x:v>17</x:v>
      </x:c>
      <x:c r="B2456" s="44" t="str">
        <x:v>Canola/Rapeseed</x:v>
      </x:c>
      <x:c r="C2456" s="44" t="str">
        <x:v>2600 CS CR-T</x:v>
      </x:c>
      <x:c r="D2456" s="66" t="n">
        <x:v>2025</x:v>
      </x:c>
      <x:c r="E2456" s="67" t="n">
        <x:v>673</x:v>
      </x:c>
      <x:c r="F2456" s="68" t="n">
        <x:v>43.7</x:v>
      </x:c>
      <x:c r="G2456" s="69" t="n">
        <x:f>IF(COUNT(E2456:F2456)=2,E2456*F2456,"")</x:f>
        <x:v>29410.100000000002</x:v>
      </x:c>
    </x:row>
    <x:row r="2457">
      <x:c r="A2457" s="66" t="n">
        <x:v>17</x:v>
      </x:c>
      <x:c r="B2457" s="44" t="str">
        <x:v>Canola/Rapeseed</x:v>
      </x:c>
      <x:c r="C2457" s="44" t="str">
        <x:v>44H44</x:v>
      </x:c>
      <x:c r="D2457" s="66" t="n">
        <x:v>2021</x:v>
      </x:c>
      <x:c r="E2457" s="67" t="n">
        <x:v>5245</x:v>
      </x:c>
      <x:c r="F2457" s="68" t="n">
        <x:v>22.8</x:v>
      </x:c>
      <x:c r="G2457" s="69" t="n">
        <x:f>IF(COUNT(E2457:F2457)=2,E2457*F2457,"")</x:f>
        <x:v>119586</x:v>
      </x:c>
    </x:row>
    <x:row r="2458">
      <x:c r="A2458" s="66" t="n">
        <x:v>17</x:v>
      </x:c>
      <x:c r="B2458" s="44" t="str">
        <x:v>Canola/Rapeseed</x:v>
      </x:c>
      <x:c r="C2458" s="44" t="str">
        <x:v>44H44</x:v>
      </x:c>
      <x:c r="D2458" s="66" t="n">
        <x:v>2022</x:v>
      </x:c>
      <x:c r="E2458" s="67" t="n">
        <x:v>14398</x:v>
      </x:c>
      <x:c r="F2458" s="68" t="n">
        <x:v>42.1</x:v>
      </x:c>
      <x:c r="G2458" s="69" t="n">
        <x:f>IF(COUNT(E2458:F2458)=2,E2458*F2458,"")</x:f>
        <x:v>606155.8</x:v>
      </x:c>
    </x:row>
    <x:row r="2459">
      <x:c r="A2459" s="66" t="n">
        <x:v>17</x:v>
      </x:c>
      <x:c r="B2459" s="44" t="str">
        <x:v>Canola/Rapeseed</x:v>
      </x:c>
      <x:c r="C2459" s="44" t="str">
        <x:v>44H44</x:v>
      </x:c>
      <x:c r="D2459" s="66" t="n">
        <x:v>2023</x:v>
      </x:c>
      <x:c r="E2459" s="67" t="n">
        <x:v>4871</x:v>
      </x:c>
      <x:c r="F2459" s="68" t="n">
        <x:v>47.6</x:v>
      </x:c>
      <x:c r="G2459" s="69" t="n">
        <x:f>IF(COUNT(E2459:F2459)=2,E2459*F2459,"")</x:f>
        <x:v>231859.6</x:v>
      </x:c>
    </x:row>
    <x:row r="2460">
      <x:c r="A2460" s="66" t="n">
        <x:v>17</x:v>
      </x:c>
      <x:c r="B2460" s="44" t="str">
        <x:v>Canola/Rapeseed</x:v>
      </x:c>
      <x:c r="C2460" s="44" t="str">
        <x:v>44H44</x:v>
      </x:c>
      <x:c r="D2460" s="66" t="n">
        <x:v>2024</x:v>
      </x:c>
      <x:c r="E2460" s="67" t="n">
        <x:v>3323</x:v>
      </x:c>
      <x:c r="F2460" s="68" t="n">
        <x:v>36.2</x:v>
      </x:c>
      <x:c r="G2460" s="69" t="n">
        <x:f>IF(COUNT(E2460:F2460)=2,E2460*F2460,"")</x:f>
        <x:v>120292.6</x:v>
      </x:c>
    </x:row>
    <x:row r="2461">
      <x:c r="A2461" s="66" t="n">
        <x:v>17</x:v>
      </x:c>
      <x:c r="B2461" s="44" t="str">
        <x:v>Canola/Rapeseed</x:v>
      </x:c>
      <x:c r="C2461" s="44" t="str">
        <x:v>44H44</x:v>
      </x:c>
      <x:c r="D2461" s="66" t="n">
        <x:v>2025</x:v>
      </x:c>
      <x:c r="E2461" s="67" t="n">
        <x:v>2601</x:v>
      </x:c>
      <x:c r="F2461" s="68" t="n">
        <x:v>41.7</x:v>
      </x:c>
      <x:c r="G2461" s="69" t="n">
        <x:f>IF(COUNT(E2461:F2461)=2,E2461*F2461,"")</x:f>
        <x:v>108461.70000000001</x:v>
      </x:c>
    </x:row>
    <x:row r="2462">
      <x:c r="A2462" s="66" t="n">
        <x:v>17</x:v>
      </x:c>
      <x:c r="B2462" s="44" t="str">
        <x:v>Canola/Rapeseed</x:v>
      </x:c>
      <x:c r="C2462" s="44" t="str">
        <x:v>45CM39</x:v>
      </x:c>
      <x:c r="D2462" s="66" t="n">
        <x:v>2021</x:v>
      </x:c>
      <x:c r="E2462" s="67" t="n">
        <x:v>47614</x:v>
      </x:c>
      <x:c r="F2462" s="68" t="n">
        <x:v>27.8</x:v>
      </x:c>
      <x:c r="G2462" s="69" t="n">
        <x:f>IF(COUNT(E2462:F2462)=2,E2462*F2462,"")</x:f>
        <x:v>1323669.2</x:v>
      </x:c>
    </x:row>
    <x:row r="2463">
      <x:c r="A2463" s="66" t="n">
        <x:v>17</x:v>
      </x:c>
      <x:c r="B2463" s="44" t="str">
        <x:v>Canola/Rapeseed</x:v>
      </x:c>
      <x:c r="C2463" s="44" t="str">
        <x:v>45CM39</x:v>
      </x:c>
      <x:c r="D2463" s="66" t="n">
        <x:v>2022</x:v>
      </x:c>
      <x:c r="E2463" s="67" t="n">
        <x:v>18590</x:v>
      </x:c>
      <x:c r="F2463" s="68" t="n">
        <x:v>48.3</x:v>
      </x:c>
      <x:c r="G2463" s="69" t="n">
        <x:f>IF(COUNT(E2463:F2463)=2,E2463*F2463,"")</x:f>
        <x:v>897897</x:v>
      </x:c>
    </x:row>
    <x:row r="2464">
      <x:c r="A2464" s="66" t="n">
        <x:v>17</x:v>
      </x:c>
      <x:c r="B2464" s="44" t="str">
        <x:v>Canola/Rapeseed</x:v>
      </x:c>
      <x:c r="C2464" s="44" t="str">
        <x:v>45CM39</x:v>
      </x:c>
      <x:c r="D2464" s="66" t="n">
        <x:v>2023</x:v>
      </x:c>
      <x:c r="E2464" s="67" t="n">
        <x:v>39749</x:v>
      </x:c>
      <x:c r="F2464" s="68" t="n">
        <x:v>52.6</x:v>
      </x:c>
      <x:c r="G2464" s="69" t="n">
        <x:f>IF(COUNT(E2464:F2464)=2,E2464*F2464,"")</x:f>
        <x:v>2090797.4000000001</x:v>
      </x:c>
    </x:row>
    <x:row r="2465">
      <x:c r="A2465" s="66" t="n">
        <x:v>17</x:v>
      </x:c>
      <x:c r="B2465" s="44" t="str">
        <x:v>Canola/Rapeseed</x:v>
      </x:c>
      <x:c r="C2465" s="44" t="str">
        <x:v>45CM39</x:v>
      </x:c>
      <x:c r="D2465" s="66" t="n">
        <x:v>2024</x:v>
      </x:c>
      <x:c r="E2465" s="67" t="n">
        <x:v>25788</x:v>
      </x:c>
      <x:c r="F2465" s="68" t="n">
        <x:v>41.8</x:v>
      </x:c>
      <x:c r="G2465" s="69" t="n">
        <x:f>IF(COUNT(E2465:F2465)=2,E2465*F2465,"")</x:f>
        <x:v>1077938.4</x:v>
      </x:c>
    </x:row>
    <x:row r="2466">
      <x:c r="A2466" s="66" t="n">
        <x:v>17</x:v>
      </x:c>
      <x:c r="B2466" s="44" t="str">
        <x:v>Canola/Rapeseed</x:v>
      </x:c>
      <x:c r="C2466" s="44" t="str">
        <x:v>45CM39</x:v>
      </x:c>
      <x:c r="D2466" s="66" t="n">
        <x:v>2025</x:v>
      </x:c>
      <x:c r="E2466" s="67" t="n">
        <x:v>9554</x:v>
      </x:c>
      <x:c r="F2466" s="68" t="n">
        <x:v>51.1</x:v>
      </x:c>
      <x:c r="G2466" s="69" t="n">
        <x:f>IF(COUNT(E2466:F2466)=2,E2466*F2466,"")</x:f>
        <x:v>488209.4</x:v>
      </x:c>
    </x:row>
    <x:row r="2467">
      <x:c r="A2467" s="66" t="n">
        <x:v>17</x:v>
      </x:c>
      <x:c r="B2467" s="44" t="str">
        <x:v>Canola/Rapeseed</x:v>
      </x:c>
      <x:c r="C2467" s="44" t="str">
        <x:v>45H35</x:v>
      </x:c>
      <x:c r="D2467" s="66" t="n">
        <x:v>2021</x:v>
      </x:c>
      <x:c r="E2467" s="67" t="n">
        <x:v>1451</x:v>
      </x:c>
      <x:c r="F2467" s="68" t="n">
        <x:v>29.5</x:v>
      </x:c>
      <x:c r="G2467" s="69" t="n">
        <x:f>IF(COUNT(E2467:F2467)=2,E2467*F2467,"")</x:f>
        <x:v>42804.5</x:v>
      </x:c>
    </x:row>
    <x:row r="2468">
      <x:c r="A2468" s="66" t="n">
        <x:v>17</x:v>
      </x:c>
      <x:c r="B2468" s="44" t="str">
        <x:v>Canola/Rapeseed</x:v>
      </x:c>
      <x:c r="C2468" s="44" t="str">
        <x:v>45H35</x:v>
      </x:c>
      <x:c r="D2468" s="66" t="n">
        <x:v>2022</x:v>
      </x:c>
      <x:c r="E2468" s="67"/>
      <x:c r="F2468" s="68"/>
      <x:c r="G2468" s="69" t="str">
        <x:f>IF(COUNT(E2468:F2468)=2,E2468*F2468,"")</x:f>
      </x:c>
    </x:row>
    <x:row r="2469">
      <x:c r="A2469" s="66" t="n">
        <x:v>17</x:v>
      </x:c>
      <x:c r="B2469" s="44" t="str">
        <x:v>Canola/Rapeseed</x:v>
      </x:c>
      <x:c r="C2469" s="44" t="str">
        <x:v>45H35</x:v>
      </x:c>
      <x:c r="D2469" s="66" t="n">
        <x:v>2023</x:v>
      </x:c>
      <x:c r="E2469" s="67" t="n">
        <x:v>3055</x:v>
      </x:c>
      <x:c r="F2469" s="68" t="n">
        <x:v>59</x:v>
      </x:c>
      <x:c r="G2469" s="69" t="n">
        <x:f>IF(COUNT(E2469:F2469)=2,E2469*F2469,"")</x:f>
        <x:v>180245</x:v>
      </x:c>
    </x:row>
    <x:row r="2470">
      <x:c r="A2470" s="66" t="n">
        <x:v>17</x:v>
      </x:c>
      <x:c r="B2470" s="44" t="str">
        <x:v>Canola/Rapeseed</x:v>
      </x:c>
      <x:c r="C2470" s="44" t="str">
        <x:v>45H35</x:v>
      </x:c>
      <x:c r="D2470" s="66" t="n">
        <x:v>2024</x:v>
      </x:c>
      <x:c r="E2470" s="67" t="n">
        <x:v>1610</x:v>
      </x:c>
      <x:c r="F2470" s="68" t="n">
        <x:v>38.7</x:v>
      </x:c>
      <x:c r="G2470" s="69" t="n">
        <x:f>IF(COUNT(E2470:F2470)=2,E2470*F2470,"")</x:f>
        <x:v>62307.00000000001</x:v>
      </x:c>
    </x:row>
    <x:row r="2471">
      <x:c r="A2471" s="66" t="n">
        <x:v>17</x:v>
      </x:c>
      <x:c r="B2471" s="44" t="str">
        <x:v>Canola/Rapeseed</x:v>
      </x:c>
      <x:c r="C2471" s="44" t="str">
        <x:v>45H35</x:v>
      </x:c>
      <x:c r="D2471" s="66" t="n">
        <x:v>2025</x:v>
      </x:c>
      <x:c r="E2471" s="67" t="n">
        <x:v>1050</x:v>
      </x:c>
      <x:c r="F2471" s="68" t="n">
        <x:v>44.6</x:v>
      </x:c>
      <x:c r="G2471" s="69" t="n">
        <x:f>IF(COUNT(E2471:F2471)=2,E2471*F2471,"")</x:f>
        <x:v>46830</x:v>
      </x:c>
    </x:row>
    <x:row r="2472">
      <x:c r="A2472" s="66" t="n">
        <x:v>17</x:v>
      </x:c>
      <x:c r="B2472" s="44" t="str">
        <x:v>Canola/Rapeseed</x:v>
      </x:c>
      <x:c r="C2472" s="44" t="str">
        <x:v>45H42</x:v>
      </x:c>
      <x:c r="D2472" s="66" t="n">
        <x:v>2021</x:v>
      </x:c>
      <x:c r="E2472" s="67" t="n">
        <x:v>17892</x:v>
      </x:c>
      <x:c r="F2472" s="68" t="n">
        <x:v>26.8</x:v>
      </x:c>
      <x:c r="G2472" s="69" t="n">
        <x:f>IF(COUNT(E2472:F2472)=2,E2472*F2472,"")</x:f>
        <x:v>479505.60000000003</x:v>
      </x:c>
    </x:row>
    <x:row r="2473">
      <x:c r="A2473" s="66" t="n">
        <x:v>17</x:v>
      </x:c>
      <x:c r="B2473" s="44" t="str">
        <x:v>Canola/Rapeseed</x:v>
      </x:c>
      <x:c r="C2473" s="44" t="str">
        <x:v>45H42</x:v>
      </x:c>
      <x:c r="D2473" s="66" t="n">
        <x:v>2022</x:v>
      </x:c>
      <x:c r="E2473" s="67" t="n">
        <x:v>15846</x:v>
      </x:c>
      <x:c r="F2473" s="68" t="n">
        <x:v>48.8</x:v>
      </x:c>
      <x:c r="G2473" s="69" t="n">
        <x:f>IF(COUNT(E2473:F2473)=2,E2473*F2473,"")</x:f>
        <x:v>773284.7999999999</x:v>
      </x:c>
    </x:row>
    <x:row r="2474">
      <x:c r="A2474" s="66" t="n">
        <x:v>17</x:v>
      </x:c>
      <x:c r="B2474" s="44" t="str">
        <x:v>Canola/Rapeseed</x:v>
      </x:c>
      <x:c r="C2474" s="44" t="str">
        <x:v>45H42</x:v>
      </x:c>
      <x:c r="D2474" s="66" t="n">
        <x:v>2023</x:v>
      </x:c>
      <x:c r="E2474" s="67" t="n">
        <x:v>22978</x:v>
      </x:c>
      <x:c r="F2474" s="68" t="n">
        <x:v>49.7</x:v>
      </x:c>
      <x:c r="G2474" s="69" t="n">
        <x:f>IF(COUNT(E2474:F2474)=2,E2474*F2474,"")</x:f>
        <x:v>1142006.6</x:v>
      </x:c>
    </x:row>
    <x:row r="2475">
      <x:c r="A2475" s="66" t="n">
        <x:v>17</x:v>
      </x:c>
      <x:c r="B2475" s="44" t="str">
        <x:v>Canola/Rapeseed</x:v>
      </x:c>
      <x:c r="C2475" s="44" t="str">
        <x:v>45H42</x:v>
      </x:c>
      <x:c r="D2475" s="66" t="n">
        <x:v>2024</x:v>
      </x:c>
      <x:c r="E2475" s="67" t="n">
        <x:v>13470</x:v>
      </x:c>
      <x:c r="F2475" s="68" t="n">
        <x:v>35.9</x:v>
      </x:c>
      <x:c r="G2475" s="69" t="n">
        <x:f>IF(COUNT(E2475:F2475)=2,E2475*F2475,"")</x:f>
        <x:v>483573</x:v>
      </x:c>
    </x:row>
    <x:row r="2476">
      <x:c r="A2476" s="66" t="n">
        <x:v>17</x:v>
      </x:c>
      <x:c r="B2476" s="44" t="str">
        <x:v>Canola/Rapeseed</x:v>
      </x:c>
      <x:c r="C2476" s="44" t="str">
        <x:v>45H42</x:v>
      </x:c>
      <x:c r="D2476" s="66" t="n">
        <x:v>2025</x:v>
      </x:c>
      <x:c r="E2476" s="67" t="n">
        <x:v>5773</x:v>
      </x:c>
      <x:c r="F2476" s="68" t="n">
        <x:v>39.4</x:v>
      </x:c>
      <x:c r="G2476" s="69" t="n">
        <x:f>IF(COUNT(E2476:F2476)=2,E2476*F2476,"")</x:f>
        <x:v>227456.19999999998</x:v>
      </x:c>
    </x:row>
    <x:row r="2477">
      <x:c r="A2477" s="66" t="n">
        <x:v>17</x:v>
      </x:c>
      <x:c r="B2477" s="44" t="str">
        <x:v>Canola/Rapeseed</x:v>
      </x:c>
      <x:c r="C2477" s="44" t="str">
        <x:v>45H52</x:v>
      </x:c>
      <x:c r="D2477" s="66" t="n">
        <x:v>2021</x:v>
      </x:c>
      <x:c r="E2477" s="67"/>
      <x:c r="F2477" s="68"/>
      <x:c r="G2477" s="69" t="str">
        <x:f>IF(COUNT(E2477:F2477)=2,E2477*F2477,"")</x:f>
      </x:c>
    </x:row>
    <x:row r="2478">
      <x:c r="A2478" s="66" t="n">
        <x:v>17</x:v>
      </x:c>
      <x:c r="B2478" s="44" t="str">
        <x:v>Canola/Rapeseed</x:v>
      </x:c>
      <x:c r="C2478" s="44" t="str">
        <x:v>45H52</x:v>
      </x:c>
      <x:c r="D2478" s="66" t="n">
        <x:v>2022</x:v>
      </x:c>
      <x:c r="E2478" s="67"/>
      <x:c r="F2478" s="68"/>
      <x:c r="G2478" s="69" t="str">
        <x:f>IF(COUNT(E2478:F2478)=2,E2478*F2478,"")</x:f>
      </x:c>
    </x:row>
    <x:row r="2479">
      <x:c r="A2479" s="66" t="n">
        <x:v>17</x:v>
      </x:c>
      <x:c r="B2479" s="44" t="str">
        <x:v>Canola/Rapeseed</x:v>
      </x:c>
      <x:c r="C2479" s="44" t="str">
        <x:v>45H52</x:v>
      </x:c>
      <x:c r="D2479" s="66" t="n">
        <x:v>2023</x:v>
      </x:c>
      <x:c r="E2479" s="67"/>
      <x:c r="F2479" s="68"/>
      <x:c r="G2479" s="69" t="str">
        <x:f>IF(COUNT(E2479:F2479)=2,E2479*F2479,"")</x:f>
      </x:c>
    </x:row>
    <x:row r="2480">
      <x:c r="A2480" s="66" t="n">
        <x:v>17</x:v>
      </x:c>
      <x:c r="B2480" s="44" t="str">
        <x:v>Canola/Rapeseed</x:v>
      </x:c>
      <x:c r="C2480" s="44" t="str">
        <x:v>45H52</x:v>
      </x:c>
      <x:c r="D2480" s="66" t="n">
        <x:v>2024</x:v>
      </x:c>
      <x:c r="E2480" s="67" t="n">
        <x:v>861</x:v>
      </x:c>
      <x:c r="F2480" s="68" t="n">
        <x:v>17.8</x:v>
      </x:c>
      <x:c r="G2480" s="69" t="n">
        <x:f>IF(COUNT(E2480:F2480)=2,E2480*F2480,"")</x:f>
        <x:v>15325.800000000001</x:v>
      </x:c>
    </x:row>
    <x:row r="2481">
      <x:c r="A2481" s="66" t="n">
        <x:v>17</x:v>
      </x:c>
      <x:c r="B2481" s="44" t="str">
        <x:v>Canola/Rapeseed</x:v>
      </x:c>
      <x:c r="C2481" s="44" t="str">
        <x:v>45H52</x:v>
      </x:c>
      <x:c r="D2481" s="66" t="n">
        <x:v>2025</x:v>
      </x:c>
      <x:c r="E2481" s="67" t="n">
        <x:v>2425</x:v>
      </x:c>
      <x:c r="F2481" s="68" t="n">
        <x:v>39.5</x:v>
      </x:c>
      <x:c r="G2481" s="69" t="n">
        <x:f>IF(COUNT(E2481:F2481)=2,E2481*F2481,"")</x:f>
        <x:v>95787.5</x:v>
      </x:c>
    </x:row>
    <x:row r="2482">
      <x:c r="A2482" s="66" t="n">
        <x:v>17</x:v>
      </x:c>
      <x:c r="B2482" s="44" t="str">
        <x:v>Canola/Rapeseed</x:v>
      </x:c>
      <x:c r="C2482" s="44" t="str">
        <x:v>45M35</x:v>
      </x:c>
      <x:c r="D2482" s="66" t="n">
        <x:v>2021</x:v>
      </x:c>
      <x:c r="E2482" s="67" t="n">
        <x:v>13555</x:v>
      </x:c>
      <x:c r="F2482" s="68" t="n">
        <x:v>32</x:v>
      </x:c>
      <x:c r="G2482" s="69" t="n">
        <x:f>IF(COUNT(E2482:F2482)=2,E2482*F2482,"")</x:f>
        <x:v>433760</x:v>
      </x:c>
    </x:row>
    <x:row r="2483">
      <x:c r="A2483" s="66" t="n">
        <x:v>17</x:v>
      </x:c>
      <x:c r="B2483" s="44" t="str">
        <x:v>Canola/Rapeseed</x:v>
      </x:c>
      <x:c r="C2483" s="44" t="str">
        <x:v>45M35</x:v>
      </x:c>
      <x:c r="D2483" s="66" t="n">
        <x:v>2022</x:v>
      </x:c>
      <x:c r="E2483" s="67" t="n">
        <x:v>15227</x:v>
      </x:c>
      <x:c r="F2483" s="68" t="n">
        <x:v>53</x:v>
      </x:c>
      <x:c r="G2483" s="69" t="n">
        <x:f>IF(COUNT(E2483:F2483)=2,E2483*F2483,"")</x:f>
        <x:v>807031</x:v>
      </x:c>
    </x:row>
    <x:row r="2484">
      <x:c r="A2484" s="66" t="n">
        <x:v>17</x:v>
      </x:c>
      <x:c r="B2484" s="44" t="str">
        <x:v>Canola/Rapeseed</x:v>
      </x:c>
      <x:c r="C2484" s="44" t="str">
        <x:v>45M35</x:v>
      </x:c>
      <x:c r="D2484" s="66" t="n">
        <x:v>2023</x:v>
      </x:c>
      <x:c r="E2484" s="67" t="n">
        <x:v>21188</x:v>
      </x:c>
      <x:c r="F2484" s="68" t="n">
        <x:v>51.8</x:v>
      </x:c>
      <x:c r="G2484" s="69" t="n">
        <x:f>IF(COUNT(E2484:F2484)=2,E2484*F2484,"")</x:f>
        <x:v>1097538.4</x:v>
      </x:c>
    </x:row>
    <x:row r="2485">
      <x:c r="A2485" s="66" t="n">
        <x:v>17</x:v>
      </x:c>
      <x:c r="B2485" s="44" t="str">
        <x:v>Canola/Rapeseed</x:v>
      </x:c>
      <x:c r="C2485" s="44" t="str">
        <x:v>45M35</x:v>
      </x:c>
      <x:c r="D2485" s="66" t="n">
        <x:v>2024</x:v>
      </x:c>
      <x:c r="E2485" s="67" t="n">
        <x:v>7457</x:v>
      </x:c>
      <x:c r="F2485" s="68" t="n">
        <x:v>43</x:v>
      </x:c>
      <x:c r="G2485" s="69" t="n">
        <x:f>IF(COUNT(E2485:F2485)=2,E2485*F2485,"")</x:f>
        <x:v>320651</x:v>
      </x:c>
    </x:row>
    <x:row r="2486">
      <x:c r="A2486" s="66" t="n">
        <x:v>17</x:v>
      </x:c>
      <x:c r="B2486" s="44" t="str">
        <x:v>Canola/Rapeseed</x:v>
      </x:c>
      <x:c r="C2486" s="44" t="str">
        <x:v>45M35</x:v>
      </x:c>
      <x:c r="D2486" s="66" t="n">
        <x:v>2025</x:v>
      </x:c>
      <x:c r="E2486" s="67" t="n">
        <x:v>8802</x:v>
      </x:c>
      <x:c r="F2486" s="68" t="n">
        <x:v>51.6</x:v>
      </x:c>
      <x:c r="G2486" s="69" t="n">
        <x:f>IF(COUNT(E2486:F2486)=2,E2486*F2486,"")</x:f>
        <x:v>454183.2</x:v>
      </x:c>
    </x:row>
    <x:row r="2487">
      <x:c r="A2487" s="66" t="n">
        <x:v>17</x:v>
      </x:c>
      <x:c r="B2487" s="44" t="str">
        <x:v>Canola/Rapeseed</x:v>
      </x:c>
      <x:c r="C2487" s="44" t="str">
        <x:v>46A76</x:v>
      </x:c>
      <x:c r="D2487" s="66" t="n">
        <x:v>2021</x:v>
      </x:c>
      <x:c r="E2487" s="67" t="n">
        <x:v>1076</x:v>
      </x:c>
      <x:c r="F2487" s="68" t="n">
        <x:v>11.1</x:v>
      </x:c>
      <x:c r="G2487" s="69" t="n">
        <x:f>IF(COUNT(E2487:F2487)=2,E2487*F2487,"")</x:f>
        <x:v>11943.6</x:v>
      </x:c>
    </x:row>
    <x:row r="2488">
      <x:c r="A2488" s="66" t="n">
        <x:v>17</x:v>
      </x:c>
      <x:c r="B2488" s="44" t="str">
        <x:v>Canola/Rapeseed</x:v>
      </x:c>
      <x:c r="C2488" s="44" t="str">
        <x:v>46A76</x:v>
      </x:c>
      <x:c r="D2488" s="66" t="n">
        <x:v>2022</x:v>
      </x:c>
      <x:c r="E2488" s="67" t="n">
        <x:v>778</x:v>
      </x:c>
      <x:c r="F2488" s="68" t="n">
        <x:v>40.3</x:v>
      </x:c>
      <x:c r="G2488" s="69" t="n">
        <x:f>IF(COUNT(E2488:F2488)=2,E2488*F2488,"")</x:f>
        <x:v>31353.399999999998</x:v>
      </x:c>
    </x:row>
    <x:row r="2489">
      <x:c r="A2489" s="66" t="n">
        <x:v>17</x:v>
      </x:c>
      <x:c r="B2489" s="44" t="str">
        <x:v>Canola/Rapeseed</x:v>
      </x:c>
      <x:c r="C2489" s="44" t="str">
        <x:v>46A76</x:v>
      </x:c>
      <x:c r="D2489" s="66" t="n">
        <x:v>2023</x:v>
      </x:c>
      <x:c r="E2489" s="67" t="n">
        <x:v>1269</x:v>
      </x:c>
      <x:c r="F2489" s="68" t="n">
        <x:v>34.1</x:v>
      </x:c>
      <x:c r="G2489" s="69" t="n">
        <x:f>IF(COUNT(E2489:F2489)=2,E2489*F2489,"")</x:f>
        <x:v>43272.9</x:v>
      </x:c>
    </x:row>
    <x:row r="2490">
      <x:c r="A2490" s="66" t="n">
        <x:v>17</x:v>
      </x:c>
      <x:c r="B2490" s="44" t="str">
        <x:v>Canola/Rapeseed</x:v>
      </x:c>
      <x:c r="C2490" s="44" t="str">
        <x:v>46A76</x:v>
      </x:c>
      <x:c r="D2490" s="66" t="n">
        <x:v>2024</x:v>
      </x:c>
      <x:c r="E2490" s="67" t="n">
        <x:v>1063</x:v>
      </x:c>
      <x:c r="F2490" s="68" t="n">
        <x:v>29.5</x:v>
      </x:c>
      <x:c r="G2490" s="69" t="n">
        <x:f>IF(COUNT(E2490:F2490)=2,E2490*F2490,"")</x:f>
        <x:v>31358.5</x:v>
      </x:c>
    </x:row>
    <x:row r="2491">
      <x:c r="A2491" s="66" t="n">
        <x:v>17</x:v>
      </x:c>
      <x:c r="B2491" s="44" t="str">
        <x:v>Canola/Rapeseed</x:v>
      </x:c>
      <x:c r="C2491" s="44" t="str">
        <x:v>46A76</x:v>
      </x:c>
      <x:c r="D2491" s="66" t="n">
        <x:v>2025</x:v>
      </x:c>
      <x:c r="E2491" s="67" t="n">
        <x:v>1120</x:v>
      </x:c>
      <x:c r="F2491" s="68" t="n">
        <x:v>22.5</x:v>
      </x:c>
      <x:c r="G2491" s="69" t="n">
        <x:f>IF(COUNT(E2491:F2491)=2,E2491*F2491,"")</x:f>
        <x:v>25200</x:v>
      </x:c>
    </x:row>
    <x:row r="2492">
      <x:c r="A2492" s="66" t="n">
        <x:v>17</x:v>
      </x:c>
      <x:c r="B2492" s="44" t="str">
        <x:v>Canola/Rapeseed</x:v>
      </x:c>
      <x:c r="C2492" s="44" t="str">
        <x:v>505 HYOLA RR</x:v>
      </x:c>
      <x:c r="D2492" s="66" t="n">
        <x:v>2021</x:v>
      </x:c>
      <x:c r="E2492" s="67"/>
      <x:c r="F2492" s="68"/>
      <x:c r="G2492" s="69" t="str">
        <x:f>IF(COUNT(E2492:F2492)=2,E2492*F2492,"")</x:f>
      </x:c>
    </x:row>
    <x:row r="2493">
      <x:c r="A2493" s="66" t="n">
        <x:v>17</x:v>
      </x:c>
      <x:c r="B2493" s="44" t="str">
        <x:v>Canola/Rapeseed</x:v>
      </x:c>
      <x:c r="C2493" s="44" t="str">
        <x:v>505 HYOLA RR</x:v>
      </x:c>
      <x:c r="D2493" s="66" t="n">
        <x:v>2022</x:v>
      </x:c>
      <x:c r="E2493" s="67"/>
      <x:c r="F2493" s="68"/>
      <x:c r="G2493" s="69" t="str">
        <x:f>IF(COUNT(E2493:F2493)=2,E2493*F2493,"")</x:f>
      </x:c>
    </x:row>
    <x:row r="2494">
      <x:c r="A2494" s="66" t="n">
        <x:v>17</x:v>
      </x:c>
      <x:c r="B2494" s="44" t="str">
        <x:v>Canola/Rapeseed</x:v>
      </x:c>
      <x:c r="C2494" s="44" t="str">
        <x:v>505 HYOLA RR</x:v>
      </x:c>
      <x:c r="D2494" s="66" t="n">
        <x:v>2023</x:v>
      </x:c>
      <x:c r="E2494" s="67"/>
      <x:c r="F2494" s="68"/>
      <x:c r="G2494" s="69" t="str">
        <x:f>IF(COUNT(E2494:F2494)=2,E2494*F2494,"")</x:f>
      </x:c>
    </x:row>
    <x:row r="2495">
      <x:c r="A2495" s="66" t="n">
        <x:v>17</x:v>
      </x:c>
      <x:c r="B2495" s="44" t="str">
        <x:v>Canola/Rapeseed</x:v>
      </x:c>
      <x:c r="C2495" s="44" t="str">
        <x:v>505 HYOLA RR</x:v>
      </x:c>
      <x:c r="D2495" s="66" t="n">
        <x:v>2024</x:v>
      </x:c>
      <x:c r="E2495" s="67" t="n">
        <x:v>662</x:v>
      </x:c>
      <x:c r="F2495" s="68" t="n">
        <x:v>37.1</x:v>
      </x:c>
      <x:c r="G2495" s="69" t="n">
        <x:f>IF(COUNT(E2495:F2495)=2,E2495*F2495,"")</x:f>
        <x:v>24560.2</x:v>
      </x:c>
    </x:row>
    <x:row r="2496">
      <x:c r="A2496" s="66" t="n">
        <x:v>17</x:v>
      </x:c>
      <x:c r="B2496" s="44" t="str">
        <x:v>Canola/Rapeseed</x:v>
      </x:c>
      <x:c r="C2496" s="44" t="str">
        <x:v>505 HYOLA RR</x:v>
      </x:c>
      <x:c r="D2496" s="66" t="n">
        <x:v>2025</x:v>
      </x:c>
      <x:c r="E2496" s="67" t="n">
        <x:v>420</x:v>
      </x:c>
      <x:c r="F2496" s="68" t="n">
        <x:v>52.5</x:v>
      </x:c>
      <x:c r="G2496" s="69" t="n">
        <x:f>IF(COUNT(E2496:F2496)=2,E2496*F2496,"")</x:f>
        <x:v>22050</x:v>
      </x:c>
    </x:row>
    <x:row r="2497">
      <x:c r="A2497" s="66" t="n">
        <x:v>18</x:v>
      </x:c>
      <x:c r="B2497" s="44" t="str">
        <x:v>Canola/Rapeseed</x:v>
      </x:c>
      <x:c r="C2497" s="44" t="str">
        <x:v>BY 6216TF</x:v>
      </x:c>
      <x:c r="D2497" s="66" t="n">
        <x:v>2021</x:v>
      </x:c>
      <x:c r="E2497" s="67"/>
      <x:c r="F2497" s="68"/>
      <x:c r="G2497" s="69" t="str">
        <x:f>IF(COUNT(E2497:F2497)=2,E2497*F2497,"")</x:f>
      </x:c>
    </x:row>
    <x:row r="2498">
      <x:c r="A2498" s="66" t="n">
        <x:v>18</x:v>
      </x:c>
      <x:c r="B2498" s="44" t="str">
        <x:v>Canola/Rapeseed</x:v>
      </x:c>
      <x:c r="C2498" s="44" t="str">
        <x:v>BY 6216TF</x:v>
      </x:c>
      <x:c r="D2498" s="66" t="n">
        <x:v>2022</x:v>
      </x:c>
      <x:c r="E2498" s="67"/>
      <x:c r="F2498" s="68"/>
      <x:c r="G2498" s="69" t="str">
        <x:f>IF(COUNT(E2498:F2498)=2,E2498*F2498,"")</x:f>
      </x:c>
    </x:row>
    <x:row r="2499">
      <x:c r="A2499" s="66" t="n">
        <x:v>18</x:v>
      </x:c>
      <x:c r="B2499" s="44" t="str">
        <x:v>Canola/Rapeseed</x:v>
      </x:c>
      <x:c r="C2499" s="44" t="str">
        <x:v>BY 6216TF</x:v>
      </x:c>
      <x:c r="D2499" s="66" t="n">
        <x:v>2023</x:v>
      </x:c>
      <x:c r="E2499" s="67"/>
      <x:c r="F2499" s="68"/>
      <x:c r="G2499" s="69" t="str">
        <x:f>IF(COUNT(E2499:F2499)=2,E2499*F2499,"")</x:f>
      </x:c>
    </x:row>
    <x:row r="2500">
      <x:c r="A2500" s="66" t="n">
        <x:v>18</x:v>
      </x:c>
      <x:c r="B2500" s="44" t="str">
        <x:v>Canola/Rapeseed</x:v>
      </x:c>
      <x:c r="C2500" s="44" t="str">
        <x:v>BY 6216TF</x:v>
      </x:c>
      <x:c r="D2500" s="66" t="n">
        <x:v>2024</x:v>
      </x:c>
      <x:c r="E2500" s="67"/>
      <x:c r="F2500" s="68"/>
      <x:c r="G2500" s="69" t="str">
        <x:f>IF(COUNT(E2500:F2500)=2,E2500*F2500,"")</x:f>
      </x:c>
    </x:row>
    <x:row r="2501">
      <x:c r="A2501" s="66" t="n">
        <x:v>18</x:v>
      </x:c>
      <x:c r="B2501" s="44" t="str">
        <x:v>Canola/Rapeseed</x:v>
      </x:c>
      <x:c r="C2501" s="44" t="str">
        <x:v>BY 6216TF</x:v>
      </x:c>
      <x:c r="D2501" s="66" t="n">
        <x:v>2025</x:v>
      </x:c>
      <x:c r="E2501" s="67" t="n">
        <x:v>548</x:v>
      </x:c>
      <x:c r="F2501" s="68" t="n">
        <x:v>59.6</x:v>
      </x:c>
      <x:c r="G2501" s="69" t="n">
        <x:f>IF(COUNT(E2501:F2501)=2,E2501*F2501,"")</x:f>
        <x:v>32660.8</x:v>
      </x:c>
    </x:row>
    <x:row r="2502">
      <x:c r="A2502" s="66" t="n">
        <x:v>18</x:v>
      </x:c>
      <x:c r="B2502" s="44" t="str">
        <x:v>Canola/Rapeseed</x:v>
      </x:c>
      <x:c r="C2502" s="44" t="str">
        <x:v>BY 6217TF</x:v>
      </x:c>
      <x:c r="D2502" s="66" t="n">
        <x:v>2021</x:v>
      </x:c>
      <x:c r="E2502" s="67"/>
      <x:c r="F2502" s="68"/>
      <x:c r="G2502" s="69" t="str">
        <x:f>IF(COUNT(E2502:F2502)=2,E2502*F2502,"")</x:f>
      </x:c>
    </x:row>
    <x:row r="2503">
      <x:c r="A2503" s="66" t="n">
        <x:v>18</x:v>
      </x:c>
      <x:c r="B2503" s="44" t="str">
        <x:v>Canola/Rapeseed</x:v>
      </x:c>
      <x:c r="C2503" s="44" t="str">
        <x:v>BY 6217TF</x:v>
      </x:c>
      <x:c r="D2503" s="66" t="n">
        <x:v>2022</x:v>
      </x:c>
      <x:c r="E2503" s="67"/>
      <x:c r="F2503" s="68"/>
      <x:c r="G2503" s="69" t="str">
        <x:f>IF(COUNT(E2503:F2503)=2,E2503*F2503,"")</x:f>
      </x:c>
    </x:row>
    <x:row r="2504">
      <x:c r="A2504" s="66" t="n">
        <x:v>18</x:v>
      </x:c>
      <x:c r="B2504" s="44" t="str">
        <x:v>Canola/Rapeseed</x:v>
      </x:c>
      <x:c r="C2504" s="44" t="str">
        <x:v>BY 6217TF</x:v>
      </x:c>
      <x:c r="D2504" s="66" t="n">
        <x:v>2023</x:v>
      </x:c>
      <x:c r="E2504" s="67" t="n">
        <x:v>3832</x:v>
      </x:c>
      <x:c r="F2504" s="68" t="n">
        <x:v>27.9</x:v>
      </x:c>
      <x:c r="G2504" s="69" t="n">
        <x:f>IF(COUNT(E2504:F2504)=2,E2504*F2504,"")</x:f>
        <x:v>106912.79999999999</x:v>
      </x:c>
    </x:row>
    <x:row r="2505">
      <x:c r="A2505" s="66" t="n">
        <x:v>18</x:v>
      </x:c>
      <x:c r="B2505" s="44" t="str">
        <x:v>Canola/Rapeseed</x:v>
      </x:c>
      <x:c r="C2505" s="44" t="str">
        <x:v>BY 6217TF</x:v>
      </x:c>
      <x:c r="D2505" s="66" t="n">
        <x:v>2024</x:v>
      </x:c>
      <x:c r="E2505" s="67" t="n">
        <x:v>2816</x:v>
      </x:c>
      <x:c r="F2505" s="68" t="n">
        <x:v>33.7</x:v>
      </x:c>
      <x:c r="G2505" s="69" t="n">
        <x:f>IF(COUNT(E2505:F2505)=2,E2505*F2505,"")</x:f>
        <x:v>94899.20000000001</x:v>
      </x:c>
    </x:row>
    <x:row r="2506">
      <x:c r="A2506" s="66" t="n">
        <x:v>18</x:v>
      </x:c>
      <x:c r="B2506" s="44" t="str">
        <x:v>Canola/Rapeseed</x:v>
      </x:c>
      <x:c r="C2506" s="44" t="str">
        <x:v>BY 6217TF</x:v>
      </x:c>
      <x:c r="D2506" s="66" t="n">
        <x:v>2025</x:v>
      </x:c>
      <x:c r="E2506" s="67" t="n">
        <x:v>1105</x:v>
      </x:c>
      <x:c r="F2506" s="68" t="n">
        <x:v>33.5</x:v>
      </x:c>
      <x:c r="G2506" s="69" t="n">
        <x:f>IF(COUNT(E2506:F2506)=2,E2506*F2506,"")</x:f>
        <x:v>37017.5</x:v>
      </x:c>
    </x:row>
    <x:row r="2507">
      <x:c r="A2507" s="66" t="n">
        <x:v>18</x:v>
      </x:c>
      <x:c r="B2507" s="44" t="str">
        <x:v>Canola/Rapeseed</x:v>
      </x:c>
      <x:c r="C2507" s="44" t="str">
        <x:v>BY 7204LL</x:v>
      </x:c>
      <x:c r="D2507" s="66" t="n">
        <x:v>2021</x:v>
      </x:c>
      <x:c r="E2507" s="67"/>
      <x:c r="F2507" s="68"/>
      <x:c r="G2507" s="69" t="str">
        <x:f>IF(COUNT(E2507:F2507)=2,E2507*F2507,"")</x:f>
      </x:c>
    </x:row>
    <x:row r="2508">
      <x:c r="A2508" s="66" t="n">
        <x:v>18</x:v>
      </x:c>
      <x:c r="B2508" s="44" t="str">
        <x:v>Canola/Rapeseed</x:v>
      </x:c>
      <x:c r="C2508" s="44" t="str">
        <x:v>BY 7204LL</x:v>
      </x:c>
      <x:c r="D2508" s="66" t="n">
        <x:v>2022</x:v>
      </x:c>
      <x:c r="E2508" s="67"/>
      <x:c r="F2508" s="68"/>
      <x:c r="G2508" s="69" t="str">
        <x:f>IF(COUNT(E2508:F2508)=2,E2508*F2508,"")</x:f>
      </x:c>
    </x:row>
    <x:row r="2509">
      <x:c r="A2509" s="66" t="n">
        <x:v>18</x:v>
      </x:c>
      <x:c r="B2509" s="44" t="str">
        <x:v>Canola/Rapeseed</x:v>
      </x:c>
      <x:c r="C2509" s="44" t="str">
        <x:v>BY 7204LL</x:v>
      </x:c>
      <x:c r="D2509" s="66" t="n">
        <x:v>2023</x:v>
      </x:c>
      <x:c r="E2509" s="67"/>
      <x:c r="F2509" s="68"/>
      <x:c r="G2509" s="69" t="str">
        <x:f>IF(COUNT(E2509:F2509)=2,E2509*F2509,"")</x:f>
      </x:c>
    </x:row>
    <x:row r="2510">
      <x:c r="A2510" s="66" t="n">
        <x:v>18</x:v>
      </x:c>
      <x:c r="B2510" s="44" t="str">
        <x:v>Canola/Rapeseed</x:v>
      </x:c>
      <x:c r="C2510" s="44" t="str">
        <x:v>BY 7204LL</x:v>
      </x:c>
      <x:c r="D2510" s="66" t="n">
        <x:v>2024</x:v>
      </x:c>
      <x:c r="E2510" s="67" t="n">
        <x:v>1506</x:v>
      </x:c>
      <x:c r="F2510" s="68" t="n">
        <x:v>32.5</x:v>
      </x:c>
      <x:c r="G2510" s="69" t="n">
        <x:f>IF(COUNT(E2510:F2510)=2,E2510*F2510,"")</x:f>
        <x:v>48945</x:v>
      </x:c>
    </x:row>
    <x:row r="2511">
      <x:c r="A2511" s="66" t="n">
        <x:v>18</x:v>
      </x:c>
      <x:c r="B2511" s="44" t="str">
        <x:v>Canola/Rapeseed</x:v>
      </x:c>
      <x:c r="C2511" s="44" t="str">
        <x:v>BY 7204LL</x:v>
      </x:c>
      <x:c r="D2511" s="66" t="n">
        <x:v>2025</x:v>
      </x:c>
      <x:c r="E2511" s="67" t="n">
        <x:v>6048</x:v>
      </x:c>
      <x:c r="F2511" s="68" t="n">
        <x:v>43.6</x:v>
      </x:c>
      <x:c r="G2511" s="69" t="n">
        <x:f>IF(COUNT(E2511:F2511)=2,E2511*F2511,"")</x:f>
        <x:v>263692.8</x:v>
      </x:c>
    </x:row>
    <x:row r="2512">
      <x:c r="A2512" s="66" t="n">
        <x:v>18</x:v>
      </x:c>
      <x:c r="B2512" s="44" t="str">
        <x:v>Canola/Rapeseed</x:v>
      </x:c>
      <x:c r="C2512" s="44" t="str">
        <x:v>B3019</x:v>
      </x:c>
      <x:c r="D2512" s="66" t="n">
        <x:v>2021</x:v>
      </x:c>
      <x:c r="E2512" s="67"/>
      <x:c r="F2512" s="68"/>
      <x:c r="G2512" s="69" t="str">
        <x:f>IF(COUNT(E2512:F2512)=2,E2512*F2512,"")</x:f>
      </x:c>
    </x:row>
    <x:row r="2513">
      <x:c r="A2513" s="66" t="n">
        <x:v>18</x:v>
      </x:c>
      <x:c r="B2513" s="44" t="str">
        <x:v>Canola/Rapeseed</x:v>
      </x:c>
      <x:c r="C2513" s="44" t="str">
        <x:v>B3019</x:v>
      </x:c>
      <x:c r="D2513" s="66" t="n">
        <x:v>2022</x:v>
      </x:c>
      <x:c r="E2513" s="67"/>
      <x:c r="F2513" s="68"/>
      <x:c r="G2513" s="69" t="str">
        <x:f>IF(COUNT(E2513:F2513)=2,E2513*F2513,"")</x:f>
      </x:c>
    </x:row>
    <x:row r="2514">
      <x:c r="A2514" s="66" t="n">
        <x:v>18</x:v>
      </x:c>
      <x:c r="B2514" s="44" t="str">
        <x:v>Canola/Rapeseed</x:v>
      </x:c>
      <x:c r="C2514" s="44" t="str">
        <x:v>B3019</x:v>
      </x:c>
      <x:c r="D2514" s="66" t="n">
        <x:v>2023</x:v>
      </x:c>
      <x:c r="E2514" s="67"/>
      <x:c r="F2514" s="68"/>
      <x:c r="G2514" s="69" t="str">
        <x:f>IF(COUNT(E2514:F2514)=2,E2514*F2514,"")</x:f>
      </x:c>
    </x:row>
    <x:row r="2515">
      <x:c r="A2515" s="66" t="n">
        <x:v>18</x:v>
      </x:c>
      <x:c r="B2515" s="44" t="str">
        <x:v>Canola/Rapeseed</x:v>
      </x:c>
      <x:c r="C2515" s="44" t="str">
        <x:v>B3019</x:v>
      </x:c>
      <x:c r="D2515" s="66" t="n">
        <x:v>2024</x:v>
      </x:c>
      <x:c r="E2515" s="67"/>
      <x:c r="F2515" s="68"/>
      <x:c r="G2515" s="69" t="str">
        <x:f>IF(COUNT(E2515:F2515)=2,E2515*F2515,"")</x:f>
      </x:c>
    </x:row>
    <x:row r="2516">
      <x:c r="A2516" s="66" t="n">
        <x:v>18</x:v>
      </x:c>
      <x:c r="B2516" s="44" t="str">
        <x:v>Canola/Rapeseed</x:v>
      </x:c>
      <x:c r="C2516" s="44" t="str">
        <x:v>B3019</x:v>
      </x:c>
      <x:c r="D2516" s="66" t="n">
        <x:v>2025</x:v>
      </x:c>
      <x:c r="E2516" s="67" t="n">
        <x:v>801</x:v>
      </x:c>
      <x:c r="F2516" s="68" t="n">
        <x:v>22.5</x:v>
      </x:c>
      <x:c r="G2516" s="69" t="n">
        <x:f>IF(COUNT(E2516:F2516)=2,E2516*F2516,"")</x:f>
        <x:v>18022.5</x:v>
      </x:c>
    </x:row>
    <x:row r="2517">
      <x:c r="A2517" s="66" t="n">
        <x:v>18</x:v>
      </x:c>
      <x:c r="B2517" s="44" t="str">
        <x:v>Canola/Rapeseed</x:v>
      </x:c>
      <x:c r="C2517" s="44" t="str">
        <x:v>B3020</x:v>
      </x:c>
      <x:c r="D2517" s="66" t="n">
        <x:v>2021</x:v>
      </x:c>
      <x:c r="E2517" s="67"/>
      <x:c r="F2517" s="68"/>
      <x:c r="G2517" s="69" t="str">
        <x:f>IF(COUNT(E2517:F2517)=2,E2517*F2517,"")</x:f>
      </x:c>
    </x:row>
    <x:row r="2518">
      <x:c r="A2518" s="66" t="n">
        <x:v>18</x:v>
      </x:c>
      <x:c r="B2518" s="44" t="str">
        <x:v>Canola/Rapeseed</x:v>
      </x:c>
      <x:c r="C2518" s="44" t="str">
        <x:v>B3020</x:v>
      </x:c>
      <x:c r="D2518" s="66" t="n">
        <x:v>2022</x:v>
      </x:c>
      <x:c r="E2518" s="67"/>
      <x:c r="F2518" s="68"/>
      <x:c r="G2518" s="69" t="str">
        <x:f>IF(COUNT(E2518:F2518)=2,E2518*F2518,"")</x:f>
      </x:c>
    </x:row>
    <x:row r="2519">
      <x:c r="A2519" s="66" t="n">
        <x:v>18</x:v>
      </x:c>
      <x:c r="B2519" s="44" t="str">
        <x:v>Canola/Rapeseed</x:v>
      </x:c>
      <x:c r="C2519" s="44" t="str">
        <x:v>B3020</x:v>
      </x:c>
      <x:c r="D2519" s="66" t="n">
        <x:v>2023</x:v>
      </x:c>
      <x:c r="E2519" s="67"/>
      <x:c r="F2519" s="68"/>
      <x:c r="G2519" s="69" t="str">
        <x:f>IF(COUNT(E2519:F2519)=2,E2519*F2519,"")</x:f>
      </x:c>
    </x:row>
    <x:row r="2520">
      <x:c r="A2520" s="66" t="n">
        <x:v>18</x:v>
      </x:c>
      <x:c r="B2520" s="44" t="str">
        <x:v>Canola/Rapeseed</x:v>
      </x:c>
      <x:c r="C2520" s="44" t="str">
        <x:v>B3020</x:v>
      </x:c>
      <x:c r="D2520" s="66" t="n">
        <x:v>2024</x:v>
      </x:c>
      <x:c r="E2520" s="67"/>
      <x:c r="F2520" s="68"/>
      <x:c r="G2520" s="69" t="str">
        <x:f>IF(COUNT(E2520:F2520)=2,E2520*F2520,"")</x:f>
      </x:c>
    </x:row>
    <x:row r="2521">
      <x:c r="A2521" s="66" t="n">
        <x:v>18</x:v>
      </x:c>
      <x:c r="B2521" s="44" t="str">
        <x:v>Canola/Rapeseed</x:v>
      </x:c>
      <x:c r="C2521" s="44" t="str">
        <x:v>B3020</x:v>
      </x:c>
      <x:c r="D2521" s="66" t="n">
        <x:v>2025</x:v>
      </x:c>
      <x:c r="E2521" s="67" t="n">
        <x:v>1735</x:v>
      </x:c>
      <x:c r="F2521" s="68" t="n">
        <x:v>44.2</x:v>
      </x:c>
      <x:c r="G2521" s="69" t="n">
        <x:f>IF(COUNT(E2521:F2521)=2,E2521*F2521,"")</x:f>
        <x:v>76687</x:v>
      </x:c>
    </x:row>
    <x:row r="2522">
      <x:c r="A2522" s="66" t="n">
        <x:v>18</x:v>
      </x:c>
      <x:c r="B2522" s="44" t="str">
        <x:v>Canola/Rapeseed</x:v>
      </x:c>
      <x:c r="C2522" s="44" t="str">
        <x:v>CS2700 CL</x:v>
      </x:c>
      <x:c r="D2522" s="66" t="n">
        <x:v>2021</x:v>
      </x:c>
      <x:c r="E2522" s="67"/>
      <x:c r="F2522" s="68"/>
      <x:c r="G2522" s="69" t="str">
        <x:f>IF(COUNT(E2522:F2522)=2,E2522*F2522,"")</x:f>
      </x:c>
    </x:row>
    <x:row r="2523">
      <x:c r="A2523" s="66" t="n">
        <x:v>18</x:v>
      </x:c>
      <x:c r="B2523" s="44" t="str">
        <x:v>Canola/Rapeseed</x:v>
      </x:c>
      <x:c r="C2523" s="44" t="str">
        <x:v>CS2700 CL</x:v>
      </x:c>
      <x:c r="D2523" s="66" t="n">
        <x:v>2022</x:v>
      </x:c>
      <x:c r="E2523" s="67"/>
      <x:c r="F2523" s="68"/>
      <x:c r="G2523" s="69" t="str">
        <x:f>IF(COUNT(E2523:F2523)=2,E2523*F2523,"")</x:f>
      </x:c>
    </x:row>
    <x:row r="2524">
      <x:c r="A2524" s="66" t="n">
        <x:v>18</x:v>
      </x:c>
      <x:c r="B2524" s="44" t="str">
        <x:v>Canola/Rapeseed</x:v>
      </x:c>
      <x:c r="C2524" s="44" t="str">
        <x:v>CS2700 CL</x:v>
      </x:c>
      <x:c r="D2524" s="66" t="n">
        <x:v>2023</x:v>
      </x:c>
      <x:c r="E2524" s="67"/>
      <x:c r="F2524" s="68"/>
      <x:c r="G2524" s="69" t="str">
        <x:f>IF(COUNT(E2524:F2524)=2,E2524*F2524,"")</x:f>
      </x:c>
    </x:row>
    <x:row r="2525">
      <x:c r="A2525" s="66" t="n">
        <x:v>18</x:v>
      </x:c>
      <x:c r="B2525" s="44" t="str">
        <x:v>Canola/Rapeseed</x:v>
      </x:c>
      <x:c r="C2525" s="44" t="str">
        <x:v>CS2700 CL</x:v>
      </x:c>
      <x:c r="D2525" s="66" t="n">
        <x:v>2024</x:v>
      </x:c>
      <x:c r="E2525" s="67"/>
      <x:c r="F2525" s="68"/>
      <x:c r="G2525" s="69" t="str">
        <x:f>IF(COUNT(E2525:F2525)=2,E2525*F2525,"")</x:f>
      </x:c>
    </x:row>
    <x:row r="2526">
      <x:c r="A2526" s="66" t="n">
        <x:v>18</x:v>
      </x:c>
      <x:c r="B2526" s="44" t="str">
        <x:v>Canola/Rapeseed</x:v>
      </x:c>
      <x:c r="C2526" s="44" t="str">
        <x:v>CS2700 CL</x:v>
      </x:c>
      <x:c r="D2526" s="66" t="n">
        <x:v>2025</x:v>
      </x:c>
      <x:c r="E2526" s="67" t="n">
        <x:v>508</x:v>
      </x:c>
      <x:c r="F2526" s="68" t="n">
        <x:v>35.6</x:v>
      </x:c>
      <x:c r="G2526" s="69" t="n">
        <x:f>IF(COUNT(E2526:F2526)=2,E2526*F2526,"")</x:f>
        <x:v>18084.8</x:v>
      </x:c>
    </x:row>
    <x:row r="2527">
      <x:c r="A2527" s="66" t="n">
        <x:v>18</x:v>
      </x:c>
      <x:c r="B2527" s="44" t="str">
        <x:v>Canola/Rapeseed</x:v>
      </x:c>
      <x:c r="C2527" s="44" t="str">
        <x:v>CS3300 TF</x:v>
      </x:c>
      <x:c r="D2527" s="66" t="n">
        <x:v>2021</x:v>
      </x:c>
      <x:c r="E2527" s="67"/>
      <x:c r="F2527" s="68"/>
      <x:c r="G2527" s="69" t="str">
        <x:f>IF(COUNT(E2527:F2527)=2,E2527*F2527,"")</x:f>
      </x:c>
    </x:row>
    <x:row r="2528">
      <x:c r="A2528" s="66" t="n">
        <x:v>18</x:v>
      </x:c>
      <x:c r="B2528" s="44" t="str">
        <x:v>Canola/Rapeseed</x:v>
      </x:c>
      <x:c r="C2528" s="44" t="str">
        <x:v>CS3300 TF</x:v>
      </x:c>
      <x:c r="D2528" s="66" t="n">
        <x:v>2022</x:v>
      </x:c>
      <x:c r="E2528" s="67"/>
      <x:c r="F2528" s="68"/>
      <x:c r="G2528" s="69" t="str">
        <x:f>IF(COUNT(E2528:F2528)=2,E2528*F2528,"")</x:f>
      </x:c>
    </x:row>
    <x:row r="2529">
      <x:c r="A2529" s="66" t="n">
        <x:v>18</x:v>
      </x:c>
      <x:c r="B2529" s="44" t="str">
        <x:v>Canola/Rapeseed</x:v>
      </x:c>
      <x:c r="C2529" s="44" t="str">
        <x:v>CS3300 TF</x:v>
      </x:c>
      <x:c r="D2529" s="66" t="n">
        <x:v>2023</x:v>
      </x:c>
      <x:c r="E2529" s="67"/>
      <x:c r="F2529" s="68"/>
      <x:c r="G2529" s="69" t="str">
        <x:f>IF(COUNT(E2529:F2529)=2,E2529*F2529,"")</x:f>
      </x:c>
    </x:row>
    <x:row r="2530">
      <x:c r="A2530" s="66" t="n">
        <x:v>18</x:v>
      </x:c>
      <x:c r="B2530" s="44" t="str">
        <x:v>Canola/Rapeseed</x:v>
      </x:c>
      <x:c r="C2530" s="44" t="str">
        <x:v>CS3300 TF</x:v>
      </x:c>
      <x:c r="D2530" s="66" t="n">
        <x:v>2024</x:v>
      </x:c>
      <x:c r="E2530" s="67"/>
      <x:c r="F2530" s="68"/>
      <x:c r="G2530" s="69" t="str">
        <x:f>IF(COUNT(E2530:F2530)=2,E2530*F2530,"")</x:f>
      </x:c>
    </x:row>
    <x:row r="2531">
      <x:c r="A2531" s="66" t="n">
        <x:v>18</x:v>
      </x:c>
      <x:c r="B2531" s="44" t="str">
        <x:v>Canola/Rapeseed</x:v>
      </x:c>
      <x:c r="C2531" s="44" t="str">
        <x:v>CS3300 TF</x:v>
      </x:c>
      <x:c r="D2531" s="66" t="n">
        <x:v>2025</x:v>
      </x:c>
      <x:c r="E2531" s="67" t="n">
        <x:v>445</x:v>
      </x:c>
      <x:c r="F2531" s="68" t="n">
        <x:v>61.5</x:v>
      </x:c>
      <x:c r="G2531" s="69" t="n">
        <x:f>IF(COUNT(E2531:F2531)=2,E2531*F2531,"")</x:f>
        <x:v>27367.5</x:v>
      </x:c>
    </x:row>
    <x:row r="2532">
      <x:c r="A2532" s="66" t="n">
        <x:v>18</x:v>
      </x:c>
      <x:c r="B2532" s="44" t="str">
        <x:v>Canola/Rapeseed</x:v>
      </x:c>
      <x:c r="C2532" s="44" t="str">
        <x:v>CS4000 LL</x:v>
      </x:c>
      <x:c r="D2532" s="66" t="n">
        <x:v>2021</x:v>
      </x:c>
      <x:c r="E2532" s="67"/>
      <x:c r="F2532" s="68"/>
      <x:c r="G2532" s="69" t="str">
        <x:f>IF(COUNT(E2532:F2532)=2,E2532*F2532,"")</x:f>
      </x:c>
    </x:row>
    <x:row r="2533">
      <x:c r="A2533" s="66" t="n">
        <x:v>18</x:v>
      </x:c>
      <x:c r="B2533" s="44" t="str">
        <x:v>Canola/Rapeseed</x:v>
      </x:c>
      <x:c r="C2533" s="44" t="str">
        <x:v>CS4000 LL</x:v>
      </x:c>
      <x:c r="D2533" s="66" t="n">
        <x:v>2022</x:v>
      </x:c>
      <x:c r="E2533" s="67" t="n">
        <x:v>1180</x:v>
      </x:c>
      <x:c r="F2533" s="68" t="n">
        <x:v>28.5</x:v>
      </x:c>
      <x:c r="G2533" s="69" t="n">
        <x:f>IF(COUNT(E2533:F2533)=2,E2533*F2533,"")</x:f>
        <x:v>33630</x:v>
      </x:c>
    </x:row>
    <x:row r="2534">
      <x:c r="A2534" s="66" t="n">
        <x:v>18</x:v>
      </x:c>
      <x:c r="B2534" s="44" t="str">
        <x:v>Canola/Rapeseed</x:v>
      </x:c>
      <x:c r="C2534" s="44" t="str">
        <x:v>CS4000 LL</x:v>
      </x:c>
      <x:c r="D2534" s="66" t="n">
        <x:v>2023</x:v>
      </x:c>
      <x:c r="E2534" s="67" t="n">
        <x:v>3247</x:v>
      </x:c>
      <x:c r="F2534" s="68" t="n">
        <x:v>41.1</x:v>
      </x:c>
      <x:c r="G2534" s="69" t="n">
        <x:f>IF(COUNT(E2534:F2534)=2,E2534*F2534,"")</x:f>
        <x:v>133451.7</x:v>
      </x:c>
    </x:row>
    <x:row r="2535">
      <x:c r="A2535" s="66" t="n">
        <x:v>18</x:v>
      </x:c>
      <x:c r="B2535" s="44" t="str">
        <x:v>Canola/Rapeseed</x:v>
      </x:c>
      <x:c r="C2535" s="44" t="str">
        <x:v>CS4000 LL</x:v>
      </x:c>
      <x:c r="D2535" s="66" t="n">
        <x:v>2024</x:v>
      </x:c>
      <x:c r="E2535" s="67" t="n">
        <x:v>3423</x:v>
      </x:c>
      <x:c r="F2535" s="68" t="n">
        <x:v>35.2</x:v>
      </x:c>
      <x:c r="G2535" s="69" t="n">
        <x:f>IF(COUNT(E2535:F2535)=2,E2535*F2535,"")</x:f>
        <x:v>120489.6</x:v>
      </x:c>
    </x:row>
    <x:row r="2536">
      <x:c r="A2536" s="66" t="n">
        <x:v>18</x:v>
      </x:c>
      <x:c r="B2536" s="44" t="str">
        <x:v>Canola/Rapeseed</x:v>
      </x:c>
      <x:c r="C2536" s="44" t="str">
        <x:v>CS4000 LL</x:v>
      </x:c>
      <x:c r="D2536" s="66" t="n">
        <x:v>2025</x:v>
      </x:c>
      <x:c r="E2536" s="67" t="n">
        <x:v>4126</x:v>
      </x:c>
      <x:c r="F2536" s="68" t="n">
        <x:v>50</x:v>
      </x:c>
      <x:c r="G2536" s="69" t="n">
        <x:f>IF(COUNT(E2536:F2536)=2,E2536*F2536,"")</x:f>
        <x:v>206300</x:v>
      </x:c>
    </x:row>
    <x:row r="2537">
      <x:c r="A2537" s="66" t="n">
        <x:v>18</x:v>
      </x:c>
      <x:c r="B2537" s="44" t="str">
        <x:v>Canola/Rapeseed</x:v>
      </x:c>
      <x:c r="C2537" s="44" t="str">
        <x:v>DK 801 LL</x:v>
      </x:c>
      <x:c r="D2537" s="66" t="n">
        <x:v>2021</x:v>
      </x:c>
      <x:c r="E2537" s="67"/>
      <x:c r="F2537" s="68"/>
      <x:c r="G2537" s="69" t="str">
        <x:f>IF(COUNT(E2537:F2537)=2,E2537*F2537,"")</x:f>
      </x:c>
    </x:row>
    <x:row r="2538">
      <x:c r="A2538" s="66" t="n">
        <x:v>18</x:v>
      </x:c>
      <x:c r="B2538" s="44" t="str">
        <x:v>Canola/Rapeseed</x:v>
      </x:c>
      <x:c r="C2538" s="44" t="str">
        <x:v>DK 801 LL</x:v>
      </x:c>
      <x:c r="D2538" s="66" t="n">
        <x:v>2022</x:v>
      </x:c>
      <x:c r="E2538" s="67"/>
      <x:c r="F2538" s="68"/>
      <x:c r="G2538" s="69" t="str">
        <x:f>IF(COUNT(E2538:F2538)=2,E2538*F2538,"")</x:f>
      </x:c>
    </x:row>
    <x:row r="2539">
      <x:c r="A2539" s="66" t="n">
        <x:v>18</x:v>
      </x:c>
      <x:c r="B2539" s="44" t="str">
        <x:v>Canola/Rapeseed</x:v>
      </x:c>
      <x:c r="C2539" s="44" t="str">
        <x:v>DK 801 LL</x:v>
      </x:c>
      <x:c r="D2539" s="66" t="n">
        <x:v>2023</x:v>
      </x:c>
      <x:c r="E2539" s="67"/>
      <x:c r="F2539" s="68"/>
      <x:c r="G2539" s="69" t="str">
        <x:f>IF(COUNT(E2539:F2539)=2,E2539*F2539,"")</x:f>
      </x:c>
    </x:row>
    <x:row r="2540">
      <x:c r="A2540" s="66" t="n">
        <x:v>18</x:v>
      </x:c>
      <x:c r="B2540" s="44" t="str">
        <x:v>Canola/Rapeseed</x:v>
      </x:c>
      <x:c r="C2540" s="44" t="str">
        <x:v>DK 801 LL</x:v>
      </x:c>
      <x:c r="D2540" s="66" t="n">
        <x:v>2024</x:v>
      </x:c>
      <x:c r="E2540" s="67" t="n">
        <x:v>504</x:v>
      </x:c>
      <x:c r="F2540" s="68" t="n">
        <x:v>28.2</x:v>
      </x:c>
      <x:c r="G2540" s="69" t="n">
        <x:f>IF(COUNT(E2540:F2540)=2,E2540*F2540,"")</x:f>
        <x:v>14212.8</x:v>
      </x:c>
    </x:row>
    <x:row r="2541">
      <x:c r="A2541" s="66" t="n">
        <x:v>18</x:v>
      </x:c>
      <x:c r="B2541" s="44" t="str">
        <x:v>Canola/Rapeseed</x:v>
      </x:c>
      <x:c r="C2541" s="44" t="str">
        <x:v>DK 801 LL</x:v>
      </x:c>
      <x:c r="D2541" s="66" t="n">
        <x:v>2025</x:v>
      </x:c>
      <x:c r="E2541" s="67" t="n">
        <x:v>3052</x:v>
      </x:c>
      <x:c r="F2541" s="68" t="n">
        <x:v>45.5</x:v>
      </x:c>
      <x:c r="G2541" s="69" t="n">
        <x:f>IF(COUNT(E2541:F2541)=2,E2541*F2541,"")</x:f>
        <x:v>138866</x:v>
      </x:c>
    </x:row>
    <x:row r="2542">
      <x:c r="A2542" s="66" t="n">
        <x:v>18</x:v>
      </x:c>
      <x:c r="B2542" s="44" t="str">
        <x:v>Canola/Rapeseed</x:v>
      </x:c>
      <x:c r="C2542" s="44" t="str">
        <x:v>DK401TK</x:v>
      </x:c>
      <x:c r="D2542" s="66" t="n">
        <x:v>2021</x:v>
      </x:c>
      <x:c r="E2542" s="67"/>
      <x:c r="F2542" s="68"/>
      <x:c r="G2542" s="69" t="str">
        <x:f>IF(COUNT(E2542:F2542)=2,E2542*F2542,"")</x:f>
      </x:c>
    </x:row>
    <x:row r="2543">
      <x:c r="A2543" s="66" t="n">
        <x:v>18</x:v>
      </x:c>
      <x:c r="B2543" s="44" t="str">
        <x:v>Canola/Rapeseed</x:v>
      </x:c>
      <x:c r="C2543" s="44" t="str">
        <x:v>DK401TK</x:v>
      </x:c>
      <x:c r="D2543" s="66" t="n">
        <x:v>2022</x:v>
      </x:c>
      <x:c r="E2543" s="67"/>
      <x:c r="F2543" s="68"/>
      <x:c r="G2543" s="69" t="str">
        <x:f>IF(COUNT(E2543:F2543)=2,E2543*F2543,"")</x:f>
      </x:c>
    </x:row>
    <x:row r="2544">
      <x:c r="A2544" s="66" t="n">
        <x:v>18</x:v>
      </x:c>
      <x:c r="B2544" s="44" t="str">
        <x:v>Canola/Rapeseed</x:v>
      </x:c>
      <x:c r="C2544" s="44" t="str">
        <x:v>DK401TK</x:v>
      </x:c>
      <x:c r="D2544" s="66" t="n">
        <x:v>2023</x:v>
      </x:c>
      <x:c r="E2544" s="67"/>
      <x:c r="F2544" s="68"/>
      <x:c r="G2544" s="69" t="str">
        <x:f>IF(COUNT(E2544:F2544)=2,E2544*F2544,"")</x:f>
      </x:c>
    </x:row>
    <x:row r="2545">
      <x:c r="A2545" s="66" t="n">
        <x:v>18</x:v>
      </x:c>
      <x:c r="B2545" s="44" t="str">
        <x:v>Canola/Rapeseed</x:v>
      </x:c>
      <x:c r="C2545" s="44" t="str">
        <x:v>DK401TK</x:v>
      </x:c>
      <x:c r="D2545" s="66" t="n">
        <x:v>2024</x:v>
      </x:c>
      <x:c r="E2545" s="67"/>
      <x:c r="F2545" s="68"/>
      <x:c r="G2545" s="69" t="str">
        <x:f>IF(COUNT(E2545:F2545)=2,E2545*F2545,"")</x:f>
      </x:c>
    </x:row>
    <x:row r="2546">
      <x:c r="A2546" s="66" t="n">
        <x:v>18</x:v>
      </x:c>
      <x:c r="B2546" s="44" t="str">
        <x:v>Canola/Rapeseed</x:v>
      </x:c>
      <x:c r="C2546" s="44" t="str">
        <x:v>DK401TK</x:v>
      </x:c>
      <x:c r="D2546" s="66" t="n">
        <x:v>2025</x:v>
      </x:c>
      <x:c r="E2546" s="67" t="n">
        <x:v>2441</x:v>
      </x:c>
      <x:c r="F2546" s="68" t="n">
        <x:v>44</x:v>
      </x:c>
      <x:c r="G2546" s="69" t="n">
        <x:f>IF(COUNT(E2546:F2546)=2,E2546*F2546,"")</x:f>
        <x:v>107404</x:v>
      </x:c>
    </x:row>
    <x:row r="2547">
      <x:c r="A2547" s="66" t="n">
        <x:v>18</x:v>
      </x:c>
      <x:c r="B2547" s="44" t="str">
        <x:v>Canola/Rapeseed</x:v>
      </x:c>
      <x:c r="C2547" s="44" t="str">
        <x:v>DK401TL</x:v>
      </x:c>
      <x:c r="D2547" s="66" t="n">
        <x:v>2021</x:v>
      </x:c>
      <x:c r="E2547" s="67"/>
      <x:c r="F2547" s="68"/>
      <x:c r="G2547" s="69" t="str">
        <x:f>IF(COUNT(E2547:F2547)=2,E2547*F2547,"")</x:f>
      </x:c>
    </x:row>
    <x:row r="2548">
      <x:c r="A2548" s="66" t="n">
        <x:v>18</x:v>
      </x:c>
      <x:c r="B2548" s="44" t="str">
        <x:v>Canola/Rapeseed</x:v>
      </x:c>
      <x:c r="C2548" s="44" t="str">
        <x:v>DK401TL</x:v>
      </x:c>
      <x:c r="D2548" s="66" t="n">
        <x:v>2022</x:v>
      </x:c>
      <x:c r="E2548" s="67"/>
      <x:c r="F2548" s="68"/>
      <x:c r="G2548" s="69" t="str">
        <x:f>IF(COUNT(E2548:F2548)=2,E2548*F2548,"")</x:f>
      </x:c>
    </x:row>
    <x:row r="2549">
      <x:c r="A2549" s="66" t="n">
        <x:v>18</x:v>
      </x:c>
      <x:c r="B2549" s="44" t="str">
        <x:v>Canola/Rapeseed</x:v>
      </x:c>
      <x:c r="C2549" s="44" t="str">
        <x:v>DK401TL</x:v>
      </x:c>
      <x:c r="D2549" s="66" t="n">
        <x:v>2023</x:v>
      </x:c>
      <x:c r="E2549" s="67"/>
      <x:c r="F2549" s="68"/>
      <x:c r="G2549" s="69" t="str">
        <x:f>IF(COUNT(E2549:F2549)=2,E2549*F2549,"")</x:f>
      </x:c>
    </x:row>
    <x:row r="2550">
      <x:c r="A2550" s="66" t="n">
        <x:v>18</x:v>
      </x:c>
      <x:c r="B2550" s="44" t="str">
        <x:v>Canola/Rapeseed</x:v>
      </x:c>
      <x:c r="C2550" s="44" t="str">
        <x:v>DK401TL</x:v>
      </x:c>
      <x:c r="D2550" s="66" t="n">
        <x:v>2024</x:v>
      </x:c>
      <x:c r="E2550" s="67"/>
      <x:c r="F2550" s="68"/>
      <x:c r="G2550" s="69" t="str">
        <x:f>IF(COUNT(E2550:F2550)=2,E2550*F2550,"")</x:f>
      </x:c>
    </x:row>
    <x:row r="2551">
      <x:c r="A2551" s="66" t="n">
        <x:v>18</x:v>
      </x:c>
      <x:c r="B2551" s="44" t="str">
        <x:v>Canola/Rapeseed</x:v>
      </x:c>
      <x:c r="C2551" s="44" t="str">
        <x:v>DK401TL</x:v>
      </x:c>
      <x:c r="D2551" s="66" t="n">
        <x:v>2025</x:v>
      </x:c>
      <x:c r="E2551" s="67" t="n">
        <x:v>6024</x:v>
      </x:c>
      <x:c r="F2551" s="68" t="n">
        <x:v>42.5</x:v>
      </x:c>
      <x:c r="G2551" s="69" t="n">
        <x:f>IF(COUNT(E2551:F2551)=2,E2551*F2551,"")</x:f>
        <x:v>256020</x:v>
      </x:c>
    </x:row>
    <x:row r="2552">
      <x:c r="A2552" s="66" t="n">
        <x:v>18</x:v>
      </x:c>
      <x:c r="B2552" s="44" t="str">
        <x:v>Canola/Rapeseed</x:v>
      </x:c>
      <x:c r="C2552" s="44" t="str">
        <x:v>DK800LL</x:v>
      </x:c>
      <x:c r="D2552" s="66" t="n">
        <x:v>2021</x:v>
      </x:c>
      <x:c r="E2552" s="67"/>
      <x:c r="F2552" s="68"/>
      <x:c r="G2552" s="69" t="str">
        <x:f>IF(COUNT(E2552:F2552)=2,E2552*F2552,"")</x:f>
      </x:c>
    </x:row>
    <x:row r="2553">
      <x:c r="A2553" s="66" t="n">
        <x:v>18</x:v>
      </x:c>
      <x:c r="B2553" s="44" t="str">
        <x:v>Canola/Rapeseed</x:v>
      </x:c>
      <x:c r="C2553" s="44" t="str">
        <x:v>DK800LL</x:v>
      </x:c>
      <x:c r="D2553" s="66" t="n">
        <x:v>2022</x:v>
      </x:c>
      <x:c r="E2553" s="67"/>
      <x:c r="F2553" s="68"/>
      <x:c r="G2553" s="69" t="str">
        <x:f>IF(COUNT(E2553:F2553)=2,E2553*F2553,"")</x:f>
      </x:c>
    </x:row>
    <x:row r="2554">
      <x:c r="A2554" s="66" t="n">
        <x:v>18</x:v>
      </x:c>
      <x:c r="B2554" s="44" t="str">
        <x:v>Canola/Rapeseed</x:v>
      </x:c>
      <x:c r="C2554" s="44" t="str">
        <x:v>DK800LL</x:v>
      </x:c>
      <x:c r="D2554" s="66" t="n">
        <x:v>2023</x:v>
      </x:c>
      <x:c r="E2554" s="67"/>
      <x:c r="F2554" s="68"/>
      <x:c r="G2554" s="69" t="str">
        <x:f>IF(COUNT(E2554:F2554)=2,E2554*F2554,"")</x:f>
      </x:c>
    </x:row>
    <x:row r="2555">
      <x:c r="A2555" s="66" t="n">
        <x:v>18</x:v>
      </x:c>
      <x:c r="B2555" s="44" t="str">
        <x:v>Canola/Rapeseed</x:v>
      </x:c>
      <x:c r="C2555" s="44" t="str">
        <x:v>DK800LL</x:v>
      </x:c>
      <x:c r="D2555" s="66" t="n">
        <x:v>2024</x:v>
      </x:c>
      <x:c r="E2555" s="67" t="n">
        <x:v>1323</x:v>
      </x:c>
      <x:c r="F2555" s="68" t="n">
        <x:v>30.6</x:v>
      </x:c>
      <x:c r="G2555" s="69" t="n">
        <x:f>IF(COUNT(E2555:F2555)=2,E2555*F2555,"")</x:f>
        <x:v>40483.8</x:v>
      </x:c>
    </x:row>
    <x:row r="2556">
      <x:c r="A2556" s="66" t="n">
        <x:v>18</x:v>
      </x:c>
      <x:c r="B2556" s="44" t="str">
        <x:v>Canola/Rapeseed</x:v>
      </x:c>
      <x:c r="C2556" s="44" t="str">
        <x:v>DK800LL</x:v>
      </x:c>
      <x:c r="D2556" s="66" t="n">
        <x:v>2025</x:v>
      </x:c>
      <x:c r="E2556" s="67" t="n">
        <x:v>13234</x:v>
      </x:c>
      <x:c r="F2556" s="68" t="n">
        <x:v>38</x:v>
      </x:c>
      <x:c r="G2556" s="69" t="n">
        <x:f>IF(COUNT(E2556:F2556)=2,E2556*F2556,"")</x:f>
        <x:v>502892</x:v>
      </x:c>
    </x:row>
    <x:row r="2557">
      <x:c r="A2557" s="66" t="n">
        <x:v>18</x:v>
      </x:c>
      <x:c r="B2557" s="44" t="str">
        <x:v>Canola/Rapeseed</x:v>
      </x:c>
      <x:c r="C2557" s="44" t="str">
        <x:v>DK801LL</x:v>
      </x:c>
      <x:c r="D2557" s="66" t="n">
        <x:v>2021</x:v>
      </x:c>
      <x:c r="E2557" s="67"/>
      <x:c r="F2557" s="68"/>
      <x:c r="G2557" s="69" t="str">
        <x:f>IF(COUNT(E2557:F2557)=2,E2557*F2557,"")</x:f>
      </x:c>
    </x:row>
    <x:row r="2558">
      <x:c r="A2558" s="66" t="n">
        <x:v>18</x:v>
      </x:c>
      <x:c r="B2558" s="44" t="str">
        <x:v>Canola/Rapeseed</x:v>
      </x:c>
      <x:c r="C2558" s="44" t="str">
        <x:v>DK801LL</x:v>
      </x:c>
      <x:c r="D2558" s="66" t="n">
        <x:v>2022</x:v>
      </x:c>
      <x:c r="E2558" s="67"/>
      <x:c r="F2558" s="68"/>
      <x:c r="G2558" s="69" t="str">
        <x:f>IF(COUNT(E2558:F2558)=2,E2558*F2558,"")</x:f>
      </x:c>
    </x:row>
    <x:row r="2559">
      <x:c r="A2559" s="66" t="n">
        <x:v>18</x:v>
      </x:c>
      <x:c r="B2559" s="44" t="str">
        <x:v>Canola/Rapeseed</x:v>
      </x:c>
      <x:c r="C2559" s="44" t="str">
        <x:v>DK801LL</x:v>
      </x:c>
      <x:c r="D2559" s="66" t="n">
        <x:v>2023</x:v>
      </x:c>
      <x:c r="E2559" s="67"/>
      <x:c r="F2559" s="68"/>
      <x:c r="G2559" s="69" t="str">
        <x:f>IF(COUNT(E2559:F2559)=2,E2559*F2559,"")</x:f>
      </x:c>
    </x:row>
    <x:row r="2560">
      <x:c r="A2560" s="66" t="n">
        <x:v>18</x:v>
      </x:c>
      <x:c r="B2560" s="44" t="str">
        <x:v>Canola/Rapeseed</x:v>
      </x:c>
      <x:c r="C2560" s="44" t="str">
        <x:v>DK801LL</x:v>
      </x:c>
      <x:c r="D2560" s="66" t="n">
        <x:v>2024</x:v>
      </x:c>
      <x:c r="E2560" s="67"/>
      <x:c r="F2560" s="68"/>
      <x:c r="G2560" s="69" t="str">
        <x:f>IF(COUNT(E2560:F2560)=2,E2560*F2560,"")</x:f>
      </x:c>
    </x:row>
    <x:row r="2561">
      <x:c r="A2561" s="66" t="n">
        <x:v>18</x:v>
      </x:c>
      <x:c r="B2561" s="44" t="str">
        <x:v>Canola/Rapeseed</x:v>
      </x:c>
      <x:c r="C2561" s="44" t="str">
        <x:v>DK801LL</x:v>
      </x:c>
      <x:c r="D2561" s="66" t="n">
        <x:v>2025</x:v>
      </x:c>
      <x:c r="E2561" s="67" t="n">
        <x:v>2635</x:v>
      </x:c>
      <x:c r="F2561" s="68" t="n">
        <x:v>47.4</x:v>
      </x:c>
      <x:c r="G2561" s="69" t="n">
        <x:f>IF(COUNT(E2561:F2561)=2,E2561*F2561,"")</x:f>
        <x:v>124899</x:v>
      </x:c>
    </x:row>
    <x:row r="2562">
      <x:c r="A2562" s="66" t="n">
        <x:v>18</x:v>
      </x:c>
      <x:c r="B2562" s="44" t="str">
        <x:v>Canola/Rapeseed</x:v>
      </x:c>
      <x:c r="C2562" s="44" t="str">
        <x:v>DK900TF</x:v>
      </x:c>
      <x:c r="D2562" s="66" t="n">
        <x:v>2021</x:v>
      </x:c>
      <x:c r="E2562" s="67"/>
      <x:c r="F2562" s="68"/>
      <x:c r="G2562" s="69" t="str">
        <x:f>IF(COUNT(E2562:F2562)=2,E2562*F2562,"")</x:f>
      </x:c>
    </x:row>
    <x:row r="2563">
      <x:c r="A2563" s="66" t="n">
        <x:v>18</x:v>
      </x:c>
      <x:c r="B2563" s="44" t="str">
        <x:v>Canola/Rapeseed</x:v>
      </x:c>
      <x:c r="C2563" s="44" t="str">
        <x:v>DK900TF</x:v>
      </x:c>
      <x:c r="D2563" s="66" t="n">
        <x:v>2022</x:v>
      </x:c>
      <x:c r="E2563" s="67"/>
      <x:c r="F2563" s="68"/>
      <x:c r="G2563" s="69" t="str">
        <x:f>IF(COUNT(E2563:F2563)=2,E2563*F2563,"")</x:f>
      </x:c>
    </x:row>
    <x:row r="2564">
      <x:c r="A2564" s="66" t="n">
        <x:v>18</x:v>
      </x:c>
      <x:c r="B2564" s="44" t="str">
        <x:v>Canola/Rapeseed</x:v>
      </x:c>
      <x:c r="C2564" s="44" t="str">
        <x:v>DK900TF</x:v>
      </x:c>
      <x:c r="D2564" s="66" t="n">
        <x:v>2023</x:v>
      </x:c>
      <x:c r="E2564" s="67" t="n">
        <x:v>6100</x:v>
      </x:c>
      <x:c r="F2564" s="68" t="n">
        <x:v>40.8</x:v>
      </x:c>
      <x:c r="G2564" s="69" t="n">
        <x:f>IF(COUNT(E2564:F2564)=2,E2564*F2564,"")</x:f>
        <x:v>248879.99999999997</x:v>
      </x:c>
    </x:row>
    <x:row r="2565">
      <x:c r="A2565" s="66" t="n">
        <x:v>18</x:v>
      </x:c>
      <x:c r="B2565" s="44" t="str">
        <x:v>Canola/Rapeseed</x:v>
      </x:c>
      <x:c r="C2565" s="44" t="str">
        <x:v>DK900TF</x:v>
      </x:c>
      <x:c r="D2565" s="66" t="n">
        <x:v>2024</x:v>
      </x:c>
      <x:c r="E2565" s="67" t="n">
        <x:v>5569</x:v>
      </x:c>
      <x:c r="F2565" s="68" t="n">
        <x:v>30.8</x:v>
      </x:c>
      <x:c r="G2565" s="69" t="n">
        <x:f>IF(COUNT(E2565:F2565)=2,E2565*F2565,"")</x:f>
        <x:v>171525.2</x:v>
      </x:c>
    </x:row>
    <x:row r="2566">
      <x:c r="A2566" s="66" t="n">
        <x:v>18</x:v>
      </x:c>
      <x:c r="B2566" s="44" t="str">
        <x:v>Canola/Rapeseed</x:v>
      </x:c>
      <x:c r="C2566" s="44" t="str">
        <x:v>DK900TF</x:v>
      </x:c>
      <x:c r="D2566" s="66" t="n">
        <x:v>2025</x:v>
      </x:c>
      <x:c r="E2566" s="67" t="n">
        <x:v>2708</x:v>
      </x:c>
      <x:c r="F2566" s="68" t="n">
        <x:v>46.6</x:v>
      </x:c>
      <x:c r="G2566" s="69" t="n">
        <x:f>IF(COUNT(E2566:F2566)=2,E2566*F2566,"")</x:f>
        <x:v>126192.8</x:v>
      </x:c>
    </x:row>
    <x:row r="2567">
      <x:c r="A2567" s="66" t="n">
        <x:v>18</x:v>
      </x:c>
      <x:c r="B2567" s="44" t="str">
        <x:v>Canola/Rapeseed</x:v>
      </x:c>
      <x:c r="C2567" s="44" t="str">
        <x:v>DK902TF</x:v>
      </x:c>
      <x:c r="D2567" s="66" t="n">
        <x:v>2021</x:v>
      </x:c>
      <x:c r="E2567" s="67"/>
      <x:c r="F2567" s="68"/>
      <x:c r="G2567" s="69" t="str">
        <x:f>IF(COUNT(E2567:F2567)=2,E2567*F2567,"")</x:f>
      </x:c>
    </x:row>
    <x:row r="2568">
      <x:c r="A2568" s="66" t="n">
        <x:v>18</x:v>
      </x:c>
      <x:c r="B2568" s="44" t="str">
        <x:v>Canola/Rapeseed</x:v>
      </x:c>
      <x:c r="C2568" s="44" t="str">
        <x:v>DK902TF</x:v>
      </x:c>
      <x:c r="D2568" s="66" t="n">
        <x:v>2022</x:v>
      </x:c>
      <x:c r="E2568" s="67"/>
      <x:c r="F2568" s="68"/>
      <x:c r="G2568" s="69" t="str">
        <x:f>IF(COUNT(E2568:F2568)=2,E2568*F2568,"")</x:f>
      </x:c>
    </x:row>
    <x:row r="2569">
      <x:c r="A2569" s="66" t="n">
        <x:v>18</x:v>
      </x:c>
      <x:c r="B2569" s="44" t="str">
        <x:v>Canola/Rapeseed</x:v>
      </x:c>
      <x:c r="C2569" s="44" t="str">
        <x:v>DK902TF</x:v>
      </x:c>
      <x:c r="D2569" s="66" t="n">
        <x:v>2023</x:v>
      </x:c>
      <x:c r="E2569" s="67" t="n">
        <x:v>483</x:v>
      </x:c>
      <x:c r="F2569" s="68" t="n">
        <x:v>44.5</x:v>
      </x:c>
      <x:c r="G2569" s="69" t="n">
        <x:f>IF(COUNT(E2569:F2569)=2,E2569*F2569,"")</x:f>
        <x:v>21493.5</x:v>
      </x:c>
    </x:row>
    <x:row r="2570">
      <x:c r="A2570" s="66" t="n">
        <x:v>18</x:v>
      </x:c>
      <x:c r="B2570" s="44" t="str">
        <x:v>Canola/Rapeseed</x:v>
      </x:c>
      <x:c r="C2570" s="44" t="str">
        <x:v>DK902TF</x:v>
      </x:c>
      <x:c r="D2570" s="66" t="n">
        <x:v>2024</x:v>
      </x:c>
      <x:c r="E2570" s="67" t="n">
        <x:v>1857</x:v>
      </x:c>
      <x:c r="F2570" s="68" t="n">
        <x:v>26.2</x:v>
      </x:c>
      <x:c r="G2570" s="69" t="n">
        <x:f>IF(COUNT(E2570:F2570)=2,E2570*F2570,"")</x:f>
        <x:v>48653.4</x:v>
      </x:c>
    </x:row>
    <x:row r="2571">
      <x:c r="A2571" s="66" t="n">
        <x:v>18</x:v>
      </x:c>
      <x:c r="B2571" s="44" t="str">
        <x:v>Canola/Rapeseed</x:v>
      </x:c>
      <x:c r="C2571" s="44" t="str">
        <x:v>DK902TF</x:v>
      </x:c>
      <x:c r="D2571" s="66" t="n">
        <x:v>2025</x:v>
      </x:c>
      <x:c r="E2571" s="67" t="n">
        <x:v>986</x:v>
      </x:c>
      <x:c r="F2571" s="68" t="n">
        <x:v>34.1</x:v>
      </x:c>
      <x:c r="G2571" s="69" t="n">
        <x:f>IF(COUNT(E2571:F2571)=2,E2571*F2571,"")</x:f>
        <x:v>33622.6</x:v>
      </x:c>
    </x:row>
    <x:row r="2572">
      <x:c r="A2572" s="66" t="n">
        <x:v>18</x:v>
      </x:c>
      <x:c r="B2572" s="44" t="str">
        <x:v>Canola/Rapeseed</x:v>
      </x:c>
      <x:c r="C2572" s="44" t="str">
        <x:v>LR354PC</x:v>
      </x:c>
      <x:c r="D2572" s="66" t="n">
        <x:v>2021</x:v>
      </x:c>
      <x:c r="E2572" s="67"/>
      <x:c r="F2572" s="68"/>
      <x:c r="G2572" s="69" t="str">
        <x:f>IF(COUNT(E2572:F2572)=2,E2572*F2572,"")</x:f>
      </x:c>
    </x:row>
    <x:row r="2573">
      <x:c r="A2573" s="66" t="n">
        <x:v>18</x:v>
      </x:c>
      <x:c r="B2573" s="44" t="str">
        <x:v>Canola/Rapeseed</x:v>
      </x:c>
      <x:c r="C2573" s="44" t="str">
        <x:v>LR354PC</x:v>
      </x:c>
      <x:c r="D2573" s="66" t="n">
        <x:v>2022</x:v>
      </x:c>
      <x:c r="E2573" s="67"/>
      <x:c r="F2573" s="68"/>
      <x:c r="G2573" s="69" t="str">
        <x:f>IF(COUNT(E2573:F2573)=2,E2573*F2573,"")</x:f>
      </x:c>
    </x:row>
    <x:row r="2574">
      <x:c r="A2574" s="66" t="n">
        <x:v>18</x:v>
      </x:c>
      <x:c r="B2574" s="44" t="str">
        <x:v>Canola/Rapeseed</x:v>
      </x:c>
      <x:c r="C2574" s="44" t="str">
        <x:v>LR354PC</x:v>
      </x:c>
      <x:c r="D2574" s="66" t="n">
        <x:v>2023</x:v>
      </x:c>
      <x:c r="E2574" s="67" t="n">
        <x:v>611</x:v>
      </x:c>
      <x:c r="F2574" s="68" t="n">
        <x:v>34.2</x:v>
      </x:c>
      <x:c r="G2574" s="69" t="n">
        <x:f>IF(COUNT(E2574:F2574)=2,E2574*F2574,"")</x:f>
        <x:v>20896.2</x:v>
      </x:c>
    </x:row>
    <x:row r="2575">
      <x:c r="A2575" s="66" t="n">
        <x:v>18</x:v>
      </x:c>
      <x:c r="B2575" s="44" t="str">
        <x:v>Canola/Rapeseed</x:v>
      </x:c>
      <x:c r="C2575" s="44" t="str">
        <x:v>LR354PC</x:v>
      </x:c>
      <x:c r="D2575" s="66" t="n">
        <x:v>2024</x:v>
      </x:c>
      <x:c r="E2575" s="67" t="n">
        <x:v>1927</x:v>
      </x:c>
      <x:c r="F2575" s="68" t="n">
        <x:v>32.8</x:v>
      </x:c>
      <x:c r="G2575" s="69" t="n">
        <x:f>IF(COUNT(E2575:F2575)=2,E2575*F2575,"")</x:f>
        <x:v>63205.59999999999</x:v>
      </x:c>
    </x:row>
    <x:row r="2576">
      <x:c r="A2576" s="66" t="n">
        <x:v>18</x:v>
      </x:c>
      <x:c r="B2576" s="44" t="str">
        <x:v>Canola/Rapeseed</x:v>
      </x:c>
      <x:c r="C2576" s="44" t="str">
        <x:v>LR354PC</x:v>
      </x:c>
      <x:c r="D2576" s="66" t="n">
        <x:v>2025</x:v>
      </x:c>
      <x:c r="E2576" s="67" t="n">
        <x:v>2572</x:v>
      </x:c>
      <x:c r="F2576" s="68" t="n">
        <x:v>59</x:v>
      </x:c>
      <x:c r="G2576" s="69" t="n">
        <x:f>IF(COUNT(E2576:F2576)=2,E2576*F2576,"")</x:f>
        <x:v>151748</x:v>
      </x:c>
    </x:row>
    <x:row r="2577">
      <x:c r="A2577" s="66" t="n">
        <x:v>18</x:v>
      </x:c>
      <x:c r="B2577" s="44" t="str">
        <x:v>Canola/Rapeseed</x:v>
      </x:c>
      <x:c r="C2577" s="44" t="str">
        <x:v>L233P</x:v>
      </x:c>
      <x:c r="D2577" s="66" t="n">
        <x:v>2021</x:v>
      </x:c>
      <x:c r="E2577" s="67" t="n">
        <x:v>30137</x:v>
      </x:c>
      <x:c r="F2577" s="68" t="n">
        <x:v>18.3</x:v>
      </x:c>
      <x:c r="G2577" s="69" t="n">
        <x:f>IF(COUNT(E2577:F2577)=2,E2577*F2577,"")</x:f>
        <x:v>551507.1</x:v>
      </x:c>
    </x:row>
    <x:row r="2578">
      <x:c r="A2578" s="66" t="n">
        <x:v>18</x:v>
      </x:c>
      <x:c r="B2578" s="44" t="str">
        <x:v>Canola/Rapeseed</x:v>
      </x:c>
      <x:c r="C2578" s="44" t="str">
        <x:v>L233P</x:v>
      </x:c>
      <x:c r="D2578" s="66" t="n">
        <x:v>2022</x:v>
      </x:c>
      <x:c r="E2578" s="67" t="n">
        <x:v>19952</x:v>
      </x:c>
      <x:c r="F2578" s="68" t="n">
        <x:v>27.8</x:v>
      </x:c>
      <x:c r="G2578" s="69" t="n">
        <x:f>IF(COUNT(E2578:F2578)=2,E2578*F2578,"")</x:f>
        <x:v>554665.6</x:v>
      </x:c>
    </x:row>
    <x:row r="2579">
      <x:c r="A2579" s="66" t="n">
        <x:v>18</x:v>
      </x:c>
      <x:c r="B2579" s="44" t="str">
        <x:v>Canola/Rapeseed</x:v>
      </x:c>
      <x:c r="C2579" s="44" t="str">
        <x:v>L233P</x:v>
      </x:c>
      <x:c r="D2579" s="66" t="n">
        <x:v>2023</x:v>
      </x:c>
      <x:c r="E2579" s="67" t="n">
        <x:v>20328</x:v>
      </x:c>
      <x:c r="F2579" s="68" t="n">
        <x:v>32.1</x:v>
      </x:c>
      <x:c r="G2579" s="69" t="n">
        <x:f>IF(COUNT(E2579:F2579)=2,E2579*F2579,"")</x:f>
        <x:v>652528.8</x:v>
      </x:c>
    </x:row>
    <x:row r="2580">
      <x:c r="A2580" s="66" t="n">
        <x:v>18</x:v>
      </x:c>
      <x:c r="B2580" s="44" t="str">
        <x:v>Canola/Rapeseed</x:v>
      </x:c>
      <x:c r="C2580" s="44" t="str">
        <x:v>L233P</x:v>
      </x:c>
      <x:c r="D2580" s="66" t="n">
        <x:v>2024</x:v>
      </x:c>
      <x:c r="E2580" s="67" t="n">
        <x:v>9278</x:v>
      </x:c>
      <x:c r="F2580" s="68" t="n">
        <x:v>35.6</x:v>
      </x:c>
      <x:c r="G2580" s="69" t="n">
        <x:f>IF(COUNT(E2580:F2580)=2,E2580*F2580,"")</x:f>
        <x:v>330296.8</x:v>
      </x:c>
    </x:row>
    <x:row r="2581">
      <x:c r="A2581" s="66" t="n">
        <x:v>18</x:v>
      </x:c>
      <x:c r="B2581" s="44" t="str">
        <x:v>Canola/Rapeseed</x:v>
      </x:c>
      <x:c r="C2581" s="44" t="str">
        <x:v>L233P</x:v>
      </x:c>
      <x:c r="D2581" s="66" t="n">
        <x:v>2025</x:v>
      </x:c>
      <x:c r="E2581" s="67" t="n">
        <x:v>3919</x:v>
      </x:c>
      <x:c r="F2581" s="68" t="n">
        <x:v>47</x:v>
      </x:c>
      <x:c r="G2581" s="69" t="n">
        <x:f>IF(COUNT(E2581:F2581)=2,E2581*F2581,"")</x:f>
        <x:v>184193</x:v>
      </x:c>
    </x:row>
    <x:row r="2582">
      <x:c r="A2582" s="66" t="n">
        <x:v>18</x:v>
      </x:c>
      <x:c r="B2582" s="44" t="str">
        <x:v>Canola/Rapeseed</x:v>
      </x:c>
      <x:c r="C2582" s="44" t="str">
        <x:v>L330PC</x:v>
      </x:c>
      <x:c r="D2582" s="66" t="n">
        <x:v>2021</x:v>
      </x:c>
      <x:c r="E2582" s="67"/>
      <x:c r="F2582" s="68"/>
      <x:c r="G2582" s="69" t="str">
        <x:f>IF(COUNT(E2582:F2582)=2,E2582*F2582,"")</x:f>
      </x:c>
    </x:row>
    <x:row r="2583">
      <x:c r="A2583" s="66" t="n">
        <x:v>18</x:v>
      </x:c>
      <x:c r="B2583" s="44" t="str">
        <x:v>Canola/Rapeseed</x:v>
      </x:c>
      <x:c r="C2583" s="44" t="str">
        <x:v>L330PC</x:v>
      </x:c>
      <x:c r="D2583" s="66" t="n">
        <x:v>2022</x:v>
      </x:c>
      <x:c r="E2583" s="67"/>
      <x:c r="F2583" s="68"/>
      <x:c r="G2583" s="69" t="str">
        <x:f>IF(COUNT(E2583:F2583)=2,E2583*F2583,"")</x:f>
      </x:c>
    </x:row>
    <x:row r="2584">
      <x:c r="A2584" s="66" t="n">
        <x:v>18</x:v>
      </x:c>
      <x:c r="B2584" s="44" t="str">
        <x:v>Canola/Rapeseed</x:v>
      </x:c>
      <x:c r="C2584" s="44" t="str">
        <x:v>L330PC</x:v>
      </x:c>
      <x:c r="D2584" s="66" t="n">
        <x:v>2023</x:v>
      </x:c>
      <x:c r="E2584" s="67"/>
      <x:c r="F2584" s="68"/>
      <x:c r="G2584" s="69" t="str">
        <x:f>IF(COUNT(E2584:F2584)=2,E2584*F2584,"")</x:f>
      </x:c>
    </x:row>
    <x:row r="2585">
      <x:c r="A2585" s="66" t="n">
        <x:v>18</x:v>
      </x:c>
      <x:c r="B2585" s="44" t="str">
        <x:v>Canola/Rapeseed</x:v>
      </x:c>
      <x:c r="C2585" s="44" t="str">
        <x:v>L330PC</x:v>
      </x:c>
      <x:c r="D2585" s="66" t="n">
        <x:v>2024</x:v>
      </x:c>
      <x:c r="E2585" s="67"/>
      <x:c r="F2585" s="68"/>
      <x:c r="G2585" s="69" t="str">
        <x:f>IF(COUNT(E2585:F2585)=2,E2585*F2585,"")</x:f>
      </x:c>
    </x:row>
    <x:row r="2586">
      <x:c r="A2586" s="66" t="n">
        <x:v>18</x:v>
      </x:c>
      <x:c r="B2586" s="44" t="str">
        <x:v>Canola/Rapeseed</x:v>
      </x:c>
      <x:c r="C2586" s="44" t="str">
        <x:v>L330PC</x:v>
      </x:c>
      <x:c r="D2586" s="66" t="n">
        <x:v>2025</x:v>
      </x:c>
      <x:c r="E2586" s="67" t="n">
        <x:v>6233</x:v>
      </x:c>
      <x:c r="F2586" s="68" t="n">
        <x:v>57.6</x:v>
      </x:c>
      <x:c r="G2586" s="69" t="n">
        <x:f>IF(COUNT(E2586:F2586)=2,E2586*F2586,"")</x:f>
        <x:v>359020.8</x:v>
      </x:c>
    </x:row>
    <x:row r="2587">
      <x:c r="A2587" s="66" t="n">
        <x:v>18</x:v>
      </x:c>
      <x:c r="B2587" s="44" t="str">
        <x:v>Canola/Rapeseed</x:v>
      </x:c>
      <x:c r="C2587" s="44" t="str">
        <x:v>L333PC</x:v>
      </x:c>
      <x:c r="D2587" s="66" t="n">
        <x:v>2021</x:v>
      </x:c>
      <x:c r="E2587" s="67"/>
      <x:c r="F2587" s="68"/>
      <x:c r="G2587" s="69" t="str">
        <x:f>IF(COUNT(E2587:F2587)=2,E2587*F2587,"")</x:f>
      </x:c>
    </x:row>
    <x:row r="2588">
      <x:c r="A2588" s="66" t="n">
        <x:v>18</x:v>
      </x:c>
      <x:c r="B2588" s="44" t="str">
        <x:v>Canola/Rapeseed</x:v>
      </x:c>
      <x:c r="C2588" s="44" t="str">
        <x:v>L333PC</x:v>
      </x:c>
      <x:c r="D2588" s="66" t="n">
        <x:v>2022</x:v>
      </x:c>
      <x:c r="E2588" s="67"/>
      <x:c r="F2588" s="68"/>
      <x:c r="G2588" s="69" t="str">
        <x:f>IF(COUNT(E2588:F2588)=2,E2588*F2588,"")</x:f>
      </x:c>
    </x:row>
    <x:row r="2589">
      <x:c r="A2589" s="66" t="n">
        <x:v>18</x:v>
      </x:c>
      <x:c r="B2589" s="44" t="str">
        <x:v>Canola/Rapeseed</x:v>
      </x:c>
      <x:c r="C2589" s="44" t="str">
        <x:v>L333PC</x:v>
      </x:c>
      <x:c r="D2589" s="66" t="n">
        <x:v>2023</x:v>
      </x:c>
      <x:c r="E2589" s="67"/>
      <x:c r="F2589" s="68"/>
      <x:c r="G2589" s="69" t="str">
        <x:f>IF(COUNT(E2589:F2589)=2,E2589*F2589,"")</x:f>
      </x:c>
    </x:row>
    <x:row r="2590">
      <x:c r="A2590" s="66" t="n">
        <x:v>18</x:v>
      </x:c>
      <x:c r="B2590" s="44" t="str">
        <x:v>Canola/Rapeseed</x:v>
      </x:c>
      <x:c r="C2590" s="44" t="str">
        <x:v>L333PC</x:v>
      </x:c>
      <x:c r="D2590" s="66" t="n">
        <x:v>2024</x:v>
      </x:c>
      <x:c r="E2590" s="67"/>
      <x:c r="F2590" s="68"/>
      <x:c r="G2590" s="69" t="str">
        <x:f>IF(COUNT(E2590:F2590)=2,E2590*F2590,"")</x:f>
      </x:c>
    </x:row>
    <x:row r="2591">
      <x:c r="A2591" s="66" t="n">
        <x:v>18</x:v>
      </x:c>
      <x:c r="B2591" s="44" t="str">
        <x:v>Canola/Rapeseed</x:v>
      </x:c>
      <x:c r="C2591" s="44" t="str">
        <x:v>L333PC</x:v>
      </x:c>
      <x:c r="D2591" s="66" t="n">
        <x:v>2025</x:v>
      </x:c>
      <x:c r="E2591" s="67" t="n">
        <x:v>1219</x:v>
      </x:c>
      <x:c r="F2591" s="68" t="n">
        <x:v>48.8</x:v>
      </x:c>
      <x:c r="G2591" s="69" t="n">
        <x:f>IF(COUNT(E2591:F2591)=2,E2591*F2591,"")</x:f>
        <x:v>59487.2</x:v>
      </x:c>
    </x:row>
    <x:row r="2592">
      <x:c r="A2592" s="66" t="n">
        <x:v>18</x:v>
      </x:c>
      <x:c r="B2592" s="44" t="str">
        <x:v>Canola/Rapeseed</x:v>
      </x:c>
      <x:c r="C2592" s="44" t="str">
        <x:v>L340PC</x:v>
      </x:c>
      <x:c r="D2592" s="66" t="n">
        <x:v>2021</x:v>
      </x:c>
      <x:c r="E2592" s="67" t="n">
        <x:v>21761</x:v>
      </x:c>
      <x:c r="F2592" s="68" t="n">
        <x:v>20</x:v>
      </x:c>
      <x:c r="G2592" s="69" t="n">
        <x:f>IF(COUNT(E2592:F2592)=2,E2592*F2592,"")</x:f>
        <x:v>435220</x:v>
      </x:c>
    </x:row>
    <x:row r="2593">
      <x:c r="A2593" s="66" t="n">
        <x:v>18</x:v>
      </x:c>
      <x:c r="B2593" s="44" t="str">
        <x:v>Canola/Rapeseed</x:v>
      </x:c>
      <x:c r="C2593" s="44" t="str">
        <x:v>L340PC</x:v>
      </x:c>
      <x:c r="D2593" s="66" t="n">
        <x:v>2022</x:v>
      </x:c>
      <x:c r="E2593" s="67" t="n">
        <x:v>59222</x:v>
      </x:c>
      <x:c r="F2593" s="68" t="n">
        <x:v>38.5</x:v>
      </x:c>
      <x:c r="G2593" s="69" t="n">
        <x:f>IF(COUNT(E2593:F2593)=2,E2593*F2593,"")</x:f>
        <x:v>2280047</x:v>
      </x:c>
    </x:row>
    <x:row r="2594">
      <x:c r="A2594" s="66" t="n">
        <x:v>18</x:v>
      </x:c>
      <x:c r="B2594" s="44" t="str">
        <x:v>Canola/Rapeseed</x:v>
      </x:c>
      <x:c r="C2594" s="44" t="str">
        <x:v>L340PC</x:v>
      </x:c>
      <x:c r="D2594" s="66" t="n">
        <x:v>2023</x:v>
      </x:c>
      <x:c r="E2594" s="67" t="n">
        <x:v>69020</x:v>
      </x:c>
      <x:c r="F2594" s="68" t="n">
        <x:v>43.1</x:v>
      </x:c>
      <x:c r="G2594" s="69" t="n">
        <x:f>IF(COUNT(E2594:F2594)=2,E2594*F2594,"")</x:f>
        <x:v>2974762</x:v>
      </x:c>
    </x:row>
    <x:row r="2595">
      <x:c r="A2595" s="66" t="n">
        <x:v>18</x:v>
      </x:c>
      <x:c r="B2595" s="44" t="str">
        <x:v>Canola/Rapeseed</x:v>
      </x:c>
      <x:c r="C2595" s="44" t="str">
        <x:v>L340PC</x:v>
      </x:c>
      <x:c r="D2595" s="66" t="n">
        <x:v>2024</x:v>
      </x:c>
      <x:c r="E2595" s="67" t="n">
        <x:v>90297</x:v>
      </x:c>
      <x:c r="F2595" s="68" t="n">
        <x:v>38.5</x:v>
      </x:c>
      <x:c r="G2595" s="69" t="n">
        <x:f>IF(COUNT(E2595:F2595)=2,E2595*F2595,"")</x:f>
        <x:v>3476434.5</x:v>
      </x:c>
    </x:row>
    <x:row r="2596">
      <x:c r="A2596" s="66" t="n">
        <x:v>18</x:v>
      </x:c>
      <x:c r="B2596" s="44" t="str">
        <x:v>Canola/Rapeseed</x:v>
      </x:c>
      <x:c r="C2596" s="44" t="str">
        <x:v>L340PC</x:v>
      </x:c>
      <x:c r="D2596" s="66" t="n">
        <x:v>2025</x:v>
      </x:c>
      <x:c r="E2596" s="67" t="n">
        <x:v>116133</x:v>
      </x:c>
      <x:c r="F2596" s="68" t="n">
        <x:v>50.7</x:v>
      </x:c>
      <x:c r="G2596" s="69" t="n">
        <x:f>IF(COUNT(E2596:F2596)=2,E2596*F2596,"")</x:f>
        <x:v>5887943.100000001</x:v>
      </x:c>
    </x:row>
    <x:row r="2597">
      <x:c r="A2597" s="66" t="n">
        <x:v>18</x:v>
      </x:c>
      <x:c r="B2597" s="44" t="str">
        <x:v>Canola/Rapeseed</x:v>
      </x:c>
      <x:c r="C2597" s="44" t="str">
        <x:v>L341PC</x:v>
      </x:c>
      <x:c r="D2597" s="66" t="n">
        <x:v>2021</x:v>
      </x:c>
      <x:c r="E2597" s="67"/>
      <x:c r="F2597" s="68"/>
      <x:c r="G2597" s="69" t="str">
        <x:f>IF(COUNT(E2597:F2597)=2,E2597*F2597,"")</x:f>
      </x:c>
    </x:row>
    <x:row r="2598">
      <x:c r="A2598" s="66" t="n">
        <x:v>18</x:v>
      </x:c>
      <x:c r="B2598" s="44" t="str">
        <x:v>Canola/Rapeseed</x:v>
      </x:c>
      <x:c r="C2598" s="44" t="str">
        <x:v>L341PC</x:v>
      </x:c>
      <x:c r="D2598" s="66" t="n">
        <x:v>2022</x:v>
      </x:c>
      <x:c r="E2598" s="67"/>
      <x:c r="F2598" s="68"/>
      <x:c r="G2598" s="69" t="str">
        <x:f>IF(COUNT(E2598:F2598)=2,E2598*F2598,"")</x:f>
      </x:c>
    </x:row>
    <x:row r="2599">
      <x:c r="A2599" s="66" t="n">
        <x:v>18</x:v>
      </x:c>
      <x:c r="B2599" s="44" t="str">
        <x:v>Canola/Rapeseed</x:v>
      </x:c>
      <x:c r="C2599" s="44" t="str">
        <x:v>L341PC</x:v>
      </x:c>
      <x:c r="D2599" s="66" t="n">
        <x:v>2023</x:v>
      </x:c>
      <x:c r="E2599" s="67"/>
      <x:c r="F2599" s="68"/>
      <x:c r="G2599" s="69" t="str">
        <x:f>IF(COUNT(E2599:F2599)=2,E2599*F2599,"")</x:f>
      </x:c>
    </x:row>
    <x:row r="2600">
      <x:c r="A2600" s="66" t="n">
        <x:v>18</x:v>
      </x:c>
      <x:c r="B2600" s="44" t="str">
        <x:v>Canola/Rapeseed</x:v>
      </x:c>
      <x:c r="C2600" s="44" t="str">
        <x:v>L341PC</x:v>
      </x:c>
      <x:c r="D2600" s="66" t="n">
        <x:v>2024</x:v>
      </x:c>
      <x:c r="E2600" s="67"/>
      <x:c r="F2600" s="68"/>
      <x:c r="G2600" s="69" t="str">
        <x:f>IF(COUNT(E2600:F2600)=2,E2600*F2600,"")</x:f>
      </x:c>
    </x:row>
    <x:row r="2601">
      <x:c r="A2601" s="66" t="n">
        <x:v>18</x:v>
      </x:c>
      <x:c r="B2601" s="44" t="str">
        <x:v>Canola/Rapeseed</x:v>
      </x:c>
      <x:c r="C2601" s="44" t="str">
        <x:v>L341PC</x:v>
      </x:c>
      <x:c r="D2601" s="66" t="n">
        <x:v>2025</x:v>
      </x:c>
      <x:c r="E2601" s="67" t="n">
        <x:v>1494</x:v>
      </x:c>
      <x:c r="F2601" s="68" t="n">
        <x:v>49.6</x:v>
      </x:c>
      <x:c r="G2601" s="69" t="n">
        <x:f>IF(COUNT(E2601:F2601)=2,E2601*F2601,"")</x:f>
        <x:v>74102.40000000001</x:v>
      </x:c>
    </x:row>
    <x:row r="2602">
      <x:c r="A2602" s="66" t="n">
        <x:v>18</x:v>
      </x:c>
      <x:c r="B2602" s="44" t="str">
        <x:v>Canola/Rapeseed</x:v>
      </x:c>
      <x:c r="C2602" s="44" t="str">
        <x:v>L343PC</x:v>
      </x:c>
      <x:c r="D2602" s="66" t="n">
        <x:v>2021</x:v>
      </x:c>
      <x:c r="E2602" s="67"/>
      <x:c r="F2602" s="68"/>
      <x:c r="G2602" s="69" t="str">
        <x:f>IF(COUNT(E2602:F2602)=2,E2602*F2602,"")</x:f>
      </x:c>
    </x:row>
    <x:row r="2603">
      <x:c r="A2603" s="66" t="n">
        <x:v>18</x:v>
      </x:c>
      <x:c r="B2603" s="44" t="str">
        <x:v>Canola/Rapeseed</x:v>
      </x:c>
      <x:c r="C2603" s="44" t="str">
        <x:v>L343PC</x:v>
      </x:c>
      <x:c r="D2603" s="66" t="n">
        <x:v>2022</x:v>
      </x:c>
      <x:c r="E2603" s="67" t="n">
        <x:v>6006</x:v>
      </x:c>
      <x:c r="F2603" s="68" t="n">
        <x:v>34.9</x:v>
      </x:c>
      <x:c r="G2603" s="69" t="n">
        <x:f>IF(COUNT(E2603:F2603)=2,E2603*F2603,"")</x:f>
        <x:v>209609.4</x:v>
      </x:c>
    </x:row>
    <x:row r="2604">
      <x:c r="A2604" s="66" t="n">
        <x:v>18</x:v>
      </x:c>
      <x:c r="B2604" s="44" t="str">
        <x:v>Canola/Rapeseed</x:v>
      </x:c>
      <x:c r="C2604" s="44" t="str">
        <x:v>L343PC</x:v>
      </x:c>
      <x:c r="D2604" s="66" t="n">
        <x:v>2023</x:v>
      </x:c>
      <x:c r="E2604" s="67" t="n">
        <x:v>7070</x:v>
      </x:c>
      <x:c r="F2604" s="68" t="n">
        <x:v>36</x:v>
      </x:c>
      <x:c r="G2604" s="69" t="n">
        <x:f>IF(COUNT(E2604:F2604)=2,E2604*F2604,"")</x:f>
        <x:v>254520</x:v>
      </x:c>
    </x:row>
    <x:row r="2605">
      <x:c r="A2605" s="66" t="n">
        <x:v>18</x:v>
      </x:c>
      <x:c r="B2605" s="44" t="str">
        <x:v>Canola/Rapeseed</x:v>
      </x:c>
      <x:c r="C2605" s="44" t="str">
        <x:v>L343PC</x:v>
      </x:c>
      <x:c r="D2605" s="66" t="n">
        <x:v>2024</x:v>
      </x:c>
      <x:c r="E2605" s="67" t="n">
        <x:v>6311</x:v>
      </x:c>
      <x:c r="F2605" s="68" t="n">
        <x:v>30.5</x:v>
      </x:c>
      <x:c r="G2605" s="69" t="n">
        <x:f>IF(COUNT(E2605:F2605)=2,E2605*F2605,"")</x:f>
        <x:v>192485.5</x:v>
      </x:c>
    </x:row>
    <x:row r="2606">
      <x:c r="A2606" s="66" t="n">
        <x:v>18</x:v>
      </x:c>
      <x:c r="B2606" s="44" t="str">
        <x:v>Canola/Rapeseed</x:v>
      </x:c>
      <x:c r="C2606" s="44" t="str">
        <x:v>L343PC</x:v>
      </x:c>
      <x:c r="D2606" s="66" t="n">
        <x:v>2025</x:v>
      </x:c>
      <x:c r="E2606" s="67" t="n">
        <x:v>3750</x:v>
      </x:c>
      <x:c r="F2606" s="68" t="n">
        <x:v>51.9</x:v>
      </x:c>
      <x:c r="G2606" s="69" t="n">
        <x:f>IF(COUNT(E2606:F2606)=2,E2606*F2606,"")</x:f>
        <x:v>194625</x:v>
      </x:c>
    </x:row>
    <x:row r="2607">
      <x:c r="A2607" s="66" t="n">
        <x:v>18</x:v>
      </x:c>
      <x:c r="B2607" s="44" t="str">
        <x:v>Canola/Rapeseed</x:v>
      </x:c>
      <x:c r="C2607" s="44" t="str">
        <x:v>L345PC</x:v>
      </x:c>
      <x:c r="D2607" s="66" t="n">
        <x:v>2021</x:v>
      </x:c>
      <x:c r="E2607" s="67" t="n">
        <x:v>16979</x:v>
      </x:c>
      <x:c r="F2607" s="68" t="n">
        <x:v>17.6</x:v>
      </x:c>
      <x:c r="G2607" s="69" t="n">
        <x:f>IF(COUNT(E2607:F2607)=2,E2607*F2607,"")</x:f>
        <x:v>298830.4</x:v>
      </x:c>
    </x:row>
    <x:row r="2608">
      <x:c r="A2608" s="66" t="n">
        <x:v>18</x:v>
      </x:c>
      <x:c r="B2608" s="44" t="str">
        <x:v>Canola/Rapeseed</x:v>
      </x:c>
      <x:c r="C2608" s="44" t="str">
        <x:v>L345PC</x:v>
      </x:c>
      <x:c r="D2608" s="66" t="n">
        <x:v>2022</x:v>
      </x:c>
      <x:c r="E2608" s="67" t="n">
        <x:v>7617</x:v>
      </x:c>
      <x:c r="F2608" s="68" t="n">
        <x:v>39.4</x:v>
      </x:c>
      <x:c r="G2608" s="69" t="n">
        <x:f>IF(COUNT(E2608:F2608)=2,E2608*F2608,"")</x:f>
        <x:v>300109.8</x:v>
      </x:c>
    </x:row>
    <x:row r="2609">
      <x:c r="A2609" s="66" t="n">
        <x:v>18</x:v>
      </x:c>
      <x:c r="B2609" s="44" t="str">
        <x:v>Canola/Rapeseed</x:v>
      </x:c>
      <x:c r="C2609" s="44" t="str">
        <x:v>L345PC</x:v>
      </x:c>
      <x:c r="D2609" s="66" t="n">
        <x:v>2023</x:v>
      </x:c>
      <x:c r="E2609" s="67" t="n">
        <x:v>2886</x:v>
      </x:c>
      <x:c r="F2609" s="68" t="n">
        <x:v>40.5</x:v>
      </x:c>
      <x:c r="G2609" s="69" t="n">
        <x:f>IF(COUNT(E2609:F2609)=2,E2609*F2609,"")</x:f>
        <x:v>116883</x:v>
      </x:c>
    </x:row>
    <x:row r="2610">
      <x:c r="A2610" s="66" t="n">
        <x:v>18</x:v>
      </x:c>
      <x:c r="B2610" s="44" t="str">
        <x:v>Canola/Rapeseed</x:v>
      </x:c>
      <x:c r="C2610" s="44" t="str">
        <x:v>L345PC</x:v>
      </x:c>
      <x:c r="D2610" s="66" t="n">
        <x:v>2024</x:v>
      </x:c>
      <x:c r="E2610" s="67" t="n">
        <x:v>7725</x:v>
      </x:c>
      <x:c r="F2610" s="68" t="n">
        <x:v>33.9</x:v>
      </x:c>
      <x:c r="G2610" s="69" t="n">
        <x:f>IF(COUNT(E2610:F2610)=2,E2610*F2610,"")</x:f>
        <x:v>261877.5</x:v>
      </x:c>
    </x:row>
    <x:row r="2611">
      <x:c r="A2611" s="66" t="n">
        <x:v>18</x:v>
      </x:c>
      <x:c r="B2611" s="44" t="str">
        <x:v>Canola/Rapeseed</x:v>
      </x:c>
      <x:c r="C2611" s="44" t="str">
        <x:v>L345PC</x:v>
      </x:c>
      <x:c r="D2611" s="66" t="n">
        <x:v>2025</x:v>
      </x:c>
      <x:c r="E2611" s="67" t="n">
        <x:v>1730</x:v>
      </x:c>
      <x:c r="F2611" s="68" t="n">
        <x:v>43.5</x:v>
      </x:c>
      <x:c r="G2611" s="69" t="n">
        <x:f>IF(COUNT(E2611:F2611)=2,E2611*F2611,"")</x:f>
        <x:v>75255</x:v>
      </x:c>
    </x:row>
    <x:row r="2612">
      <x:c r="A2612" s="66" t="n">
        <x:v>18</x:v>
      </x:c>
      <x:c r="B2612" s="44" t="str">
        <x:v>Canola/Rapeseed</x:v>
      </x:c>
      <x:c r="C2612" s="44" t="str">
        <x:v>L350PC</x:v>
      </x:c>
      <x:c r="D2612" s="66" t="n">
        <x:v>2021</x:v>
      </x:c>
      <x:c r="E2612" s="67"/>
      <x:c r="F2612" s="68"/>
      <x:c r="G2612" s="69" t="str">
        <x:f>IF(COUNT(E2612:F2612)=2,E2612*F2612,"")</x:f>
      </x:c>
    </x:row>
    <x:row r="2613">
      <x:c r="A2613" s="66" t="n">
        <x:v>18</x:v>
      </x:c>
      <x:c r="B2613" s="44" t="str">
        <x:v>Canola/Rapeseed</x:v>
      </x:c>
      <x:c r="C2613" s="44" t="str">
        <x:v>L350PC</x:v>
      </x:c>
      <x:c r="D2613" s="66" t="n">
        <x:v>2022</x:v>
      </x:c>
      <x:c r="E2613" s="67"/>
      <x:c r="F2613" s="68"/>
      <x:c r="G2613" s="69" t="str">
        <x:f>IF(COUNT(E2613:F2613)=2,E2613*F2613,"")</x:f>
      </x:c>
    </x:row>
    <x:row r="2614">
      <x:c r="A2614" s="66" t="n">
        <x:v>18</x:v>
      </x:c>
      <x:c r="B2614" s="44" t="str">
        <x:v>Canola/Rapeseed</x:v>
      </x:c>
      <x:c r="C2614" s="44" t="str">
        <x:v>L350PC</x:v>
      </x:c>
      <x:c r="D2614" s="66" t="n">
        <x:v>2023</x:v>
      </x:c>
      <x:c r="E2614" s="67" t="n">
        <x:v>10117</x:v>
      </x:c>
      <x:c r="F2614" s="68" t="n">
        <x:v>43.7</x:v>
      </x:c>
      <x:c r="G2614" s="69" t="n">
        <x:f>IF(COUNT(E2614:F2614)=2,E2614*F2614,"")</x:f>
        <x:v>442112.9</x:v>
      </x:c>
    </x:row>
    <x:row r="2615">
      <x:c r="A2615" s="66" t="n">
        <x:v>18</x:v>
      </x:c>
      <x:c r="B2615" s="44" t="str">
        <x:v>Canola/Rapeseed</x:v>
      </x:c>
      <x:c r="C2615" s="44" t="str">
        <x:v>L350PC</x:v>
      </x:c>
      <x:c r="D2615" s="66" t="n">
        <x:v>2024</x:v>
      </x:c>
      <x:c r="E2615" s="67" t="n">
        <x:v>9816</x:v>
      </x:c>
      <x:c r="F2615" s="68" t="n">
        <x:v>41.8</x:v>
      </x:c>
      <x:c r="G2615" s="69" t="n">
        <x:f>IF(COUNT(E2615:F2615)=2,E2615*F2615,"")</x:f>
        <x:v>410308.8</x:v>
      </x:c>
    </x:row>
    <x:row r="2616">
      <x:c r="A2616" s="66" t="n">
        <x:v>18</x:v>
      </x:c>
      <x:c r="B2616" s="44" t="str">
        <x:v>Canola/Rapeseed</x:v>
      </x:c>
      <x:c r="C2616" s="44" t="str">
        <x:v>L350PC</x:v>
      </x:c>
      <x:c r="D2616" s="66" t="n">
        <x:v>2025</x:v>
      </x:c>
      <x:c r="E2616" s="67" t="n">
        <x:v>4433</x:v>
      </x:c>
      <x:c r="F2616" s="68" t="n">
        <x:v>45.6</x:v>
      </x:c>
      <x:c r="G2616" s="69" t="n">
        <x:f>IF(COUNT(E2616:F2616)=2,E2616*F2616,"")</x:f>
        <x:v>202144.80000000002</x:v>
      </x:c>
    </x:row>
    <x:row r="2617">
      <x:c r="A2617" s="66" t="n">
        <x:v>18</x:v>
      </x:c>
      <x:c r="B2617" s="44" t="str">
        <x:v>Canola/Rapeseed</x:v>
      </x:c>
      <x:c r="C2617" s="44" t="str">
        <x:v>L356PC</x:v>
      </x:c>
      <x:c r="D2617" s="66" t="n">
        <x:v>2021</x:v>
      </x:c>
      <x:c r="E2617" s="67"/>
      <x:c r="F2617" s="68"/>
      <x:c r="G2617" s="69" t="str">
        <x:f>IF(COUNT(E2617:F2617)=2,E2617*F2617,"")</x:f>
      </x:c>
    </x:row>
    <x:row r="2618">
      <x:c r="A2618" s="66" t="n">
        <x:v>18</x:v>
      </x:c>
      <x:c r="B2618" s="44" t="str">
        <x:v>Canola/Rapeseed</x:v>
      </x:c>
      <x:c r="C2618" s="44" t="str">
        <x:v>L356PC</x:v>
      </x:c>
      <x:c r="D2618" s="66" t="n">
        <x:v>2022</x:v>
      </x:c>
      <x:c r="E2618" s="67" t="n">
        <x:v>7874</x:v>
      </x:c>
      <x:c r="F2618" s="68" t="n">
        <x:v>32.5</x:v>
      </x:c>
      <x:c r="G2618" s="69" t="n">
        <x:f>IF(COUNT(E2618:F2618)=2,E2618*F2618,"")</x:f>
        <x:v>255905</x:v>
      </x:c>
    </x:row>
    <x:row r="2619">
      <x:c r="A2619" s="66" t="n">
        <x:v>18</x:v>
      </x:c>
      <x:c r="B2619" s="44" t="str">
        <x:v>Canola/Rapeseed</x:v>
      </x:c>
      <x:c r="C2619" s="44" t="str">
        <x:v>L356PC</x:v>
      </x:c>
      <x:c r="D2619" s="66" t="n">
        <x:v>2023</x:v>
      </x:c>
      <x:c r="E2619" s="67" t="n">
        <x:v>10995</x:v>
      </x:c>
      <x:c r="F2619" s="68" t="n">
        <x:v>34.8</x:v>
      </x:c>
      <x:c r="G2619" s="69" t="n">
        <x:f>IF(COUNT(E2619:F2619)=2,E2619*F2619,"")</x:f>
        <x:v>382625.99999999994</x:v>
      </x:c>
    </x:row>
    <x:row r="2620">
      <x:c r="A2620" s="66" t="n">
        <x:v>18</x:v>
      </x:c>
      <x:c r="B2620" s="44" t="str">
        <x:v>Canola/Rapeseed</x:v>
      </x:c>
      <x:c r="C2620" s="44" t="str">
        <x:v>L356PC</x:v>
      </x:c>
      <x:c r="D2620" s="66" t="n">
        <x:v>2024</x:v>
      </x:c>
      <x:c r="E2620" s="67" t="n">
        <x:v>17292</x:v>
      </x:c>
      <x:c r="F2620" s="68" t="n">
        <x:v>39.7</x:v>
      </x:c>
      <x:c r="G2620" s="69" t="n">
        <x:f>IF(COUNT(E2620:F2620)=2,E2620*F2620,"")</x:f>
        <x:v>686492.4</x:v>
      </x:c>
    </x:row>
    <x:row r="2621">
      <x:c r="A2621" s="66" t="n">
        <x:v>18</x:v>
      </x:c>
      <x:c r="B2621" s="44" t="str">
        <x:v>Canola/Rapeseed</x:v>
      </x:c>
      <x:c r="C2621" s="44" t="str">
        <x:v>L356PC</x:v>
      </x:c>
      <x:c r="D2621" s="66" t="n">
        <x:v>2025</x:v>
      </x:c>
      <x:c r="E2621" s="67" t="n">
        <x:v>20076</x:v>
      </x:c>
      <x:c r="F2621" s="68" t="n">
        <x:v>45.8</x:v>
      </x:c>
      <x:c r="G2621" s="69" t="n">
        <x:f>IF(COUNT(E2621:F2621)=2,E2621*F2621,"")</x:f>
        <x:v>919480.7999999999</x:v>
      </x:c>
    </x:row>
    <x:row r="2622">
      <x:c r="A2622" s="66" t="n">
        <x:v>18</x:v>
      </x:c>
      <x:c r="B2622" s="44" t="str">
        <x:v>Canola/Rapeseed</x:v>
      </x:c>
      <x:c r="C2622" s="44" t="str">
        <x:v>PV 661 LCM</x:v>
      </x:c>
      <x:c r="D2622" s="66" t="n">
        <x:v>2021</x:v>
      </x:c>
      <x:c r="E2622" s="67"/>
      <x:c r="F2622" s="68"/>
      <x:c r="G2622" s="69" t="str">
        <x:f>IF(COUNT(E2622:F2622)=2,E2622*F2622,"")</x:f>
      </x:c>
    </x:row>
    <x:row r="2623">
      <x:c r="A2623" s="66" t="n">
        <x:v>18</x:v>
      </x:c>
      <x:c r="B2623" s="44" t="str">
        <x:v>Canola/Rapeseed</x:v>
      </x:c>
      <x:c r="C2623" s="44" t="str">
        <x:v>PV 661 LCM</x:v>
      </x:c>
      <x:c r="D2623" s="66" t="n">
        <x:v>2022</x:v>
      </x:c>
      <x:c r="E2623" s="67"/>
      <x:c r="F2623" s="68"/>
      <x:c r="G2623" s="69" t="str">
        <x:f>IF(COUNT(E2623:F2623)=2,E2623*F2623,"")</x:f>
      </x:c>
    </x:row>
    <x:row r="2624">
      <x:c r="A2624" s="66" t="n">
        <x:v>18</x:v>
      </x:c>
      <x:c r="B2624" s="44" t="str">
        <x:v>Canola/Rapeseed</x:v>
      </x:c>
      <x:c r="C2624" s="44" t="str">
        <x:v>PV 661 LCM</x:v>
      </x:c>
      <x:c r="D2624" s="66" t="n">
        <x:v>2023</x:v>
      </x:c>
      <x:c r="E2624" s="67"/>
      <x:c r="F2624" s="68"/>
      <x:c r="G2624" s="69" t="str">
        <x:f>IF(COUNT(E2624:F2624)=2,E2624*F2624,"")</x:f>
      </x:c>
    </x:row>
    <x:row r="2625">
      <x:c r="A2625" s="66" t="n">
        <x:v>18</x:v>
      </x:c>
      <x:c r="B2625" s="44" t="str">
        <x:v>Canola/Rapeseed</x:v>
      </x:c>
      <x:c r="C2625" s="44" t="str">
        <x:v>PV 661 LCM</x:v>
      </x:c>
      <x:c r="D2625" s="66" t="n">
        <x:v>2024</x:v>
      </x:c>
      <x:c r="E2625" s="67" t="n">
        <x:v>1964</x:v>
      </x:c>
      <x:c r="F2625" s="68" t="n">
        <x:v>28.4</x:v>
      </x:c>
      <x:c r="G2625" s="69" t="n">
        <x:f>IF(COUNT(E2625:F2625)=2,E2625*F2625,"")</x:f>
        <x:v>55777.6</x:v>
      </x:c>
    </x:row>
    <x:row r="2626">
      <x:c r="A2626" s="66" t="n">
        <x:v>18</x:v>
      </x:c>
      <x:c r="B2626" s="44" t="str">
        <x:v>Canola/Rapeseed</x:v>
      </x:c>
      <x:c r="C2626" s="44" t="str">
        <x:v>PV 661 LCM</x:v>
      </x:c>
      <x:c r="D2626" s="66" t="n">
        <x:v>2025</x:v>
      </x:c>
      <x:c r="E2626" s="67" t="n">
        <x:v>1943</x:v>
      </x:c>
      <x:c r="F2626" s="68" t="n">
        <x:v>49.8</x:v>
      </x:c>
      <x:c r="G2626" s="69" t="n">
        <x:f>IF(COUNT(E2626:F2626)=2,E2626*F2626,"")</x:f>
        <x:v>96761.4</x:v>
      </x:c>
    </x:row>
    <x:row r="2627">
      <x:c r="A2627" s="66" t="n">
        <x:v>18</x:v>
      </x:c>
      <x:c r="B2627" s="44" t="str">
        <x:v>Canola/Rapeseed</x:v>
      </x:c>
      <x:c r="C2627" s="44" t="str">
        <x:v>PV 681 LC</x:v>
      </x:c>
      <x:c r="D2627" s="66" t="n">
        <x:v>2021</x:v>
      </x:c>
      <x:c r="E2627" s="67" t="n">
        <x:v>1876</x:v>
      </x:c>
      <x:c r="F2627" s="68" t="n">
        <x:v>19.7</x:v>
      </x:c>
      <x:c r="G2627" s="69" t="n">
        <x:f>IF(COUNT(E2627:F2627)=2,E2627*F2627,"")</x:f>
        <x:v>36957.2</x:v>
      </x:c>
    </x:row>
    <x:row r="2628">
      <x:c r="A2628" s="66" t="n">
        <x:v>18</x:v>
      </x:c>
      <x:c r="B2628" s="44" t="str">
        <x:v>Canola/Rapeseed</x:v>
      </x:c>
      <x:c r="C2628" s="44" t="str">
        <x:v>PV 681 LC</x:v>
      </x:c>
      <x:c r="D2628" s="66" t="n">
        <x:v>2022</x:v>
      </x:c>
      <x:c r="E2628" s="67" t="n">
        <x:v>505</x:v>
      </x:c>
      <x:c r="F2628" s="68" t="n">
        <x:v>25.3</x:v>
      </x:c>
      <x:c r="G2628" s="69" t="n">
        <x:f>IF(COUNT(E2628:F2628)=2,E2628*F2628,"")</x:f>
        <x:v>12776.5</x:v>
      </x:c>
    </x:row>
    <x:row r="2629">
      <x:c r="A2629" s="66" t="n">
        <x:v>18</x:v>
      </x:c>
      <x:c r="B2629" s="44" t="str">
        <x:v>Canola/Rapeseed</x:v>
      </x:c>
      <x:c r="C2629" s="44" t="str">
        <x:v>PV 681 LC</x:v>
      </x:c>
      <x:c r="D2629" s="66" t="n">
        <x:v>2023</x:v>
      </x:c>
      <x:c r="E2629" s="67" t="n">
        <x:v>523</x:v>
      </x:c>
      <x:c r="F2629" s="68" t="n">
        <x:v>20.6</x:v>
      </x:c>
      <x:c r="G2629" s="69" t="n">
        <x:f>IF(COUNT(E2629:F2629)=2,E2629*F2629,"")</x:f>
        <x:v>10773.800000000001</x:v>
      </x:c>
    </x:row>
    <x:row r="2630">
      <x:c r="A2630" s="66" t="n">
        <x:v>18</x:v>
      </x:c>
      <x:c r="B2630" s="44" t="str">
        <x:v>Canola/Rapeseed</x:v>
      </x:c>
      <x:c r="C2630" s="44" t="str">
        <x:v>PV 681 LC</x:v>
      </x:c>
      <x:c r="D2630" s="66" t="n">
        <x:v>2024</x:v>
      </x:c>
      <x:c r="E2630" s="67" t="n">
        <x:v>1189</x:v>
      </x:c>
      <x:c r="F2630" s="68" t="n">
        <x:v>25.5</x:v>
      </x:c>
      <x:c r="G2630" s="69" t="n">
        <x:f>IF(COUNT(E2630:F2630)=2,E2630*F2630,"")</x:f>
        <x:v>30319.5</x:v>
      </x:c>
    </x:row>
    <x:row r="2631">
      <x:c r="A2631" s="66" t="n">
        <x:v>18</x:v>
      </x:c>
      <x:c r="B2631" s="44" t="str">
        <x:v>Canola/Rapeseed</x:v>
      </x:c>
      <x:c r="C2631" s="44" t="str">
        <x:v>PV 681 LC</x:v>
      </x:c>
      <x:c r="D2631" s="66" t="n">
        <x:v>2025</x:v>
      </x:c>
      <x:c r="E2631" s="67" t="n">
        <x:v>2632</x:v>
      </x:c>
      <x:c r="F2631" s="68" t="n">
        <x:v>44.6</x:v>
      </x:c>
      <x:c r="G2631" s="69" t="n">
        <x:f>IF(COUNT(E2631:F2631)=2,E2631*F2631,"")</x:f>
        <x:v>117387.2</x:v>
      </x:c>
    </x:row>
    <x:row r="2632">
      <x:c r="A2632" s="66" t="n">
        <x:v>18</x:v>
      </x:c>
      <x:c r="B2632" s="44" t="str">
        <x:v>Canola/Rapeseed</x:v>
      </x:c>
      <x:c r="C2632" s="44" t="str">
        <x:v>PV 781 TCM</x:v>
      </x:c>
      <x:c r="D2632" s="66" t="n">
        <x:v>2021</x:v>
      </x:c>
      <x:c r="E2632" s="67"/>
      <x:c r="F2632" s="68"/>
      <x:c r="G2632" s="69" t="str">
        <x:f>IF(COUNT(E2632:F2632)=2,E2632*F2632,"")</x:f>
      </x:c>
    </x:row>
    <x:row r="2633">
      <x:c r="A2633" s="66" t="n">
        <x:v>18</x:v>
      </x:c>
      <x:c r="B2633" s="44" t="str">
        <x:v>Canola/Rapeseed</x:v>
      </x:c>
      <x:c r="C2633" s="44" t="str">
        <x:v>PV 781 TCM</x:v>
      </x:c>
      <x:c r="D2633" s="66" t="n">
        <x:v>2022</x:v>
      </x:c>
      <x:c r="E2633" s="67"/>
      <x:c r="F2633" s="68"/>
      <x:c r="G2633" s="69" t="str">
        <x:f>IF(COUNT(E2633:F2633)=2,E2633*F2633,"")</x:f>
      </x:c>
    </x:row>
    <x:row r="2634">
      <x:c r="A2634" s="66" t="n">
        <x:v>18</x:v>
      </x:c>
      <x:c r="B2634" s="44" t="str">
        <x:v>Canola/Rapeseed</x:v>
      </x:c>
      <x:c r="C2634" s="44" t="str">
        <x:v>PV 781 TCM</x:v>
      </x:c>
      <x:c r="D2634" s="66" t="n">
        <x:v>2023</x:v>
      </x:c>
      <x:c r="E2634" s="67" t="n">
        <x:v>2212</x:v>
      </x:c>
      <x:c r="F2634" s="68" t="n">
        <x:v>35.3</x:v>
      </x:c>
      <x:c r="G2634" s="69" t="n">
        <x:f>IF(COUNT(E2634:F2634)=2,E2634*F2634,"")</x:f>
        <x:v>78083.59999999999</x:v>
      </x:c>
    </x:row>
    <x:row r="2635">
      <x:c r="A2635" s="66" t="n">
        <x:v>18</x:v>
      </x:c>
      <x:c r="B2635" s="44" t="str">
        <x:v>Canola/Rapeseed</x:v>
      </x:c>
      <x:c r="C2635" s="44" t="str">
        <x:v>PV 781 TCM</x:v>
      </x:c>
      <x:c r="D2635" s="66" t="n">
        <x:v>2024</x:v>
      </x:c>
      <x:c r="E2635" s="67" t="n">
        <x:v>3912</x:v>
      </x:c>
      <x:c r="F2635" s="68" t="n">
        <x:v>30.4</x:v>
      </x:c>
      <x:c r="G2635" s="69" t="n">
        <x:f>IF(COUNT(E2635:F2635)=2,E2635*F2635,"")</x:f>
        <x:v>118924.79999999999</x:v>
      </x:c>
    </x:row>
    <x:row r="2636">
      <x:c r="A2636" s="66" t="n">
        <x:v>18</x:v>
      </x:c>
      <x:c r="B2636" s="44" t="str">
        <x:v>Canola/Rapeseed</x:v>
      </x:c>
      <x:c r="C2636" s="44" t="str">
        <x:v>PV 781 TCM</x:v>
      </x:c>
      <x:c r="D2636" s="66" t="n">
        <x:v>2025</x:v>
      </x:c>
      <x:c r="E2636" s="67" t="n">
        <x:v>1175</x:v>
      </x:c>
      <x:c r="F2636" s="68" t="n">
        <x:v>52</x:v>
      </x:c>
      <x:c r="G2636" s="69" t="n">
        <x:f>IF(COUNT(E2636:F2636)=2,E2636*F2636,"")</x:f>
        <x:v>61100</x:v>
      </x:c>
    </x:row>
    <x:row r="2637">
      <x:c r="A2637" s="66" t="n">
        <x:v>18</x:v>
      </x:c>
      <x:c r="B2637" s="44" t="str">
        <x:v>Canola/Rapeseed</x:v>
      </x:c>
      <x:c r="C2637" s="44" t="str">
        <x:v>PV661 LCM</x:v>
      </x:c>
      <x:c r="D2637" s="66" t="n">
        <x:v>2021</x:v>
      </x:c>
      <x:c r="E2637" s="67"/>
      <x:c r="F2637" s="68"/>
      <x:c r="G2637" s="69" t="str">
        <x:f>IF(COUNT(E2637:F2637)=2,E2637*F2637,"")</x:f>
      </x:c>
    </x:row>
    <x:row r="2638">
      <x:c r="A2638" s="66" t="n">
        <x:v>18</x:v>
      </x:c>
      <x:c r="B2638" s="44" t="str">
        <x:v>Canola/Rapeseed</x:v>
      </x:c>
      <x:c r="C2638" s="44" t="str">
        <x:v>PV661 LCM</x:v>
      </x:c>
      <x:c r="D2638" s="66" t="n">
        <x:v>2022</x:v>
      </x:c>
      <x:c r="E2638" s="67"/>
      <x:c r="F2638" s="68"/>
      <x:c r="G2638" s="69" t="str">
        <x:f>IF(COUNT(E2638:F2638)=2,E2638*F2638,"")</x:f>
      </x:c>
    </x:row>
    <x:row r="2639">
      <x:c r="A2639" s="66" t="n">
        <x:v>18</x:v>
      </x:c>
      <x:c r="B2639" s="44" t="str">
        <x:v>Canola/Rapeseed</x:v>
      </x:c>
      <x:c r="C2639" s="44" t="str">
        <x:v>PV661 LCM</x:v>
      </x:c>
      <x:c r="D2639" s="66" t="n">
        <x:v>2023</x:v>
      </x:c>
      <x:c r="E2639" s="67" t="n">
        <x:v>551</x:v>
      </x:c>
      <x:c r="F2639" s="68" t="n">
        <x:v>25.2</x:v>
      </x:c>
      <x:c r="G2639" s="69" t="n">
        <x:f>IF(COUNT(E2639:F2639)=2,E2639*F2639,"")</x:f>
        <x:v>13885.199999999999</x:v>
      </x:c>
    </x:row>
    <x:row r="2640">
      <x:c r="A2640" s="66" t="n">
        <x:v>18</x:v>
      </x:c>
      <x:c r="B2640" s="44" t="str">
        <x:v>Canola/Rapeseed</x:v>
      </x:c>
      <x:c r="C2640" s="44" t="str">
        <x:v>PV661 LCM</x:v>
      </x:c>
      <x:c r="D2640" s="66" t="n">
        <x:v>2024</x:v>
      </x:c>
      <x:c r="E2640" s="67" t="n">
        <x:v>469</x:v>
      </x:c>
      <x:c r="F2640" s="68" t="n">
        <x:v>25.2</x:v>
      </x:c>
      <x:c r="G2640" s="69" t="n">
        <x:f>IF(COUNT(E2640:F2640)=2,E2640*F2640,"")</x:f>
        <x:v>11818.8</x:v>
      </x:c>
    </x:row>
    <x:row r="2641">
      <x:c r="A2641" s="66" t="n">
        <x:v>18</x:v>
      </x:c>
      <x:c r="B2641" s="44" t="str">
        <x:v>Canola/Rapeseed</x:v>
      </x:c>
      <x:c r="C2641" s="44" t="str">
        <x:v>PV661 LCM</x:v>
      </x:c>
      <x:c r="D2641" s="66" t="n">
        <x:v>2025</x:v>
      </x:c>
      <x:c r="E2641" s="67" t="n">
        <x:v>624</x:v>
      </x:c>
      <x:c r="F2641" s="68" t="n">
        <x:v>42.8</x:v>
      </x:c>
      <x:c r="G2641" s="69" t="n">
        <x:f>IF(COUNT(E2641:F2641)=2,E2641*F2641,"")</x:f>
        <x:v>26707.199999999997</x:v>
      </x:c>
    </x:row>
    <x:row r="2642">
      <x:c r="A2642" s="66" t="n">
        <x:v>18</x:v>
      </x:c>
      <x:c r="B2642" s="44" t="str">
        <x:v>Canola/Rapeseed</x:v>
      </x:c>
      <x:c r="C2642" s="44" t="str">
        <x:v>PV783</x:v>
      </x:c>
      <x:c r="D2642" s="66" t="n">
        <x:v>2021</x:v>
      </x:c>
      <x:c r="E2642" s="67"/>
      <x:c r="F2642" s="68"/>
      <x:c r="G2642" s="69" t="str">
        <x:f>IF(COUNT(E2642:F2642)=2,E2642*F2642,"")</x:f>
      </x:c>
    </x:row>
    <x:row r="2643">
      <x:c r="A2643" s="66" t="n">
        <x:v>18</x:v>
      </x:c>
      <x:c r="B2643" s="44" t="str">
        <x:v>Canola/Rapeseed</x:v>
      </x:c>
      <x:c r="C2643" s="44" t="str">
        <x:v>PV783</x:v>
      </x:c>
      <x:c r="D2643" s="66" t="n">
        <x:v>2022</x:v>
      </x:c>
      <x:c r="E2643" s="67"/>
      <x:c r="F2643" s="68"/>
      <x:c r="G2643" s="69" t="str">
        <x:f>IF(COUNT(E2643:F2643)=2,E2643*F2643,"")</x:f>
      </x:c>
    </x:row>
    <x:row r="2644">
      <x:c r="A2644" s="66" t="n">
        <x:v>18</x:v>
      </x:c>
      <x:c r="B2644" s="44" t="str">
        <x:v>Canola/Rapeseed</x:v>
      </x:c>
      <x:c r="C2644" s="44" t="str">
        <x:v>PV783</x:v>
      </x:c>
      <x:c r="D2644" s="66" t="n">
        <x:v>2023</x:v>
      </x:c>
      <x:c r="E2644" s="67"/>
      <x:c r="F2644" s="68"/>
      <x:c r="G2644" s="69" t="str">
        <x:f>IF(COUNT(E2644:F2644)=2,E2644*F2644,"")</x:f>
      </x:c>
    </x:row>
    <x:row r="2645">
      <x:c r="A2645" s="66" t="n">
        <x:v>18</x:v>
      </x:c>
      <x:c r="B2645" s="44" t="str">
        <x:v>Canola/Rapeseed</x:v>
      </x:c>
      <x:c r="C2645" s="44" t="str">
        <x:v>PV783</x:v>
      </x:c>
      <x:c r="D2645" s="66" t="n">
        <x:v>2024</x:v>
      </x:c>
      <x:c r="E2645" s="67"/>
      <x:c r="F2645" s="68"/>
      <x:c r="G2645" s="69" t="str">
        <x:f>IF(COUNT(E2645:F2645)=2,E2645*F2645,"")</x:f>
      </x:c>
    </x:row>
    <x:row r="2646">
      <x:c r="A2646" s="66" t="n">
        <x:v>18</x:v>
      </x:c>
      <x:c r="B2646" s="44" t="str">
        <x:v>Canola/Rapeseed</x:v>
      </x:c>
      <x:c r="C2646" s="44" t="str">
        <x:v>PV783</x:v>
      </x:c>
      <x:c r="D2646" s="66" t="n">
        <x:v>2025</x:v>
      </x:c>
      <x:c r="E2646" s="67" t="n">
        <x:v>3729</x:v>
      </x:c>
      <x:c r="F2646" s="68" t="n">
        <x:v>40.9</x:v>
      </x:c>
      <x:c r="G2646" s="69" t="n">
        <x:f>IF(COUNT(E2646:F2646)=2,E2646*F2646,"")</x:f>
        <x:v>152516.1</x:v>
      </x:c>
    </x:row>
    <x:row r="2647">
      <x:c r="A2647" s="66" t="n">
        <x:v>18</x:v>
      </x:c>
      <x:c r="B2647" s="44" t="str">
        <x:v>Canola/Rapeseed</x:v>
      </x:c>
      <x:c r="C2647" s="44" t="str">
        <x:v>P1540L</x:v>
      </x:c>
      <x:c r="D2647" s="66" t="n">
        <x:v>2021</x:v>
      </x:c>
      <x:c r="E2647" s="67"/>
      <x:c r="F2647" s="68"/>
      <x:c r="G2647" s="69" t="str">
        <x:f>IF(COUNT(E2647:F2647)=2,E2647*F2647,"")</x:f>
      </x:c>
    </x:row>
    <x:row r="2648">
      <x:c r="A2648" s="66" t="n">
        <x:v>18</x:v>
      </x:c>
      <x:c r="B2648" s="44" t="str">
        <x:v>Canola/Rapeseed</x:v>
      </x:c>
      <x:c r="C2648" s="44" t="str">
        <x:v>P1540L</x:v>
      </x:c>
      <x:c r="D2648" s="66" t="n">
        <x:v>2022</x:v>
      </x:c>
      <x:c r="E2648" s="67"/>
      <x:c r="F2648" s="68"/>
      <x:c r="G2648" s="69" t="str">
        <x:f>IF(COUNT(E2648:F2648)=2,E2648*F2648,"")</x:f>
      </x:c>
    </x:row>
    <x:row r="2649">
      <x:c r="A2649" s="66" t="n">
        <x:v>18</x:v>
      </x:c>
      <x:c r="B2649" s="44" t="str">
        <x:v>Canola/Rapeseed</x:v>
      </x:c>
      <x:c r="C2649" s="44" t="str">
        <x:v>P1540L</x:v>
      </x:c>
      <x:c r="D2649" s="66" t="n">
        <x:v>2023</x:v>
      </x:c>
      <x:c r="E2649" s="67"/>
      <x:c r="F2649" s="68"/>
      <x:c r="G2649" s="69" t="str">
        <x:f>IF(COUNT(E2649:F2649)=2,E2649*F2649,"")</x:f>
      </x:c>
    </x:row>
    <x:row r="2650">
      <x:c r="A2650" s="66" t="n">
        <x:v>18</x:v>
      </x:c>
      <x:c r="B2650" s="44" t="str">
        <x:v>Canola/Rapeseed</x:v>
      </x:c>
      <x:c r="C2650" s="44" t="str">
        <x:v>P1540L</x:v>
      </x:c>
      <x:c r="D2650" s="66" t="n">
        <x:v>2024</x:v>
      </x:c>
      <x:c r="E2650" s="67"/>
      <x:c r="F2650" s="68"/>
      <x:c r="G2650" s="69" t="str">
        <x:f>IF(COUNT(E2650:F2650)=2,E2650*F2650,"")</x:f>
      </x:c>
    </x:row>
    <x:row r="2651">
      <x:c r="A2651" s="66" t="n">
        <x:v>18</x:v>
      </x:c>
      <x:c r="B2651" s="44" t="str">
        <x:v>Canola/Rapeseed</x:v>
      </x:c>
      <x:c r="C2651" s="44" t="str">
        <x:v>P1540L</x:v>
      </x:c>
      <x:c r="D2651" s="66" t="n">
        <x:v>2025</x:v>
      </x:c>
      <x:c r="E2651" s="67" t="n">
        <x:v>444</x:v>
      </x:c>
      <x:c r="F2651" s="68" t="n">
        <x:v>47.5</x:v>
      </x:c>
      <x:c r="G2651" s="69" t="n">
        <x:f>IF(COUNT(E2651:F2651)=2,E2651*F2651,"")</x:f>
        <x:v>21090</x:v>
      </x:c>
    </x:row>
    <x:row r="2652">
      <x:c r="A2652" s="66" t="n">
        <x:v>18</x:v>
      </x:c>
      <x:c r="B2652" s="44" t="str">
        <x:v>Canola/Rapeseed</x:v>
      </x:c>
      <x:c r="C2652" s="44" t="str">
        <x:v>P501L</x:v>
      </x:c>
      <x:c r="D2652" s="66" t="n">
        <x:v>2021</x:v>
      </x:c>
      <x:c r="E2652" s="67" t="n">
        <x:v>7440</x:v>
      </x:c>
      <x:c r="F2652" s="68" t="n">
        <x:v>16.3</x:v>
      </x:c>
      <x:c r="G2652" s="69" t="n">
        <x:f>IF(COUNT(E2652:F2652)=2,E2652*F2652,"")</x:f>
        <x:v>121272</x:v>
      </x:c>
    </x:row>
    <x:row r="2653">
      <x:c r="A2653" s="66" t="n">
        <x:v>18</x:v>
      </x:c>
      <x:c r="B2653" s="44" t="str">
        <x:v>Canola/Rapeseed</x:v>
      </x:c>
      <x:c r="C2653" s="44" t="str">
        <x:v>P501L</x:v>
      </x:c>
      <x:c r="D2653" s="66" t="n">
        <x:v>2022</x:v>
      </x:c>
      <x:c r="E2653" s="67" t="n">
        <x:v>1359</x:v>
      </x:c>
      <x:c r="F2653" s="68" t="n">
        <x:v>31.1</x:v>
      </x:c>
      <x:c r="G2653" s="69" t="n">
        <x:f>IF(COUNT(E2653:F2653)=2,E2653*F2653,"")</x:f>
        <x:v>42264.9</x:v>
      </x:c>
    </x:row>
    <x:row r="2654">
      <x:c r="A2654" s="66" t="n">
        <x:v>18</x:v>
      </x:c>
      <x:c r="B2654" s="44" t="str">
        <x:v>Canola/Rapeseed</x:v>
      </x:c>
      <x:c r="C2654" s="44" t="str">
        <x:v>P501L</x:v>
      </x:c>
      <x:c r="D2654" s="66" t="n">
        <x:v>2023</x:v>
      </x:c>
      <x:c r="E2654" s="67" t="n">
        <x:v>450</x:v>
      </x:c>
      <x:c r="F2654" s="68" t="n">
        <x:v>39.9</x:v>
      </x:c>
      <x:c r="G2654" s="69" t="n">
        <x:f>IF(COUNT(E2654:F2654)=2,E2654*F2654,"")</x:f>
        <x:v>17955</x:v>
      </x:c>
    </x:row>
    <x:row r="2655">
      <x:c r="A2655" s="66" t="n">
        <x:v>18</x:v>
      </x:c>
      <x:c r="B2655" s="44" t="str">
        <x:v>Canola/Rapeseed</x:v>
      </x:c>
      <x:c r="C2655" s="44" t="str">
        <x:v>P501L</x:v>
      </x:c>
      <x:c r="D2655" s="66" t="n">
        <x:v>2024</x:v>
      </x:c>
      <x:c r="E2655" s="67" t="n">
        <x:v>1982</x:v>
      </x:c>
      <x:c r="F2655" s="68" t="n">
        <x:v>36.6</x:v>
      </x:c>
      <x:c r="G2655" s="69" t="n">
        <x:f>IF(COUNT(E2655:F2655)=2,E2655*F2655,"")</x:f>
        <x:v>72541.2</x:v>
      </x:c>
    </x:row>
    <x:row r="2656">
      <x:c r="A2656" s="66" t="n">
        <x:v>18</x:v>
      </x:c>
      <x:c r="B2656" s="44" t="str">
        <x:v>Canola/Rapeseed</x:v>
      </x:c>
      <x:c r="C2656" s="44" t="str">
        <x:v>P501L</x:v>
      </x:c>
      <x:c r="D2656" s="66" t="n">
        <x:v>2025</x:v>
      </x:c>
      <x:c r="E2656" s="67" t="n">
        <x:v>1270</x:v>
      </x:c>
      <x:c r="F2656" s="68" t="n">
        <x:v>40</x:v>
      </x:c>
      <x:c r="G2656" s="69" t="n">
        <x:f>IF(COUNT(E2656:F2656)=2,E2656*F2656,"")</x:f>
        <x:v>50800</x:v>
      </x:c>
    </x:row>
    <x:row r="2657">
      <x:c r="A2657" s="66" t="n">
        <x:v>18</x:v>
      </x:c>
      <x:c r="B2657" s="44" t="str">
        <x:v>Canola/Rapeseed</x:v>
      </x:c>
      <x:c r="C2657" s="44" t="str">
        <x:v>P505MSL</x:v>
      </x:c>
      <x:c r="D2657" s="66" t="n">
        <x:v>2021</x:v>
      </x:c>
      <x:c r="E2657" s="67" t="n">
        <x:v>2665</x:v>
      </x:c>
      <x:c r="F2657" s="68" t="n">
        <x:v>14.7</x:v>
      </x:c>
      <x:c r="G2657" s="69" t="n">
        <x:f>IF(COUNT(E2657:F2657)=2,E2657*F2657,"")</x:f>
        <x:v>39175.5</x:v>
      </x:c>
    </x:row>
    <x:row r="2658">
      <x:c r="A2658" s="66" t="n">
        <x:v>18</x:v>
      </x:c>
      <x:c r="B2658" s="44" t="str">
        <x:v>Canola/Rapeseed</x:v>
      </x:c>
      <x:c r="C2658" s="44" t="str">
        <x:v>P505MSL</x:v>
      </x:c>
      <x:c r="D2658" s="66" t="n">
        <x:v>2022</x:v>
      </x:c>
      <x:c r="E2658" s="67" t="n">
        <x:v>1563</x:v>
      </x:c>
      <x:c r="F2658" s="68" t="n">
        <x:v>24.8</x:v>
      </x:c>
      <x:c r="G2658" s="69" t="n">
        <x:f>IF(COUNT(E2658:F2658)=2,E2658*F2658,"")</x:f>
        <x:v>38762.4</x:v>
      </x:c>
    </x:row>
    <x:row r="2659">
      <x:c r="A2659" s="66" t="n">
        <x:v>18</x:v>
      </x:c>
      <x:c r="B2659" s="44" t="str">
        <x:v>Canola/Rapeseed</x:v>
      </x:c>
      <x:c r="C2659" s="44" t="str">
        <x:v>P505MSL</x:v>
      </x:c>
      <x:c r="D2659" s="66" t="n">
        <x:v>2023</x:v>
      </x:c>
      <x:c r="E2659" s="67" t="n">
        <x:v>2776</x:v>
      </x:c>
      <x:c r="F2659" s="68" t="n">
        <x:v>37.4</x:v>
      </x:c>
      <x:c r="G2659" s="69" t="n">
        <x:f>IF(COUNT(E2659:F2659)=2,E2659*F2659,"")</x:f>
        <x:v>103822.4</x:v>
      </x:c>
    </x:row>
    <x:row r="2660">
      <x:c r="A2660" s="66" t="n">
        <x:v>18</x:v>
      </x:c>
      <x:c r="B2660" s="44" t="str">
        <x:v>Canola/Rapeseed</x:v>
      </x:c>
      <x:c r="C2660" s="44" t="str">
        <x:v>P505MSL</x:v>
      </x:c>
      <x:c r="D2660" s="66" t="n">
        <x:v>2024</x:v>
      </x:c>
      <x:c r="E2660" s="67" t="n">
        <x:v>11803</x:v>
      </x:c>
      <x:c r="F2660" s="68" t="n">
        <x:v>32.9</x:v>
      </x:c>
      <x:c r="G2660" s="69" t="n">
        <x:f>IF(COUNT(E2660:F2660)=2,E2660*F2660,"")</x:f>
        <x:v>388318.7</x:v>
      </x:c>
    </x:row>
    <x:row r="2661">
      <x:c r="A2661" s="66" t="n">
        <x:v>18</x:v>
      </x:c>
      <x:c r="B2661" s="44" t="str">
        <x:v>Canola/Rapeseed</x:v>
      </x:c>
      <x:c r="C2661" s="44" t="str">
        <x:v>P505MSL</x:v>
      </x:c>
      <x:c r="D2661" s="66" t="n">
        <x:v>2025</x:v>
      </x:c>
      <x:c r="E2661" s="67" t="n">
        <x:v>4288</x:v>
      </x:c>
      <x:c r="F2661" s="68" t="n">
        <x:v>40.2</x:v>
      </x:c>
      <x:c r="G2661" s="69" t="n">
        <x:f>IF(COUNT(E2661:F2661)=2,E2661*F2661,"")</x:f>
        <x:v>172377.6</x:v>
      </x:c>
    </x:row>
    <x:row r="2662">
      <x:c r="A2662" s="66" t="n">
        <x:v>18</x:v>
      </x:c>
      <x:c r="B2662" s="44" t="str">
        <x:v>Canola/Rapeseed</x:v>
      </x:c>
      <x:c r="C2662" s="44" t="str">
        <x:v>P508CL</x:v>
      </x:c>
      <x:c r="D2662" s="66" t="n">
        <x:v>2021</x:v>
      </x:c>
      <x:c r="E2662" s="67"/>
      <x:c r="F2662" s="68"/>
      <x:c r="G2662" s="69" t="str">
        <x:f>IF(COUNT(E2662:F2662)=2,E2662*F2662,"")</x:f>
      </x:c>
    </x:row>
    <x:row r="2663">
      <x:c r="A2663" s="66" t="n">
        <x:v>18</x:v>
      </x:c>
      <x:c r="B2663" s="44" t="str">
        <x:v>Canola/Rapeseed</x:v>
      </x:c>
      <x:c r="C2663" s="44" t="str">
        <x:v>P508CL</x:v>
      </x:c>
      <x:c r="D2663" s="66" t="n">
        <x:v>2022</x:v>
      </x:c>
      <x:c r="E2663" s="67"/>
      <x:c r="F2663" s="68"/>
      <x:c r="G2663" s="69" t="str">
        <x:f>IF(COUNT(E2663:F2663)=2,E2663*F2663,"")</x:f>
      </x:c>
    </x:row>
    <x:row r="2664">
      <x:c r="A2664" s="66" t="n">
        <x:v>18</x:v>
      </x:c>
      <x:c r="B2664" s="44" t="str">
        <x:v>Canola/Rapeseed</x:v>
      </x:c>
      <x:c r="C2664" s="44" t="str">
        <x:v>P508CL</x:v>
      </x:c>
      <x:c r="D2664" s="66" t="n">
        <x:v>2023</x:v>
      </x:c>
      <x:c r="E2664" s="67"/>
      <x:c r="F2664" s="68"/>
      <x:c r="G2664" s="69" t="str">
        <x:f>IF(COUNT(E2664:F2664)=2,E2664*F2664,"")</x:f>
      </x:c>
    </x:row>
    <x:row r="2665">
      <x:c r="A2665" s="66" t="n">
        <x:v>18</x:v>
      </x:c>
      <x:c r="B2665" s="44" t="str">
        <x:v>Canola/Rapeseed</x:v>
      </x:c>
      <x:c r="C2665" s="44" t="str">
        <x:v>P508CL</x:v>
      </x:c>
      <x:c r="D2665" s="66" t="n">
        <x:v>2024</x:v>
      </x:c>
      <x:c r="E2665" s="67"/>
      <x:c r="F2665" s="68"/>
      <x:c r="G2665" s="69" t="str">
        <x:f>IF(COUNT(E2665:F2665)=2,E2665*F2665,"")</x:f>
      </x:c>
    </x:row>
    <x:row r="2666">
      <x:c r="A2666" s="66" t="n">
        <x:v>18</x:v>
      </x:c>
      <x:c r="B2666" s="44" t="str">
        <x:v>Canola/Rapeseed</x:v>
      </x:c>
      <x:c r="C2666" s="44" t="str">
        <x:v>P508CL</x:v>
      </x:c>
      <x:c r="D2666" s="66" t="n">
        <x:v>2025</x:v>
      </x:c>
      <x:c r="E2666" s="67" t="n">
        <x:v>1275</x:v>
      </x:c>
      <x:c r="F2666" s="68" t="n">
        <x:v>47.5</x:v>
      </x:c>
      <x:c r="G2666" s="69" t="n">
        <x:f>IF(COUNT(E2666:F2666)=2,E2666*F2666,"")</x:f>
        <x:v>60562.5</x:v>
      </x:c>
    </x:row>
    <x:row r="2667">
      <x:c r="A2667" s="66" t="n">
        <x:v>18</x:v>
      </x:c>
      <x:c r="B2667" s="44" t="str">
        <x:v>Canola/Rapeseed</x:v>
      </x:c>
      <x:c r="C2667" s="44" t="str">
        <x:v>P509L</x:v>
      </x:c>
      <x:c r="D2667" s="66" t="n">
        <x:v>2021</x:v>
      </x:c>
      <x:c r="E2667" s="67"/>
      <x:c r="F2667" s="68"/>
      <x:c r="G2667" s="69" t="str">
        <x:f>IF(COUNT(E2667:F2667)=2,E2667*F2667,"")</x:f>
      </x:c>
    </x:row>
    <x:row r="2668">
      <x:c r="A2668" s="66" t="n">
        <x:v>18</x:v>
      </x:c>
      <x:c r="B2668" s="44" t="str">
        <x:v>Canola/Rapeseed</x:v>
      </x:c>
      <x:c r="C2668" s="44" t="str">
        <x:v>P509L</x:v>
      </x:c>
      <x:c r="D2668" s="66" t="n">
        <x:v>2022</x:v>
      </x:c>
      <x:c r="E2668" s="67"/>
      <x:c r="F2668" s="68"/>
      <x:c r="G2668" s="69" t="str">
        <x:f>IF(COUNT(E2668:F2668)=2,E2668*F2668,"")</x:f>
      </x:c>
    </x:row>
    <x:row r="2669">
      <x:c r="A2669" s="66" t="n">
        <x:v>18</x:v>
      </x:c>
      <x:c r="B2669" s="44" t="str">
        <x:v>Canola/Rapeseed</x:v>
      </x:c>
      <x:c r="C2669" s="44" t="str">
        <x:v>P509L</x:v>
      </x:c>
      <x:c r="D2669" s="66" t="n">
        <x:v>2023</x:v>
      </x:c>
      <x:c r="E2669" s="67" t="n">
        <x:v>1556</x:v>
      </x:c>
      <x:c r="F2669" s="68" t="n">
        <x:v>27.9</x:v>
      </x:c>
      <x:c r="G2669" s="69" t="n">
        <x:f>IF(COUNT(E2669:F2669)=2,E2669*F2669,"")</x:f>
        <x:v>43412.399999999994</x:v>
      </x:c>
    </x:row>
    <x:row r="2670">
      <x:c r="A2670" s="66" t="n">
        <x:v>18</x:v>
      </x:c>
      <x:c r="B2670" s="44" t="str">
        <x:v>Canola/Rapeseed</x:v>
      </x:c>
      <x:c r="C2670" s="44" t="str">
        <x:v>P509L</x:v>
      </x:c>
      <x:c r="D2670" s="66" t="n">
        <x:v>2024</x:v>
      </x:c>
      <x:c r="E2670" s="67" t="n">
        <x:v>1805</x:v>
      </x:c>
      <x:c r="F2670" s="68" t="n">
        <x:v>36.1</x:v>
      </x:c>
      <x:c r="G2670" s="69" t="n">
        <x:f>IF(COUNT(E2670:F2670)=2,E2670*F2670,"")</x:f>
        <x:v>65160.5</x:v>
      </x:c>
    </x:row>
    <x:row r="2671">
      <x:c r="A2671" s="66" t="n">
        <x:v>18</x:v>
      </x:c>
      <x:c r="B2671" s="44" t="str">
        <x:v>Canola/Rapeseed</x:v>
      </x:c>
      <x:c r="C2671" s="44" t="str">
        <x:v>P509L</x:v>
      </x:c>
      <x:c r="D2671" s="66" t="n">
        <x:v>2025</x:v>
      </x:c>
      <x:c r="E2671" s="67" t="n">
        <x:v>618</x:v>
      </x:c>
      <x:c r="F2671" s="68" t="n">
        <x:v>49.7</x:v>
      </x:c>
      <x:c r="G2671" s="69" t="n">
        <x:f>IF(COUNT(E2671:F2671)=2,E2671*F2671,"")</x:f>
        <x:v>30714.600000000002</x:v>
      </x:c>
    </x:row>
    <x:row r="2672">
      <x:c r="A2672" s="66" t="n">
        <x:v>18</x:v>
      </x:c>
      <x:c r="B2672" s="44" t="str">
        <x:v>Canola/Rapeseed</x:v>
      </x:c>
      <x:c r="C2672" s="44" t="str">
        <x:v>P510G</x:v>
      </x:c>
      <x:c r="D2672" s="66" t="n">
        <x:v>2021</x:v>
      </x:c>
      <x:c r="E2672" s="67"/>
      <x:c r="F2672" s="68"/>
      <x:c r="G2672" s="69" t="str">
        <x:f>IF(COUNT(E2672:F2672)=2,E2672*F2672,"")</x:f>
      </x:c>
    </x:row>
    <x:row r="2673">
      <x:c r="A2673" s="66" t="n">
        <x:v>18</x:v>
      </x:c>
      <x:c r="B2673" s="44" t="str">
        <x:v>Canola/Rapeseed</x:v>
      </x:c>
      <x:c r="C2673" s="44" t="str">
        <x:v>P510G</x:v>
      </x:c>
      <x:c r="D2673" s="66" t="n">
        <x:v>2022</x:v>
      </x:c>
      <x:c r="E2673" s="67"/>
      <x:c r="F2673" s="68"/>
      <x:c r="G2673" s="69" t="str">
        <x:f>IF(COUNT(E2673:F2673)=2,E2673*F2673,"")</x:f>
      </x:c>
    </x:row>
    <x:row r="2674">
      <x:c r="A2674" s="66" t="n">
        <x:v>18</x:v>
      </x:c>
      <x:c r="B2674" s="44" t="str">
        <x:v>Canola/Rapeseed</x:v>
      </x:c>
      <x:c r="C2674" s="44" t="str">
        <x:v>P510G</x:v>
      </x:c>
      <x:c r="D2674" s="66" t="n">
        <x:v>2023</x:v>
      </x:c>
      <x:c r="E2674" s="67"/>
      <x:c r="F2674" s="68"/>
      <x:c r="G2674" s="69" t="str">
        <x:f>IF(COUNT(E2674:F2674)=2,E2674*F2674,"")</x:f>
      </x:c>
    </x:row>
    <x:row r="2675">
      <x:c r="A2675" s="66" t="n">
        <x:v>18</x:v>
      </x:c>
      <x:c r="B2675" s="44" t="str">
        <x:v>Canola/Rapeseed</x:v>
      </x:c>
      <x:c r="C2675" s="44" t="str">
        <x:v>P510G</x:v>
      </x:c>
      <x:c r="D2675" s="66" t="n">
        <x:v>2024</x:v>
      </x:c>
      <x:c r="E2675" s="67" t="n">
        <x:v>1334</x:v>
      </x:c>
      <x:c r="F2675" s="68" t="n">
        <x:v>28.3</x:v>
      </x:c>
      <x:c r="G2675" s="69" t="n">
        <x:f>IF(COUNT(E2675:F2675)=2,E2675*F2675,"")</x:f>
        <x:v>37752.200000000004</x:v>
      </x:c>
    </x:row>
    <x:row r="2676">
      <x:c r="A2676" s="66" t="n">
        <x:v>18</x:v>
      </x:c>
      <x:c r="B2676" s="44" t="str">
        <x:v>Canola/Rapeseed</x:v>
      </x:c>
      <x:c r="C2676" s="44" t="str">
        <x:v>P510G</x:v>
      </x:c>
      <x:c r="D2676" s="66" t="n">
        <x:v>2025</x:v>
      </x:c>
      <x:c r="E2676" s="67" t="n">
        <x:v>624</x:v>
      </x:c>
      <x:c r="F2676" s="68" t="n">
        <x:v>40.1</x:v>
      </x:c>
      <x:c r="G2676" s="69" t="n">
        <x:f>IF(COUNT(E2676:F2676)=2,E2676*F2676,"")</x:f>
        <x:v>25022.4</x:v>
      </x:c>
    </x:row>
    <x:row r="2677">
      <x:c r="A2677" s="66" t="n">
        <x:v>18</x:v>
      </x:c>
      <x:c r="B2677" s="44" t="str">
        <x:v>Canola/Rapeseed</x:v>
      </x:c>
      <x:c r="C2677" s="44" t="str">
        <x:v>P514CL</x:v>
      </x:c>
      <x:c r="D2677" s="66" t="n">
        <x:v>2021</x:v>
      </x:c>
      <x:c r="E2677" s="67"/>
      <x:c r="F2677" s="68"/>
      <x:c r="G2677" s="69" t="str">
        <x:f>IF(COUNT(E2677:F2677)=2,E2677*F2677,"")</x:f>
      </x:c>
    </x:row>
    <x:row r="2678">
      <x:c r="A2678" s="66" t="n">
        <x:v>18</x:v>
      </x:c>
      <x:c r="B2678" s="44" t="str">
        <x:v>Canola/Rapeseed</x:v>
      </x:c>
      <x:c r="C2678" s="44" t="str">
        <x:v>P514CL</x:v>
      </x:c>
      <x:c r="D2678" s="66" t="n">
        <x:v>2022</x:v>
      </x:c>
      <x:c r="E2678" s="67"/>
      <x:c r="F2678" s="68"/>
      <x:c r="G2678" s="69" t="str">
        <x:f>IF(COUNT(E2678:F2678)=2,E2678*F2678,"")</x:f>
      </x:c>
    </x:row>
    <x:row r="2679">
      <x:c r="A2679" s="66" t="n">
        <x:v>18</x:v>
      </x:c>
      <x:c r="B2679" s="44" t="str">
        <x:v>Canola/Rapeseed</x:v>
      </x:c>
      <x:c r="C2679" s="44" t="str">
        <x:v>P514CL</x:v>
      </x:c>
      <x:c r="D2679" s="66" t="n">
        <x:v>2023</x:v>
      </x:c>
      <x:c r="E2679" s="67"/>
      <x:c r="F2679" s="68"/>
      <x:c r="G2679" s="69" t="str">
        <x:f>IF(COUNT(E2679:F2679)=2,E2679*F2679,"")</x:f>
      </x:c>
    </x:row>
    <x:row r="2680">
      <x:c r="A2680" s="66" t="n">
        <x:v>18</x:v>
      </x:c>
      <x:c r="B2680" s="44" t="str">
        <x:v>Canola/Rapeseed</x:v>
      </x:c>
      <x:c r="C2680" s="44" t="str">
        <x:v>P514CL</x:v>
      </x:c>
      <x:c r="D2680" s="66" t="n">
        <x:v>2024</x:v>
      </x:c>
      <x:c r="E2680" s="67"/>
      <x:c r="F2680" s="68"/>
      <x:c r="G2680" s="69" t="str">
        <x:f>IF(COUNT(E2680:F2680)=2,E2680*F2680,"")</x:f>
      </x:c>
    </x:row>
    <x:row r="2681">
      <x:c r="A2681" s="66" t="n">
        <x:v>18</x:v>
      </x:c>
      <x:c r="B2681" s="44" t="str">
        <x:v>Canola/Rapeseed</x:v>
      </x:c>
      <x:c r="C2681" s="44" t="str">
        <x:v>P514CL</x:v>
      </x:c>
      <x:c r="D2681" s="66" t="n">
        <x:v>2025</x:v>
      </x:c>
      <x:c r="E2681" s="67" t="n">
        <x:v>487</x:v>
      </x:c>
      <x:c r="F2681" s="68" t="n">
        <x:v>19.3</x:v>
      </x:c>
      <x:c r="G2681" s="69" t="n">
        <x:f>IF(COUNT(E2681:F2681)=2,E2681*F2681,"")</x:f>
        <x:v>9399.1</x:v>
      </x:c>
    </x:row>
    <x:row r="2682">
      <x:c r="A2682" s="66" t="n">
        <x:v>18</x:v>
      </x:c>
      <x:c r="B2682" s="44" t="str">
        <x:v>Canola/Rapeseed</x:v>
      </x:c>
      <x:c r="C2682" s="44" t="str">
        <x:v>P515G</x:v>
      </x:c>
      <x:c r="D2682" s="66" t="n">
        <x:v>2021</x:v>
      </x:c>
      <x:c r="E2682" s="67"/>
      <x:c r="F2682" s="68"/>
      <x:c r="G2682" s="69" t="str">
        <x:f>IF(COUNT(E2682:F2682)=2,E2682*F2682,"")</x:f>
      </x:c>
    </x:row>
    <x:row r="2683">
      <x:c r="A2683" s="66" t="n">
        <x:v>18</x:v>
      </x:c>
      <x:c r="B2683" s="44" t="str">
        <x:v>Canola/Rapeseed</x:v>
      </x:c>
      <x:c r="C2683" s="44" t="str">
        <x:v>P515G</x:v>
      </x:c>
      <x:c r="D2683" s="66" t="n">
        <x:v>2022</x:v>
      </x:c>
      <x:c r="E2683" s="67"/>
      <x:c r="F2683" s="68"/>
      <x:c r="G2683" s="69" t="str">
        <x:f>IF(COUNT(E2683:F2683)=2,E2683*F2683,"")</x:f>
      </x:c>
    </x:row>
    <x:row r="2684">
      <x:c r="A2684" s="66" t="n">
        <x:v>18</x:v>
      </x:c>
      <x:c r="B2684" s="44" t="str">
        <x:v>Canola/Rapeseed</x:v>
      </x:c>
      <x:c r="C2684" s="44" t="str">
        <x:v>P515G</x:v>
      </x:c>
      <x:c r="D2684" s="66" t="n">
        <x:v>2023</x:v>
      </x:c>
      <x:c r="E2684" s="67"/>
      <x:c r="F2684" s="68"/>
      <x:c r="G2684" s="69" t="str">
        <x:f>IF(COUNT(E2684:F2684)=2,E2684*F2684,"")</x:f>
      </x:c>
    </x:row>
    <x:row r="2685">
      <x:c r="A2685" s="66" t="n">
        <x:v>18</x:v>
      </x:c>
      <x:c r="B2685" s="44" t="str">
        <x:v>Canola/Rapeseed</x:v>
      </x:c>
      <x:c r="C2685" s="44" t="str">
        <x:v>P515G</x:v>
      </x:c>
      <x:c r="D2685" s="66" t="n">
        <x:v>2024</x:v>
      </x:c>
      <x:c r="E2685" s="67" t="n">
        <x:v>2056</x:v>
      </x:c>
      <x:c r="F2685" s="68" t="n">
        <x:v>30.7</x:v>
      </x:c>
      <x:c r="G2685" s="69" t="n">
        <x:f>IF(COUNT(E2685:F2685)=2,E2685*F2685,"")</x:f>
        <x:v>63119.2</x:v>
      </x:c>
    </x:row>
    <x:row r="2686">
      <x:c r="A2686" s="66" t="n">
        <x:v>18</x:v>
      </x:c>
      <x:c r="B2686" s="44" t="str">
        <x:v>Canola/Rapeseed</x:v>
      </x:c>
      <x:c r="C2686" s="44" t="str">
        <x:v>P515G</x:v>
      </x:c>
      <x:c r="D2686" s="66" t="n">
        <x:v>2025</x:v>
      </x:c>
      <x:c r="E2686" s="67" t="n">
        <x:v>3770</x:v>
      </x:c>
      <x:c r="F2686" s="68" t="n">
        <x:v>33.9</x:v>
      </x:c>
      <x:c r="G2686" s="69" t="n">
        <x:f>IF(COUNT(E2686:F2686)=2,E2686*F2686,"")</x:f>
        <x:v>127803</x:v>
      </x:c>
    </x:row>
    <x:row r="2687">
      <x:c r="A2687" s="66" t="n">
        <x:v>18</x:v>
      </x:c>
      <x:c r="B2687" s="44" t="str">
        <x:v>Canola/Rapeseed</x:v>
      </x:c>
      <x:c r="C2687" s="44" t="str">
        <x:v>P516L</x:v>
      </x:c>
      <x:c r="D2687" s="66" t="n">
        <x:v>2021</x:v>
      </x:c>
      <x:c r="E2687" s="67"/>
      <x:c r="F2687" s="68"/>
      <x:c r="G2687" s="69" t="str">
        <x:f>IF(COUNT(E2687:F2687)=2,E2687*F2687,"")</x:f>
      </x:c>
    </x:row>
    <x:row r="2688">
      <x:c r="A2688" s="66" t="n">
        <x:v>18</x:v>
      </x:c>
      <x:c r="B2688" s="44" t="str">
        <x:v>Canola/Rapeseed</x:v>
      </x:c>
      <x:c r="C2688" s="44" t="str">
        <x:v>P516L</x:v>
      </x:c>
      <x:c r="D2688" s="66" t="n">
        <x:v>2022</x:v>
      </x:c>
      <x:c r="E2688" s="67"/>
      <x:c r="F2688" s="68"/>
      <x:c r="G2688" s="69" t="str">
        <x:f>IF(COUNT(E2688:F2688)=2,E2688*F2688,"")</x:f>
      </x:c>
    </x:row>
    <x:row r="2689">
      <x:c r="A2689" s="66" t="n">
        <x:v>18</x:v>
      </x:c>
      <x:c r="B2689" s="44" t="str">
        <x:v>Canola/Rapeseed</x:v>
      </x:c>
      <x:c r="C2689" s="44" t="str">
        <x:v>P516L</x:v>
      </x:c>
      <x:c r="D2689" s="66" t="n">
        <x:v>2023</x:v>
      </x:c>
      <x:c r="E2689" s="67" t="n">
        <x:v>1263</x:v>
      </x:c>
      <x:c r="F2689" s="68" t="n">
        <x:v>38.8</x:v>
      </x:c>
      <x:c r="G2689" s="69" t="n">
        <x:f>IF(COUNT(E2689:F2689)=2,E2689*F2689,"")</x:f>
        <x:v>49004.399999999994</x:v>
      </x:c>
    </x:row>
    <x:row r="2690">
      <x:c r="A2690" s="66" t="n">
        <x:v>18</x:v>
      </x:c>
      <x:c r="B2690" s="44" t="str">
        <x:v>Canola/Rapeseed</x:v>
      </x:c>
      <x:c r="C2690" s="44" t="str">
        <x:v>P516L</x:v>
      </x:c>
      <x:c r="D2690" s="66" t="n">
        <x:v>2024</x:v>
      </x:c>
      <x:c r="E2690" s="67" t="n">
        <x:v>5003</x:v>
      </x:c>
      <x:c r="F2690" s="68" t="n">
        <x:v>32.9</x:v>
      </x:c>
      <x:c r="G2690" s="69" t="n">
        <x:f>IF(COUNT(E2690:F2690)=2,E2690*F2690,"")</x:f>
        <x:v>164598.69999999998</x:v>
      </x:c>
    </x:row>
    <x:row r="2691">
      <x:c r="A2691" s="66" t="n">
        <x:v>18</x:v>
      </x:c>
      <x:c r="B2691" s="44" t="str">
        <x:v>Canola/Rapeseed</x:v>
      </x:c>
      <x:c r="C2691" s="44" t="str">
        <x:v>P516L</x:v>
      </x:c>
      <x:c r="D2691" s="66" t="n">
        <x:v>2025</x:v>
      </x:c>
      <x:c r="E2691" s="67" t="n">
        <x:v>3043</x:v>
      </x:c>
      <x:c r="F2691" s="68" t="n">
        <x:v>43.4</x:v>
      </x:c>
      <x:c r="G2691" s="69" t="n">
        <x:f>IF(COUNT(E2691:F2691)=2,E2691*F2691,"")</x:f>
        <x:v>132066.19999999998</x:v>
      </x:c>
    </x:row>
    <x:row r="2692">
      <x:c r="A2692" s="66" t="n">
        <x:v>18</x:v>
      </x:c>
      <x:c r="B2692" s="44" t="str">
        <x:v>Canola/Rapeseed</x:v>
      </x:c>
      <x:c r="C2692" s="44" t="str">
        <x:v>P520L</x:v>
      </x:c>
      <x:c r="D2692" s="66" t="n">
        <x:v>2021</x:v>
      </x:c>
      <x:c r="E2692" s="67"/>
      <x:c r="F2692" s="68"/>
      <x:c r="G2692" s="69" t="str">
        <x:f>IF(COUNT(E2692:F2692)=2,E2692*F2692,"")</x:f>
      </x:c>
    </x:row>
    <x:row r="2693">
      <x:c r="A2693" s="66" t="n">
        <x:v>18</x:v>
      </x:c>
      <x:c r="B2693" s="44" t="str">
        <x:v>Canola/Rapeseed</x:v>
      </x:c>
      <x:c r="C2693" s="44" t="str">
        <x:v>P520L</x:v>
      </x:c>
      <x:c r="D2693" s="66" t="n">
        <x:v>2022</x:v>
      </x:c>
      <x:c r="E2693" s="67"/>
      <x:c r="F2693" s="68"/>
      <x:c r="G2693" s="69" t="str">
        <x:f>IF(COUNT(E2693:F2693)=2,E2693*F2693,"")</x:f>
      </x:c>
    </x:row>
    <x:row r="2694">
      <x:c r="A2694" s="66" t="n">
        <x:v>18</x:v>
      </x:c>
      <x:c r="B2694" s="44" t="str">
        <x:v>Canola/Rapeseed</x:v>
      </x:c>
      <x:c r="C2694" s="44" t="str">
        <x:v>P520L</x:v>
      </x:c>
      <x:c r="D2694" s="66" t="n">
        <x:v>2023</x:v>
      </x:c>
      <x:c r="E2694" s="67"/>
      <x:c r="F2694" s="68"/>
      <x:c r="G2694" s="69" t="str">
        <x:f>IF(COUNT(E2694:F2694)=2,E2694*F2694,"")</x:f>
      </x:c>
    </x:row>
    <x:row r="2695">
      <x:c r="A2695" s="66" t="n">
        <x:v>18</x:v>
      </x:c>
      <x:c r="B2695" s="44" t="str">
        <x:v>Canola/Rapeseed</x:v>
      </x:c>
      <x:c r="C2695" s="44" t="str">
        <x:v>P520L</x:v>
      </x:c>
      <x:c r="D2695" s="66" t="n">
        <x:v>2024</x:v>
      </x:c>
      <x:c r="E2695" s="67"/>
      <x:c r="F2695" s="68"/>
      <x:c r="G2695" s="69" t="str">
        <x:f>IF(COUNT(E2695:F2695)=2,E2695*F2695,"")</x:f>
      </x:c>
    </x:row>
    <x:row r="2696">
      <x:c r="A2696" s="66" t="n">
        <x:v>18</x:v>
      </x:c>
      <x:c r="B2696" s="44" t="str">
        <x:v>Canola/Rapeseed</x:v>
      </x:c>
      <x:c r="C2696" s="44" t="str">
        <x:v>P520L</x:v>
      </x:c>
      <x:c r="D2696" s="66" t="n">
        <x:v>2025</x:v>
      </x:c>
      <x:c r="E2696" s="67" t="n">
        <x:v>6008</x:v>
      </x:c>
      <x:c r="F2696" s="68" t="n">
        <x:v>42.3</x:v>
      </x:c>
      <x:c r="G2696" s="69" t="n">
        <x:f>IF(COUNT(E2696:F2696)=2,E2696*F2696,"")</x:f>
        <x:v>254138.4</x:v>
      </x:c>
    </x:row>
    <x:row r="2697">
      <x:c r="A2697" s="66" t="n">
        <x:v>19</x:v>
      </x:c>
      <x:c r="B2697" s="44" t="str">
        <x:v>Canola/Rapeseed</x:v>
      </x:c>
      <x:c r="C2697" s="44" t="str">
        <x:v>BY 6217TF</x:v>
      </x:c>
      <x:c r="D2697" s="66" t="n">
        <x:v>2021</x:v>
      </x:c>
      <x:c r="E2697" s="67"/>
      <x:c r="F2697" s="68"/>
      <x:c r="G2697" s="69" t="str">
        <x:f>IF(COUNT(E2697:F2697)=2,E2697*F2697,"")</x:f>
      </x:c>
    </x:row>
    <x:row r="2698">
      <x:c r="A2698" s="66" t="n">
        <x:v>19</x:v>
      </x:c>
      <x:c r="B2698" s="44" t="str">
        <x:v>Canola/Rapeseed</x:v>
      </x:c>
      <x:c r="C2698" s="44" t="str">
        <x:v>BY 6217TF</x:v>
      </x:c>
      <x:c r="D2698" s="66" t="n">
        <x:v>2022</x:v>
      </x:c>
      <x:c r="E2698" s="67"/>
      <x:c r="F2698" s="68"/>
      <x:c r="G2698" s="69" t="str">
        <x:f>IF(COUNT(E2698:F2698)=2,E2698*F2698,"")</x:f>
      </x:c>
    </x:row>
    <x:row r="2699">
      <x:c r="A2699" s="66" t="n">
        <x:v>19</x:v>
      </x:c>
      <x:c r="B2699" s="44" t="str">
        <x:v>Canola/Rapeseed</x:v>
      </x:c>
      <x:c r="C2699" s="44" t="str">
        <x:v>BY 6217TF</x:v>
      </x:c>
      <x:c r="D2699" s="66" t="n">
        <x:v>2023</x:v>
      </x:c>
      <x:c r="E2699" s="67" t="n">
        <x:v>570</x:v>
      </x:c>
      <x:c r="F2699" s="68" t="n">
        <x:v>34.6</x:v>
      </x:c>
      <x:c r="G2699" s="69" t="n">
        <x:f>IF(COUNT(E2699:F2699)=2,E2699*F2699,"")</x:f>
        <x:v>19722</x:v>
      </x:c>
    </x:row>
    <x:row r="2700">
      <x:c r="A2700" s="66" t="n">
        <x:v>19</x:v>
      </x:c>
      <x:c r="B2700" s="44" t="str">
        <x:v>Canola/Rapeseed</x:v>
      </x:c>
      <x:c r="C2700" s="44" t="str">
        <x:v>BY 6217TF</x:v>
      </x:c>
      <x:c r="D2700" s="66" t="n">
        <x:v>2024</x:v>
      </x:c>
      <x:c r="E2700" s="67" t="n">
        <x:v>1422</x:v>
      </x:c>
      <x:c r="F2700" s="68" t="n">
        <x:v>31.5</x:v>
      </x:c>
      <x:c r="G2700" s="69" t="n">
        <x:f>IF(COUNT(E2700:F2700)=2,E2700*F2700,"")</x:f>
        <x:v>44793</x:v>
      </x:c>
    </x:row>
    <x:row r="2701">
      <x:c r="A2701" s="66" t="n">
        <x:v>19</x:v>
      </x:c>
      <x:c r="B2701" s="44" t="str">
        <x:v>Canola/Rapeseed</x:v>
      </x:c>
      <x:c r="C2701" s="44" t="str">
        <x:v>BY 6217TF</x:v>
      </x:c>
      <x:c r="D2701" s="66" t="n">
        <x:v>2025</x:v>
      </x:c>
      <x:c r="E2701" s="67" t="n">
        <x:v>786</x:v>
      </x:c>
      <x:c r="F2701" s="68" t="n">
        <x:v>57.3</x:v>
      </x:c>
      <x:c r="G2701" s="69" t="n">
        <x:f>IF(COUNT(E2701:F2701)=2,E2701*F2701,"")</x:f>
        <x:v>45037.799999999996</x:v>
      </x:c>
    </x:row>
    <x:row r="2702">
      <x:c r="A2702" s="66" t="n">
        <x:v>19</x:v>
      </x:c>
      <x:c r="B2702" s="44" t="str">
        <x:v>Canola/Rapeseed</x:v>
      </x:c>
      <x:c r="C2702" s="44" t="str">
        <x:v>CS3300 TF</x:v>
      </x:c>
      <x:c r="D2702" s="66" t="n">
        <x:v>2021</x:v>
      </x:c>
      <x:c r="E2702" s="67"/>
      <x:c r="F2702" s="68"/>
      <x:c r="G2702" s="69" t="str">
        <x:f>IF(COUNT(E2702:F2702)=2,E2702*F2702,"")</x:f>
      </x:c>
    </x:row>
    <x:row r="2703">
      <x:c r="A2703" s="66" t="n">
        <x:v>19</x:v>
      </x:c>
      <x:c r="B2703" s="44" t="str">
        <x:v>Canola/Rapeseed</x:v>
      </x:c>
      <x:c r="C2703" s="44" t="str">
        <x:v>CS3300 TF</x:v>
      </x:c>
      <x:c r="D2703" s="66" t="n">
        <x:v>2022</x:v>
      </x:c>
      <x:c r="E2703" s="67"/>
      <x:c r="F2703" s="68"/>
      <x:c r="G2703" s="69" t="str">
        <x:f>IF(COUNT(E2703:F2703)=2,E2703*F2703,"")</x:f>
      </x:c>
    </x:row>
    <x:row r="2704">
      <x:c r="A2704" s="66" t="n">
        <x:v>19</x:v>
      </x:c>
      <x:c r="B2704" s="44" t="str">
        <x:v>Canola/Rapeseed</x:v>
      </x:c>
      <x:c r="C2704" s="44" t="str">
        <x:v>CS3300 TF</x:v>
      </x:c>
      <x:c r="D2704" s="66" t="n">
        <x:v>2023</x:v>
      </x:c>
      <x:c r="E2704" s="67"/>
      <x:c r="F2704" s="68"/>
      <x:c r="G2704" s="69" t="str">
        <x:f>IF(COUNT(E2704:F2704)=2,E2704*F2704,"")</x:f>
      </x:c>
    </x:row>
    <x:row r="2705">
      <x:c r="A2705" s="66" t="n">
        <x:v>19</x:v>
      </x:c>
      <x:c r="B2705" s="44" t="str">
        <x:v>Canola/Rapeseed</x:v>
      </x:c>
      <x:c r="C2705" s="44" t="str">
        <x:v>CS3300 TF</x:v>
      </x:c>
      <x:c r="D2705" s="66" t="n">
        <x:v>2024</x:v>
      </x:c>
      <x:c r="E2705" s="67"/>
      <x:c r="F2705" s="68"/>
      <x:c r="G2705" s="69" t="str">
        <x:f>IF(COUNT(E2705:F2705)=2,E2705*F2705,"")</x:f>
      </x:c>
    </x:row>
    <x:row r="2706">
      <x:c r="A2706" s="66" t="n">
        <x:v>19</x:v>
      </x:c>
      <x:c r="B2706" s="44" t="str">
        <x:v>Canola/Rapeseed</x:v>
      </x:c>
      <x:c r="C2706" s="44" t="str">
        <x:v>CS3300 TF</x:v>
      </x:c>
      <x:c r="D2706" s="66" t="n">
        <x:v>2025</x:v>
      </x:c>
      <x:c r="E2706" s="67" t="n">
        <x:v>2544</x:v>
      </x:c>
      <x:c r="F2706" s="68" t="n">
        <x:v>47.4</x:v>
      </x:c>
      <x:c r="G2706" s="69" t="n">
        <x:f>IF(COUNT(E2706:F2706)=2,E2706*F2706,"")</x:f>
        <x:v>120585.59999999999</x:v>
      </x:c>
    </x:row>
    <x:row r="2707">
      <x:c r="A2707" s="66" t="n">
        <x:v>19</x:v>
      </x:c>
      <x:c r="B2707" s="44" t="str">
        <x:v>Canola/Rapeseed</x:v>
      </x:c>
      <x:c r="C2707" s="44" t="str">
        <x:v>CS4000 LL</x:v>
      </x:c>
      <x:c r="D2707" s="66" t="n">
        <x:v>2021</x:v>
      </x:c>
      <x:c r="E2707" s="67" t="n">
        <x:v>615</x:v>
      </x:c>
      <x:c r="F2707" s="68" t="n">
        <x:v>20.9</x:v>
      </x:c>
      <x:c r="G2707" s="69" t="n">
        <x:f>IF(COUNT(E2707:F2707)=2,E2707*F2707,"")</x:f>
        <x:v>12853.5</x:v>
      </x:c>
    </x:row>
    <x:row r="2708">
      <x:c r="A2708" s="66" t="n">
        <x:v>19</x:v>
      </x:c>
      <x:c r="B2708" s="44" t="str">
        <x:v>Canola/Rapeseed</x:v>
      </x:c>
      <x:c r="C2708" s="44" t="str">
        <x:v>CS4000 LL</x:v>
      </x:c>
      <x:c r="D2708" s="66" t="n">
        <x:v>2022</x:v>
      </x:c>
      <x:c r="E2708" s="67" t="n">
        <x:v>1247</x:v>
      </x:c>
      <x:c r="F2708" s="68" t="n">
        <x:v>42.4</x:v>
      </x:c>
      <x:c r="G2708" s="69" t="n">
        <x:f>IF(COUNT(E2708:F2708)=2,E2708*F2708,"")</x:f>
        <x:v>52872.799999999996</x:v>
      </x:c>
    </x:row>
    <x:row r="2709">
      <x:c r="A2709" s="66" t="n">
        <x:v>19</x:v>
      </x:c>
      <x:c r="B2709" s="44" t="str">
        <x:v>Canola/Rapeseed</x:v>
      </x:c>
      <x:c r="C2709" s="44" t="str">
        <x:v>CS4000 LL</x:v>
      </x:c>
      <x:c r="D2709" s="66" t="n">
        <x:v>2023</x:v>
      </x:c>
      <x:c r="E2709" s="67" t="n">
        <x:v>4752</x:v>
      </x:c>
      <x:c r="F2709" s="68" t="n">
        <x:v>35.3</x:v>
      </x:c>
      <x:c r="G2709" s="69" t="n">
        <x:f>IF(COUNT(E2709:F2709)=2,E2709*F2709,"")</x:f>
        <x:v>167745.59999999998</x:v>
      </x:c>
    </x:row>
    <x:row r="2710">
      <x:c r="A2710" s="66" t="n">
        <x:v>19</x:v>
      </x:c>
      <x:c r="B2710" s="44" t="str">
        <x:v>Canola/Rapeseed</x:v>
      </x:c>
      <x:c r="C2710" s="44" t="str">
        <x:v>CS4000 LL</x:v>
      </x:c>
      <x:c r="D2710" s="66" t="n">
        <x:v>2024</x:v>
      </x:c>
      <x:c r="E2710" s="67" t="n">
        <x:v>1964</x:v>
      </x:c>
      <x:c r="F2710" s="68" t="n">
        <x:v>32.8</x:v>
      </x:c>
      <x:c r="G2710" s="69" t="n">
        <x:f>IF(COUNT(E2710:F2710)=2,E2710*F2710,"")</x:f>
        <x:v>64419.2</x:v>
      </x:c>
    </x:row>
    <x:row r="2711">
      <x:c r="A2711" s="66" t="n">
        <x:v>19</x:v>
      </x:c>
      <x:c r="B2711" s="44" t="str">
        <x:v>Canola/Rapeseed</x:v>
      </x:c>
      <x:c r="C2711" s="44" t="str">
        <x:v>CS4000 LL</x:v>
      </x:c>
      <x:c r="D2711" s="66" t="n">
        <x:v>2025</x:v>
      </x:c>
      <x:c r="E2711" s="67" t="n">
        <x:v>525</x:v>
      </x:c>
      <x:c r="F2711" s="68" t="n">
        <x:v>44.3</x:v>
      </x:c>
      <x:c r="G2711" s="69" t="n">
        <x:f>IF(COUNT(E2711:F2711)=2,E2711*F2711,"")</x:f>
        <x:v>23257.5</x:v>
      </x:c>
    </x:row>
    <x:row r="2712">
      <x:c r="A2712" s="66" t="n">
        <x:v>19</x:v>
      </x:c>
      <x:c r="B2712" s="44" t="str">
        <x:v>Canola/Rapeseed</x:v>
      </x:c>
      <x:c r="C2712" s="44" t="str">
        <x:v>CS4100 LL</x:v>
      </x:c>
      <x:c r="D2712" s="66" t="n">
        <x:v>2021</x:v>
      </x:c>
      <x:c r="E2712" s="67"/>
      <x:c r="F2712" s="68"/>
      <x:c r="G2712" s="69" t="str">
        <x:f>IF(COUNT(E2712:F2712)=2,E2712*F2712,"")</x:f>
      </x:c>
    </x:row>
    <x:row r="2713">
      <x:c r="A2713" s="66" t="n">
        <x:v>19</x:v>
      </x:c>
      <x:c r="B2713" s="44" t="str">
        <x:v>Canola/Rapeseed</x:v>
      </x:c>
      <x:c r="C2713" s="44" t="str">
        <x:v>CS4100 LL</x:v>
      </x:c>
      <x:c r="D2713" s="66" t="n">
        <x:v>2022</x:v>
      </x:c>
      <x:c r="E2713" s="67"/>
      <x:c r="F2713" s="68"/>
      <x:c r="G2713" s="69" t="str">
        <x:f>IF(COUNT(E2713:F2713)=2,E2713*F2713,"")</x:f>
      </x:c>
    </x:row>
    <x:row r="2714">
      <x:c r="A2714" s="66" t="n">
        <x:v>19</x:v>
      </x:c>
      <x:c r="B2714" s="44" t="str">
        <x:v>Canola/Rapeseed</x:v>
      </x:c>
      <x:c r="C2714" s="44" t="str">
        <x:v>CS4100 LL</x:v>
      </x:c>
      <x:c r="D2714" s="66" t="n">
        <x:v>2023</x:v>
      </x:c>
      <x:c r="E2714" s="67"/>
      <x:c r="F2714" s="68"/>
      <x:c r="G2714" s="69" t="str">
        <x:f>IF(COUNT(E2714:F2714)=2,E2714*F2714,"")</x:f>
      </x:c>
    </x:row>
    <x:row r="2715">
      <x:c r="A2715" s="66" t="n">
        <x:v>19</x:v>
      </x:c>
      <x:c r="B2715" s="44" t="str">
        <x:v>Canola/Rapeseed</x:v>
      </x:c>
      <x:c r="C2715" s="44" t="str">
        <x:v>CS4100 LL</x:v>
      </x:c>
      <x:c r="D2715" s="66" t="n">
        <x:v>2024</x:v>
      </x:c>
      <x:c r="E2715" s="67"/>
      <x:c r="F2715" s="68"/>
      <x:c r="G2715" s="69" t="str">
        <x:f>IF(COUNT(E2715:F2715)=2,E2715*F2715,"")</x:f>
      </x:c>
    </x:row>
    <x:row r="2716">
      <x:c r="A2716" s="66" t="n">
        <x:v>19</x:v>
      </x:c>
      <x:c r="B2716" s="44" t="str">
        <x:v>Canola/Rapeseed</x:v>
      </x:c>
      <x:c r="C2716" s="44" t="str">
        <x:v>CS4100 LL</x:v>
      </x:c>
      <x:c r="D2716" s="66" t="n">
        <x:v>2025</x:v>
      </x:c>
      <x:c r="E2716" s="67" t="n">
        <x:v>1965</x:v>
      </x:c>
      <x:c r="F2716" s="68" t="n">
        <x:v>45.4</x:v>
      </x:c>
      <x:c r="G2716" s="69" t="n">
        <x:f>IF(COUNT(E2716:F2716)=2,E2716*F2716,"")</x:f>
        <x:v>89211</x:v>
      </x:c>
    </x:row>
    <x:row r="2717">
      <x:c r="A2717" s="66" t="n">
        <x:v>19</x:v>
      </x:c>
      <x:c r="B2717" s="44" t="str">
        <x:v>Canola/Rapeseed</x:v>
      </x:c>
      <x:c r="C2717" s="44" t="str">
        <x:v>DK 801 LL</x:v>
      </x:c>
      <x:c r="D2717" s="66" t="n">
        <x:v>2021</x:v>
      </x:c>
      <x:c r="E2717" s="67"/>
      <x:c r="F2717" s="68"/>
      <x:c r="G2717" s="69" t="str">
        <x:f>IF(COUNT(E2717:F2717)=2,E2717*F2717,"")</x:f>
      </x:c>
    </x:row>
    <x:row r="2718">
      <x:c r="A2718" s="66" t="n">
        <x:v>19</x:v>
      </x:c>
      <x:c r="B2718" s="44" t="str">
        <x:v>Canola/Rapeseed</x:v>
      </x:c>
      <x:c r="C2718" s="44" t="str">
        <x:v>DK 801 LL</x:v>
      </x:c>
      <x:c r="D2718" s="66" t="n">
        <x:v>2022</x:v>
      </x:c>
      <x:c r="E2718" s="67"/>
      <x:c r="F2718" s="68"/>
      <x:c r="G2718" s="69" t="str">
        <x:f>IF(COUNT(E2718:F2718)=2,E2718*F2718,"")</x:f>
      </x:c>
    </x:row>
    <x:row r="2719">
      <x:c r="A2719" s="66" t="n">
        <x:v>19</x:v>
      </x:c>
      <x:c r="B2719" s="44" t="str">
        <x:v>Canola/Rapeseed</x:v>
      </x:c>
      <x:c r="C2719" s="44" t="str">
        <x:v>DK 801 LL</x:v>
      </x:c>
      <x:c r="D2719" s="66" t="n">
        <x:v>2023</x:v>
      </x:c>
      <x:c r="E2719" s="67"/>
      <x:c r="F2719" s="68"/>
      <x:c r="G2719" s="69" t="str">
        <x:f>IF(COUNT(E2719:F2719)=2,E2719*F2719,"")</x:f>
      </x:c>
    </x:row>
    <x:row r="2720">
      <x:c r="A2720" s="66" t="n">
        <x:v>19</x:v>
      </x:c>
      <x:c r="B2720" s="44" t="str">
        <x:v>Canola/Rapeseed</x:v>
      </x:c>
      <x:c r="C2720" s="44" t="str">
        <x:v>DK 801 LL</x:v>
      </x:c>
      <x:c r="D2720" s="66" t="n">
        <x:v>2024</x:v>
      </x:c>
      <x:c r="E2720" s="67"/>
      <x:c r="F2720" s="68"/>
      <x:c r="G2720" s="69" t="str">
        <x:f>IF(COUNT(E2720:F2720)=2,E2720*F2720,"")</x:f>
      </x:c>
    </x:row>
    <x:row r="2721">
      <x:c r="A2721" s="66" t="n">
        <x:v>19</x:v>
      </x:c>
      <x:c r="B2721" s="44" t="str">
        <x:v>Canola/Rapeseed</x:v>
      </x:c>
      <x:c r="C2721" s="44" t="str">
        <x:v>DK 801 LL</x:v>
      </x:c>
      <x:c r="D2721" s="66" t="n">
        <x:v>2025</x:v>
      </x:c>
      <x:c r="E2721" s="67" t="n">
        <x:v>1190</x:v>
      </x:c>
      <x:c r="F2721" s="68" t="n">
        <x:v>50.8</x:v>
      </x:c>
      <x:c r="G2721" s="69" t="n">
        <x:f>IF(COUNT(E2721:F2721)=2,E2721*F2721,"")</x:f>
        <x:v>60452</x:v>
      </x:c>
    </x:row>
    <x:row r="2722">
      <x:c r="A2722" s="66" t="n">
        <x:v>19</x:v>
      </x:c>
      <x:c r="B2722" s="44" t="str">
        <x:v>Canola/Rapeseed</x:v>
      </x:c>
      <x:c r="C2722" s="44" t="str">
        <x:v>DK401TK</x:v>
      </x:c>
      <x:c r="D2722" s="66" t="n">
        <x:v>2021</x:v>
      </x:c>
      <x:c r="E2722" s="67"/>
      <x:c r="F2722" s="68"/>
      <x:c r="G2722" s="69" t="str">
        <x:f>IF(COUNT(E2722:F2722)=2,E2722*F2722,"")</x:f>
      </x:c>
    </x:row>
    <x:row r="2723">
      <x:c r="A2723" s="66" t="n">
        <x:v>19</x:v>
      </x:c>
      <x:c r="B2723" s="44" t="str">
        <x:v>Canola/Rapeseed</x:v>
      </x:c>
      <x:c r="C2723" s="44" t="str">
        <x:v>DK401TK</x:v>
      </x:c>
      <x:c r="D2723" s="66" t="n">
        <x:v>2022</x:v>
      </x:c>
      <x:c r="E2723" s="67"/>
      <x:c r="F2723" s="68"/>
      <x:c r="G2723" s="69" t="str">
        <x:f>IF(COUNT(E2723:F2723)=2,E2723*F2723,"")</x:f>
      </x:c>
    </x:row>
    <x:row r="2724">
      <x:c r="A2724" s="66" t="n">
        <x:v>19</x:v>
      </x:c>
      <x:c r="B2724" s="44" t="str">
        <x:v>Canola/Rapeseed</x:v>
      </x:c>
      <x:c r="C2724" s="44" t="str">
        <x:v>DK401TK</x:v>
      </x:c>
      <x:c r="D2724" s="66" t="n">
        <x:v>2023</x:v>
      </x:c>
      <x:c r="E2724" s="67"/>
      <x:c r="F2724" s="68"/>
      <x:c r="G2724" s="69" t="str">
        <x:f>IF(COUNT(E2724:F2724)=2,E2724*F2724,"")</x:f>
      </x:c>
    </x:row>
    <x:row r="2725">
      <x:c r="A2725" s="66" t="n">
        <x:v>19</x:v>
      </x:c>
      <x:c r="B2725" s="44" t="str">
        <x:v>Canola/Rapeseed</x:v>
      </x:c>
      <x:c r="C2725" s="44" t="str">
        <x:v>DK401TK</x:v>
      </x:c>
      <x:c r="D2725" s="66" t="n">
        <x:v>2024</x:v>
      </x:c>
      <x:c r="E2725" s="67"/>
      <x:c r="F2725" s="68"/>
      <x:c r="G2725" s="69" t="str">
        <x:f>IF(COUNT(E2725:F2725)=2,E2725*F2725,"")</x:f>
      </x:c>
    </x:row>
    <x:row r="2726">
      <x:c r="A2726" s="66" t="n">
        <x:v>19</x:v>
      </x:c>
      <x:c r="B2726" s="44" t="str">
        <x:v>Canola/Rapeseed</x:v>
      </x:c>
      <x:c r="C2726" s="44" t="str">
        <x:v>DK401TK</x:v>
      </x:c>
      <x:c r="D2726" s="66" t="n">
        <x:v>2025</x:v>
      </x:c>
      <x:c r="E2726" s="67" t="n">
        <x:v>7773</x:v>
      </x:c>
      <x:c r="F2726" s="68" t="n">
        <x:v>53.7</x:v>
      </x:c>
      <x:c r="G2726" s="69" t="n">
        <x:f>IF(COUNT(E2726:F2726)=2,E2726*F2726,"")</x:f>
        <x:v>417410.10000000003</x:v>
      </x:c>
    </x:row>
    <x:row r="2727">
      <x:c r="A2727" s="66" t="n">
        <x:v>19</x:v>
      </x:c>
      <x:c r="B2727" s="44" t="str">
        <x:v>Canola/Rapeseed</x:v>
      </x:c>
      <x:c r="C2727" s="44" t="str">
        <x:v>DK401TL</x:v>
      </x:c>
      <x:c r="D2727" s="66" t="n">
        <x:v>2021</x:v>
      </x:c>
      <x:c r="E2727" s="67"/>
      <x:c r="F2727" s="68"/>
      <x:c r="G2727" s="69" t="str">
        <x:f>IF(COUNT(E2727:F2727)=2,E2727*F2727,"")</x:f>
      </x:c>
    </x:row>
    <x:row r="2728">
      <x:c r="A2728" s="66" t="n">
        <x:v>19</x:v>
      </x:c>
      <x:c r="B2728" s="44" t="str">
        <x:v>Canola/Rapeseed</x:v>
      </x:c>
      <x:c r="C2728" s="44" t="str">
        <x:v>DK401TL</x:v>
      </x:c>
      <x:c r="D2728" s="66" t="n">
        <x:v>2022</x:v>
      </x:c>
      <x:c r="E2728" s="67"/>
      <x:c r="F2728" s="68"/>
      <x:c r="G2728" s="69" t="str">
        <x:f>IF(COUNT(E2728:F2728)=2,E2728*F2728,"")</x:f>
      </x:c>
    </x:row>
    <x:row r="2729">
      <x:c r="A2729" s="66" t="n">
        <x:v>19</x:v>
      </x:c>
      <x:c r="B2729" s="44" t="str">
        <x:v>Canola/Rapeseed</x:v>
      </x:c>
      <x:c r="C2729" s="44" t="str">
        <x:v>DK401TL</x:v>
      </x:c>
      <x:c r="D2729" s="66" t="n">
        <x:v>2023</x:v>
      </x:c>
      <x:c r="E2729" s="67"/>
      <x:c r="F2729" s="68"/>
      <x:c r="G2729" s="69" t="str">
        <x:f>IF(COUNT(E2729:F2729)=2,E2729*F2729,"")</x:f>
      </x:c>
    </x:row>
    <x:row r="2730">
      <x:c r="A2730" s="66" t="n">
        <x:v>19</x:v>
      </x:c>
      <x:c r="B2730" s="44" t="str">
        <x:v>Canola/Rapeseed</x:v>
      </x:c>
      <x:c r="C2730" s="44" t="str">
        <x:v>DK401TL</x:v>
      </x:c>
      <x:c r="D2730" s="66" t="n">
        <x:v>2024</x:v>
      </x:c>
      <x:c r="E2730" s="67"/>
      <x:c r="F2730" s="68"/>
      <x:c r="G2730" s="69" t="str">
        <x:f>IF(COUNT(E2730:F2730)=2,E2730*F2730,"")</x:f>
      </x:c>
    </x:row>
    <x:row r="2731">
      <x:c r="A2731" s="66" t="n">
        <x:v>19</x:v>
      </x:c>
      <x:c r="B2731" s="44" t="str">
        <x:v>Canola/Rapeseed</x:v>
      </x:c>
      <x:c r="C2731" s="44" t="str">
        <x:v>DK401TL</x:v>
      </x:c>
      <x:c r="D2731" s="66" t="n">
        <x:v>2025</x:v>
      </x:c>
      <x:c r="E2731" s="67" t="n">
        <x:v>1575</x:v>
      </x:c>
      <x:c r="F2731" s="68" t="n">
        <x:v>46</x:v>
      </x:c>
      <x:c r="G2731" s="69" t="n">
        <x:f>IF(COUNT(E2731:F2731)=2,E2731*F2731,"")</x:f>
        <x:v>72450</x:v>
      </x:c>
    </x:row>
    <x:row r="2732">
      <x:c r="A2732" s="66" t="n">
        <x:v>19</x:v>
      </x:c>
      <x:c r="B2732" s="44" t="str">
        <x:v>Canola/Rapeseed</x:v>
      </x:c>
      <x:c r="C2732" s="44" t="str">
        <x:v>DK800LL</x:v>
      </x:c>
      <x:c r="D2732" s="66" t="n">
        <x:v>2021</x:v>
      </x:c>
      <x:c r="E2732" s="67"/>
      <x:c r="F2732" s="68"/>
      <x:c r="G2732" s="69" t="str">
        <x:f>IF(COUNT(E2732:F2732)=2,E2732*F2732,"")</x:f>
      </x:c>
    </x:row>
    <x:row r="2733">
      <x:c r="A2733" s="66" t="n">
        <x:v>19</x:v>
      </x:c>
      <x:c r="B2733" s="44" t="str">
        <x:v>Canola/Rapeseed</x:v>
      </x:c>
      <x:c r="C2733" s="44" t="str">
        <x:v>DK800LL</x:v>
      </x:c>
      <x:c r="D2733" s="66" t="n">
        <x:v>2022</x:v>
      </x:c>
      <x:c r="E2733" s="67"/>
      <x:c r="F2733" s="68"/>
      <x:c r="G2733" s="69" t="str">
        <x:f>IF(COUNT(E2733:F2733)=2,E2733*F2733,"")</x:f>
      </x:c>
    </x:row>
    <x:row r="2734">
      <x:c r="A2734" s="66" t="n">
        <x:v>19</x:v>
      </x:c>
      <x:c r="B2734" s="44" t="str">
        <x:v>Canola/Rapeseed</x:v>
      </x:c>
      <x:c r="C2734" s="44" t="str">
        <x:v>DK800LL</x:v>
      </x:c>
      <x:c r="D2734" s="66" t="n">
        <x:v>2023</x:v>
      </x:c>
      <x:c r="E2734" s="67"/>
      <x:c r="F2734" s="68"/>
      <x:c r="G2734" s="69" t="str">
        <x:f>IF(COUNT(E2734:F2734)=2,E2734*F2734,"")</x:f>
      </x:c>
    </x:row>
    <x:row r="2735">
      <x:c r="A2735" s="66" t="n">
        <x:v>19</x:v>
      </x:c>
      <x:c r="B2735" s="44" t="str">
        <x:v>Canola/Rapeseed</x:v>
      </x:c>
      <x:c r="C2735" s="44" t="str">
        <x:v>DK800LL</x:v>
      </x:c>
      <x:c r="D2735" s="66" t="n">
        <x:v>2024</x:v>
      </x:c>
      <x:c r="E2735" s="67"/>
      <x:c r="F2735" s="68"/>
      <x:c r="G2735" s="69" t="str">
        <x:f>IF(COUNT(E2735:F2735)=2,E2735*F2735,"")</x:f>
      </x:c>
    </x:row>
    <x:row r="2736">
      <x:c r="A2736" s="66" t="n">
        <x:v>19</x:v>
      </x:c>
      <x:c r="B2736" s="44" t="str">
        <x:v>Canola/Rapeseed</x:v>
      </x:c>
      <x:c r="C2736" s="44" t="str">
        <x:v>DK800LL</x:v>
      </x:c>
      <x:c r="D2736" s="66" t="n">
        <x:v>2025</x:v>
      </x:c>
      <x:c r="E2736" s="67" t="n">
        <x:v>1452</x:v>
      </x:c>
      <x:c r="F2736" s="68" t="n">
        <x:v>46.4</x:v>
      </x:c>
      <x:c r="G2736" s="69" t="n">
        <x:f>IF(COUNT(E2736:F2736)=2,E2736*F2736,"")</x:f>
        <x:v>67372.8</x:v>
      </x:c>
    </x:row>
    <x:row r="2737">
      <x:c r="A2737" s="66" t="n">
        <x:v>19</x:v>
      </x:c>
      <x:c r="B2737" s="44" t="str">
        <x:v>Canola/Rapeseed</x:v>
      </x:c>
      <x:c r="C2737" s="44" t="str">
        <x:v>DK801LL</x:v>
      </x:c>
      <x:c r="D2737" s="66" t="n">
        <x:v>2021</x:v>
      </x:c>
      <x:c r="E2737" s="67"/>
      <x:c r="F2737" s="68"/>
      <x:c r="G2737" s="69" t="str">
        <x:f>IF(COUNT(E2737:F2737)=2,E2737*F2737,"")</x:f>
      </x:c>
    </x:row>
    <x:row r="2738">
      <x:c r="A2738" s="66" t="n">
        <x:v>19</x:v>
      </x:c>
      <x:c r="B2738" s="44" t="str">
        <x:v>Canola/Rapeseed</x:v>
      </x:c>
      <x:c r="C2738" s="44" t="str">
        <x:v>DK801LL</x:v>
      </x:c>
      <x:c r="D2738" s="66" t="n">
        <x:v>2022</x:v>
      </x:c>
      <x:c r="E2738" s="67"/>
      <x:c r="F2738" s="68"/>
      <x:c r="G2738" s="69" t="str">
        <x:f>IF(COUNT(E2738:F2738)=2,E2738*F2738,"")</x:f>
      </x:c>
    </x:row>
    <x:row r="2739">
      <x:c r="A2739" s="66" t="n">
        <x:v>19</x:v>
      </x:c>
      <x:c r="B2739" s="44" t="str">
        <x:v>Canola/Rapeseed</x:v>
      </x:c>
      <x:c r="C2739" s="44" t="str">
        <x:v>DK801LL</x:v>
      </x:c>
      <x:c r="D2739" s="66" t="n">
        <x:v>2023</x:v>
      </x:c>
      <x:c r="E2739" s="67"/>
      <x:c r="F2739" s="68"/>
      <x:c r="G2739" s="69" t="str">
        <x:f>IF(COUNT(E2739:F2739)=2,E2739*F2739,"")</x:f>
      </x:c>
    </x:row>
    <x:row r="2740">
      <x:c r="A2740" s="66" t="n">
        <x:v>19</x:v>
      </x:c>
      <x:c r="B2740" s="44" t="str">
        <x:v>Canola/Rapeseed</x:v>
      </x:c>
      <x:c r="C2740" s="44" t="str">
        <x:v>DK801LL</x:v>
      </x:c>
      <x:c r="D2740" s="66" t="n">
        <x:v>2024</x:v>
      </x:c>
      <x:c r="E2740" s="67"/>
      <x:c r="F2740" s="68"/>
      <x:c r="G2740" s="69" t="str">
        <x:f>IF(COUNT(E2740:F2740)=2,E2740*F2740,"")</x:f>
      </x:c>
    </x:row>
    <x:row r="2741">
      <x:c r="A2741" s="66" t="n">
        <x:v>19</x:v>
      </x:c>
      <x:c r="B2741" s="44" t="str">
        <x:v>Canola/Rapeseed</x:v>
      </x:c>
      <x:c r="C2741" s="44" t="str">
        <x:v>DK801LL</x:v>
      </x:c>
      <x:c r="D2741" s="66" t="n">
        <x:v>2025</x:v>
      </x:c>
      <x:c r="E2741" s="67" t="n">
        <x:v>1198</x:v>
      </x:c>
      <x:c r="F2741" s="68" t="n">
        <x:v>48.4</x:v>
      </x:c>
      <x:c r="G2741" s="69" t="n">
        <x:f>IF(COUNT(E2741:F2741)=2,E2741*F2741,"")</x:f>
        <x:v>57983.2</x:v>
      </x:c>
    </x:row>
    <x:row r="2742">
      <x:c r="A2742" s="66" t="n">
        <x:v>19</x:v>
      </x:c>
      <x:c r="B2742" s="44" t="str">
        <x:v>Canola/Rapeseed</x:v>
      </x:c>
      <x:c r="C2742" s="44" t="str">
        <x:v>DK900TF</x:v>
      </x:c>
      <x:c r="D2742" s="66" t="n">
        <x:v>2021</x:v>
      </x:c>
      <x:c r="E2742" s="67"/>
      <x:c r="F2742" s="68"/>
      <x:c r="G2742" s="69" t="str">
        <x:f>IF(COUNT(E2742:F2742)=2,E2742*F2742,"")</x:f>
      </x:c>
    </x:row>
    <x:row r="2743">
      <x:c r="A2743" s="66" t="n">
        <x:v>19</x:v>
      </x:c>
      <x:c r="B2743" s="44" t="str">
        <x:v>Canola/Rapeseed</x:v>
      </x:c>
      <x:c r="C2743" s="44" t="str">
        <x:v>DK900TF</x:v>
      </x:c>
      <x:c r="D2743" s="66" t="n">
        <x:v>2022</x:v>
      </x:c>
      <x:c r="E2743" s="67"/>
      <x:c r="F2743" s="68"/>
      <x:c r="G2743" s="69" t="str">
        <x:f>IF(COUNT(E2743:F2743)=2,E2743*F2743,"")</x:f>
      </x:c>
    </x:row>
    <x:row r="2744">
      <x:c r="A2744" s="66" t="n">
        <x:v>19</x:v>
      </x:c>
      <x:c r="B2744" s="44" t="str">
        <x:v>Canola/Rapeseed</x:v>
      </x:c>
      <x:c r="C2744" s="44" t="str">
        <x:v>DK900TF</x:v>
      </x:c>
      <x:c r="D2744" s="66" t="n">
        <x:v>2023</x:v>
      </x:c>
      <x:c r="E2744" s="67" t="n">
        <x:v>3359</x:v>
      </x:c>
      <x:c r="F2744" s="68" t="n">
        <x:v>40.7</x:v>
      </x:c>
      <x:c r="G2744" s="69" t="n">
        <x:f>IF(COUNT(E2744:F2744)=2,E2744*F2744,"")</x:f>
        <x:v>136711.30000000002</x:v>
      </x:c>
    </x:row>
    <x:row r="2745">
      <x:c r="A2745" s="66" t="n">
        <x:v>19</x:v>
      </x:c>
      <x:c r="B2745" s="44" t="str">
        <x:v>Canola/Rapeseed</x:v>
      </x:c>
      <x:c r="C2745" s="44" t="str">
        <x:v>DK900TF</x:v>
      </x:c>
      <x:c r="D2745" s="66" t="n">
        <x:v>2024</x:v>
      </x:c>
      <x:c r="E2745" s="67" t="n">
        <x:v>4025</x:v>
      </x:c>
      <x:c r="F2745" s="68" t="n">
        <x:v>30.1</x:v>
      </x:c>
      <x:c r="G2745" s="69" t="n">
        <x:f>IF(COUNT(E2745:F2745)=2,E2745*F2745,"")</x:f>
        <x:v>121152.5</x:v>
      </x:c>
    </x:row>
    <x:row r="2746">
      <x:c r="A2746" s="66" t="n">
        <x:v>19</x:v>
      </x:c>
      <x:c r="B2746" s="44" t="str">
        <x:v>Canola/Rapeseed</x:v>
      </x:c>
      <x:c r="C2746" s="44" t="str">
        <x:v>DK900TF</x:v>
      </x:c>
      <x:c r="D2746" s="66" t="n">
        <x:v>2025</x:v>
      </x:c>
      <x:c r="E2746" s="67" t="n">
        <x:v>1359</x:v>
      </x:c>
      <x:c r="F2746" s="68" t="n">
        <x:v>46.9</x:v>
      </x:c>
      <x:c r="G2746" s="69" t="n">
        <x:f>IF(COUNT(E2746:F2746)=2,E2746*F2746,"")</x:f>
        <x:v>63737.1</x:v>
      </x:c>
    </x:row>
    <x:row r="2747">
      <x:c r="A2747" s="66" t="n">
        <x:v>19</x:v>
      </x:c>
      <x:c r="B2747" s="44" t="str">
        <x:v>Canola/Rapeseed</x:v>
      </x:c>
      <x:c r="C2747" s="44" t="str">
        <x:v>DK902TF</x:v>
      </x:c>
      <x:c r="D2747" s="66" t="n">
        <x:v>2021</x:v>
      </x:c>
      <x:c r="E2747" s="67"/>
      <x:c r="F2747" s="68"/>
      <x:c r="G2747" s="69" t="str">
        <x:f>IF(COUNT(E2747:F2747)=2,E2747*F2747,"")</x:f>
      </x:c>
    </x:row>
    <x:row r="2748">
      <x:c r="A2748" s="66" t="n">
        <x:v>19</x:v>
      </x:c>
      <x:c r="B2748" s="44" t="str">
        <x:v>Canola/Rapeseed</x:v>
      </x:c>
      <x:c r="C2748" s="44" t="str">
        <x:v>DK902TF</x:v>
      </x:c>
      <x:c r="D2748" s="66" t="n">
        <x:v>2022</x:v>
      </x:c>
      <x:c r="E2748" s="67"/>
      <x:c r="F2748" s="68"/>
      <x:c r="G2748" s="69" t="str">
        <x:f>IF(COUNT(E2748:F2748)=2,E2748*F2748,"")</x:f>
      </x:c>
    </x:row>
    <x:row r="2749">
      <x:c r="A2749" s="66" t="n">
        <x:v>19</x:v>
      </x:c>
      <x:c r="B2749" s="44" t="str">
        <x:v>Canola/Rapeseed</x:v>
      </x:c>
      <x:c r="C2749" s="44" t="str">
        <x:v>DK902TF</x:v>
      </x:c>
      <x:c r="D2749" s="66" t="n">
        <x:v>2023</x:v>
      </x:c>
      <x:c r="E2749" s="67" t="n">
        <x:v>2082</x:v>
      </x:c>
      <x:c r="F2749" s="68" t="n">
        <x:v>39.9</x:v>
      </x:c>
      <x:c r="G2749" s="69" t="n">
        <x:f>IF(COUNT(E2749:F2749)=2,E2749*F2749,"")</x:f>
        <x:v>83071.8</x:v>
      </x:c>
    </x:row>
    <x:row r="2750">
      <x:c r="A2750" s="66" t="n">
        <x:v>19</x:v>
      </x:c>
      <x:c r="B2750" s="44" t="str">
        <x:v>Canola/Rapeseed</x:v>
      </x:c>
      <x:c r="C2750" s="44" t="str">
        <x:v>DK902TF</x:v>
      </x:c>
      <x:c r="D2750" s="66" t="n">
        <x:v>2024</x:v>
      </x:c>
      <x:c r="E2750" s="67" t="n">
        <x:v>2261</x:v>
      </x:c>
      <x:c r="F2750" s="68" t="n">
        <x:v>38.6</x:v>
      </x:c>
      <x:c r="G2750" s="69" t="n">
        <x:f>IF(COUNT(E2750:F2750)=2,E2750*F2750,"")</x:f>
        <x:v>87274.6</x:v>
      </x:c>
    </x:row>
    <x:row r="2751">
      <x:c r="A2751" s="66" t="n">
        <x:v>19</x:v>
      </x:c>
      <x:c r="B2751" s="44" t="str">
        <x:v>Canola/Rapeseed</x:v>
      </x:c>
      <x:c r="C2751" s="44" t="str">
        <x:v>DK902TF</x:v>
      </x:c>
      <x:c r="D2751" s="66" t="n">
        <x:v>2025</x:v>
      </x:c>
      <x:c r="E2751" s="67" t="n">
        <x:v>1750</x:v>
      </x:c>
      <x:c r="F2751" s="68" t="n">
        <x:v>53.4</x:v>
      </x:c>
      <x:c r="G2751" s="69" t="n">
        <x:f>IF(COUNT(E2751:F2751)=2,E2751*F2751,"")</x:f>
        <x:v>93450</x:v>
      </x:c>
    </x:row>
    <x:row r="2752">
      <x:c r="A2752" s="66" t="n">
        <x:v>19</x:v>
      </x:c>
      <x:c r="B2752" s="44" t="str">
        <x:v>Canola/Rapeseed</x:v>
      </x:c>
      <x:c r="C2752" s="44" t="str">
        <x:v>LR354PC</x:v>
      </x:c>
      <x:c r="D2752" s="66" t="n">
        <x:v>2021</x:v>
      </x:c>
      <x:c r="E2752" s="67"/>
      <x:c r="F2752" s="68"/>
      <x:c r="G2752" s="69" t="str">
        <x:f>IF(COUNT(E2752:F2752)=2,E2752*F2752,"")</x:f>
      </x:c>
    </x:row>
    <x:row r="2753">
      <x:c r="A2753" s="66" t="n">
        <x:v>19</x:v>
      </x:c>
      <x:c r="B2753" s="44" t="str">
        <x:v>Canola/Rapeseed</x:v>
      </x:c>
      <x:c r="C2753" s="44" t="str">
        <x:v>LR354PC</x:v>
      </x:c>
      <x:c r="D2753" s="66" t="n">
        <x:v>2022</x:v>
      </x:c>
      <x:c r="E2753" s="67"/>
      <x:c r="F2753" s="68"/>
      <x:c r="G2753" s="69" t="str">
        <x:f>IF(COUNT(E2753:F2753)=2,E2753*F2753,"")</x:f>
      </x:c>
    </x:row>
    <x:row r="2754">
      <x:c r="A2754" s="66" t="n">
        <x:v>19</x:v>
      </x:c>
      <x:c r="B2754" s="44" t="str">
        <x:v>Canola/Rapeseed</x:v>
      </x:c>
      <x:c r="C2754" s="44" t="str">
        <x:v>LR354PC</x:v>
      </x:c>
      <x:c r="D2754" s="66" t="n">
        <x:v>2023</x:v>
      </x:c>
      <x:c r="E2754" s="67" t="n">
        <x:v>1009</x:v>
      </x:c>
      <x:c r="F2754" s="68" t="n">
        <x:v>27.7</x:v>
      </x:c>
      <x:c r="G2754" s="69" t="n">
        <x:f>IF(COUNT(E2754:F2754)=2,E2754*F2754,"")</x:f>
        <x:v>27949.3</x:v>
      </x:c>
    </x:row>
    <x:row r="2755">
      <x:c r="A2755" s="66" t="n">
        <x:v>19</x:v>
      </x:c>
      <x:c r="B2755" s="44" t="str">
        <x:v>Canola/Rapeseed</x:v>
      </x:c>
      <x:c r="C2755" s="44" t="str">
        <x:v>LR354PC</x:v>
      </x:c>
      <x:c r="D2755" s="66" t="n">
        <x:v>2024</x:v>
      </x:c>
      <x:c r="E2755" s="67"/>
      <x:c r="F2755" s="68"/>
      <x:c r="G2755" s="69" t="str">
        <x:f>IF(COUNT(E2755:F2755)=2,E2755*F2755,"")</x:f>
      </x:c>
    </x:row>
    <x:row r="2756">
      <x:c r="A2756" s="66" t="n">
        <x:v>19</x:v>
      </x:c>
      <x:c r="B2756" s="44" t="str">
        <x:v>Canola/Rapeseed</x:v>
      </x:c>
      <x:c r="C2756" s="44" t="str">
        <x:v>LR354PC</x:v>
      </x:c>
      <x:c r="D2756" s="66" t="n">
        <x:v>2025</x:v>
      </x:c>
      <x:c r="E2756" s="67" t="n">
        <x:v>695</x:v>
      </x:c>
      <x:c r="F2756" s="68" t="n">
        <x:v>49.4</x:v>
      </x:c>
      <x:c r="G2756" s="69" t="n">
        <x:f>IF(COUNT(E2756:F2756)=2,E2756*F2756,"")</x:f>
        <x:v>34333</x:v>
      </x:c>
    </x:row>
    <x:row r="2757">
      <x:c r="A2757" s="66" t="n">
        <x:v>19</x:v>
      </x:c>
      <x:c r="B2757" s="44" t="str">
        <x:v>Canola/Rapeseed</x:v>
      </x:c>
      <x:c r="C2757" s="44" t="str">
        <x:v>L233P</x:v>
      </x:c>
      <x:c r="D2757" s="66" t="n">
        <x:v>2021</x:v>
      </x:c>
      <x:c r="E2757" s="67" t="n">
        <x:v>15225</x:v>
      </x:c>
      <x:c r="F2757" s="68" t="n">
        <x:v>20.2</x:v>
      </x:c>
      <x:c r="G2757" s="69" t="n">
        <x:f>IF(COUNT(E2757:F2757)=2,E2757*F2757,"")</x:f>
        <x:v>307545</x:v>
      </x:c>
    </x:row>
    <x:row r="2758">
      <x:c r="A2758" s="66" t="n">
        <x:v>19</x:v>
      </x:c>
      <x:c r="B2758" s="44" t="str">
        <x:v>Canola/Rapeseed</x:v>
      </x:c>
      <x:c r="C2758" s="44" t="str">
        <x:v>L233P</x:v>
      </x:c>
      <x:c r="D2758" s="66" t="n">
        <x:v>2022</x:v>
      </x:c>
      <x:c r="E2758" s="67" t="n">
        <x:v>11773</x:v>
      </x:c>
      <x:c r="F2758" s="68" t="n">
        <x:v>28.8</x:v>
      </x:c>
      <x:c r="G2758" s="69" t="n">
        <x:f>IF(COUNT(E2758:F2758)=2,E2758*F2758,"")</x:f>
        <x:v>339062.4</x:v>
      </x:c>
    </x:row>
    <x:row r="2759">
      <x:c r="A2759" s="66" t="n">
        <x:v>19</x:v>
      </x:c>
      <x:c r="B2759" s="44" t="str">
        <x:v>Canola/Rapeseed</x:v>
      </x:c>
      <x:c r="C2759" s="44" t="str">
        <x:v>L233P</x:v>
      </x:c>
      <x:c r="D2759" s="66" t="n">
        <x:v>2023</x:v>
      </x:c>
      <x:c r="E2759" s="67" t="n">
        <x:v>6749</x:v>
      </x:c>
      <x:c r="F2759" s="68" t="n">
        <x:v>30.8</x:v>
      </x:c>
      <x:c r="G2759" s="69" t="n">
        <x:f>IF(COUNT(E2759:F2759)=2,E2759*F2759,"")</x:f>
        <x:v>207869.2</x:v>
      </x:c>
    </x:row>
    <x:row r="2760">
      <x:c r="A2760" s="66" t="n">
        <x:v>19</x:v>
      </x:c>
      <x:c r="B2760" s="44" t="str">
        <x:v>Canola/Rapeseed</x:v>
      </x:c>
      <x:c r="C2760" s="44" t="str">
        <x:v>L233P</x:v>
      </x:c>
      <x:c r="D2760" s="66" t="n">
        <x:v>2024</x:v>
      </x:c>
      <x:c r="E2760" s="67" t="n">
        <x:v>2867</x:v>
      </x:c>
      <x:c r="F2760" s="68" t="n">
        <x:v>34.6</x:v>
      </x:c>
      <x:c r="G2760" s="69" t="n">
        <x:f>IF(COUNT(E2760:F2760)=2,E2760*F2760,"")</x:f>
        <x:v>99198.2</x:v>
      </x:c>
    </x:row>
    <x:row r="2761">
      <x:c r="A2761" s="66" t="n">
        <x:v>19</x:v>
      </x:c>
      <x:c r="B2761" s="44" t="str">
        <x:v>Canola/Rapeseed</x:v>
      </x:c>
      <x:c r="C2761" s="44" t="str">
        <x:v>L233P</x:v>
      </x:c>
      <x:c r="D2761" s="66" t="n">
        <x:v>2025</x:v>
      </x:c>
      <x:c r="E2761" s="67" t="n">
        <x:v>473</x:v>
      </x:c>
      <x:c r="F2761" s="68" t="n">
        <x:v>49.4</x:v>
      </x:c>
      <x:c r="G2761" s="69" t="n">
        <x:f>IF(COUNT(E2761:F2761)=2,E2761*F2761,"")</x:f>
        <x:v>23366.2</x:v>
      </x:c>
    </x:row>
    <x:row r="2762">
      <x:c r="A2762" s="66" t="n">
        <x:v>19</x:v>
      </x:c>
      <x:c r="B2762" s="44" t="str">
        <x:v>Canola/Rapeseed</x:v>
      </x:c>
      <x:c r="C2762" s="44" t="str">
        <x:v>L330PC</x:v>
      </x:c>
      <x:c r="D2762" s="66" t="n">
        <x:v>2021</x:v>
      </x:c>
      <x:c r="E2762" s="67"/>
      <x:c r="F2762" s="68"/>
      <x:c r="G2762" s="69" t="str">
        <x:f>IF(COUNT(E2762:F2762)=2,E2762*F2762,"")</x:f>
      </x:c>
    </x:row>
    <x:row r="2763">
      <x:c r="A2763" s="66" t="n">
        <x:v>19</x:v>
      </x:c>
      <x:c r="B2763" s="44" t="str">
        <x:v>Canola/Rapeseed</x:v>
      </x:c>
      <x:c r="C2763" s="44" t="str">
        <x:v>L330PC</x:v>
      </x:c>
      <x:c r="D2763" s="66" t="n">
        <x:v>2022</x:v>
      </x:c>
      <x:c r="E2763" s="67"/>
      <x:c r="F2763" s="68"/>
      <x:c r="G2763" s="69" t="str">
        <x:f>IF(COUNT(E2763:F2763)=2,E2763*F2763,"")</x:f>
      </x:c>
    </x:row>
    <x:row r="2764">
      <x:c r="A2764" s="66" t="n">
        <x:v>19</x:v>
      </x:c>
      <x:c r="B2764" s="44" t="str">
        <x:v>Canola/Rapeseed</x:v>
      </x:c>
      <x:c r="C2764" s="44" t="str">
        <x:v>L330PC</x:v>
      </x:c>
      <x:c r="D2764" s="66" t="n">
        <x:v>2023</x:v>
      </x:c>
      <x:c r="E2764" s="67"/>
      <x:c r="F2764" s="68"/>
      <x:c r="G2764" s="69" t="str">
        <x:f>IF(COUNT(E2764:F2764)=2,E2764*F2764,"")</x:f>
      </x:c>
    </x:row>
    <x:row r="2765">
      <x:c r="A2765" s="66" t="n">
        <x:v>19</x:v>
      </x:c>
      <x:c r="B2765" s="44" t="str">
        <x:v>Canola/Rapeseed</x:v>
      </x:c>
      <x:c r="C2765" s="44" t="str">
        <x:v>L330PC</x:v>
      </x:c>
      <x:c r="D2765" s="66" t="n">
        <x:v>2024</x:v>
      </x:c>
      <x:c r="E2765" s="67"/>
      <x:c r="F2765" s="68"/>
      <x:c r="G2765" s="69" t="str">
        <x:f>IF(COUNT(E2765:F2765)=2,E2765*F2765,"")</x:f>
      </x:c>
    </x:row>
    <x:row r="2766">
      <x:c r="A2766" s="66" t="n">
        <x:v>19</x:v>
      </x:c>
      <x:c r="B2766" s="44" t="str">
        <x:v>Canola/Rapeseed</x:v>
      </x:c>
      <x:c r="C2766" s="44" t="str">
        <x:v>L330PC</x:v>
      </x:c>
      <x:c r="D2766" s="66" t="n">
        <x:v>2025</x:v>
      </x:c>
      <x:c r="E2766" s="67" t="n">
        <x:v>8805</x:v>
      </x:c>
      <x:c r="F2766" s="68" t="n">
        <x:v>53.7</x:v>
      </x:c>
      <x:c r="G2766" s="69" t="n">
        <x:f>IF(COUNT(E2766:F2766)=2,E2766*F2766,"")</x:f>
        <x:v>472828.5</x:v>
      </x:c>
    </x:row>
    <x:row r="2767">
      <x:c r="A2767" s="66" t="n">
        <x:v>19</x:v>
      </x:c>
      <x:c r="B2767" s="44" t="str">
        <x:v>Canola/Rapeseed</x:v>
      </x:c>
      <x:c r="C2767" s="44" t="str">
        <x:v>L333PC</x:v>
      </x:c>
      <x:c r="D2767" s="66" t="n">
        <x:v>2021</x:v>
      </x:c>
      <x:c r="E2767" s="67"/>
      <x:c r="F2767" s="68"/>
      <x:c r="G2767" s="69" t="str">
        <x:f>IF(COUNT(E2767:F2767)=2,E2767*F2767,"")</x:f>
      </x:c>
    </x:row>
    <x:row r="2768">
      <x:c r="A2768" s="66" t="n">
        <x:v>19</x:v>
      </x:c>
      <x:c r="B2768" s="44" t="str">
        <x:v>Canola/Rapeseed</x:v>
      </x:c>
      <x:c r="C2768" s="44" t="str">
        <x:v>L333PC</x:v>
      </x:c>
      <x:c r="D2768" s="66" t="n">
        <x:v>2022</x:v>
      </x:c>
      <x:c r="E2768" s="67"/>
      <x:c r="F2768" s="68"/>
      <x:c r="G2768" s="69" t="str">
        <x:f>IF(COUNT(E2768:F2768)=2,E2768*F2768,"")</x:f>
      </x:c>
    </x:row>
    <x:row r="2769">
      <x:c r="A2769" s="66" t="n">
        <x:v>19</x:v>
      </x:c>
      <x:c r="B2769" s="44" t="str">
        <x:v>Canola/Rapeseed</x:v>
      </x:c>
      <x:c r="C2769" s="44" t="str">
        <x:v>L333PC</x:v>
      </x:c>
      <x:c r="D2769" s="66" t="n">
        <x:v>2023</x:v>
      </x:c>
      <x:c r="E2769" s="67"/>
      <x:c r="F2769" s="68"/>
      <x:c r="G2769" s="69" t="str">
        <x:f>IF(COUNT(E2769:F2769)=2,E2769*F2769,"")</x:f>
      </x:c>
    </x:row>
    <x:row r="2770">
      <x:c r="A2770" s="66" t="n">
        <x:v>19</x:v>
      </x:c>
      <x:c r="B2770" s="44" t="str">
        <x:v>Canola/Rapeseed</x:v>
      </x:c>
      <x:c r="C2770" s="44" t="str">
        <x:v>L333PC</x:v>
      </x:c>
      <x:c r="D2770" s="66" t="n">
        <x:v>2024</x:v>
      </x:c>
      <x:c r="E2770" s="67"/>
      <x:c r="F2770" s="68"/>
      <x:c r="G2770" s="69" t="str">
        <x:f>IF(COUNT(E2770:F2770)=2,E2770*F2770,"")</x:f>
      </x:c>
    </x:row>
    <x:row r="2771">
      <x:c r="A2771" s="66" t="n">
        <x:v>19</x:v>
      </x:c>
      <x:c r="B2771" s="44" t="str">
        <x:v>Canola/Rapeseed</x:v>
      </x:c>
      <x:c r="C2771" s="44" t="str">
        <x:v>L333PC</x:v>
      </x:c>
      <x:c r="D2771" s="66" t="n">
        <x:v>2025</x:v>
      </x:c>
      <x:c r="E2771" s="67" t="n">
        <x:v>4268</x:v>
      </x:c>
      <x:c r="F2771" s="68" t="n">
        <x:v>53.7</x:v>
      </x:c>
      <x:c r="G2771" s="69" t="n">
        <x:f>IF(COUNT(E2771:F2771)=2,E2771*F2771,"")</x:f>
        <x:v>229191.6</x:v>
      </x:c>
    </x:row>
    <x:row r="2772">
      <x:c r="A2772" s="66" t="n">
        <x:v>19</x:v>
      </x:c>
      <x:c r="B2772" s="44" t="str">
        <x:v>Canola/Rapeseed</x:v>
      </x:c>
      <x:c r="C2772" s="44" t="str">
        <x:v>L340PC</x:v>
      </x:c>
      <x:c r="D2772" s="66" t="n">
        <x:v>2021</x:v>
      </x:c>
      <x:c r="E2772" s="67" t="n">
        <x:v>15054</x:v>
      </x:c>
      <x:c r="F2772" s="68" t="n">
        <x:v>24.9</x:v>
      </x:c>
      <x:c r="G2772" s="69" t="n">
        <x:f>IF(COUNT(E2772:F2772)=2,E2772*F2772,"")</x:f>
        <x:v>374844.6</x:v>
      </x:c>
    </x:row>
    <x:row r="2773">
      <x:c r="A2773" s="66" t="n">
        <x:v>19</x:v>
      </x:c>
      <x:c r="B2773" s="44" t="str">
        <x:v>Canola/Rapeseed</x:v>
      </x:c>
      <x:c r="C2773" s="44" t="str">
        <x:v>L340PC</x:v>
      </x:c>
      <x:c r="D2773" s="66" t="n">
        <x:v>2022</x:v>
      </x:c>
      <x:c r="E2773" s="67" t="n">
        <x:v>29254</x:v>
      </x:c>
      <x:c r="F2773" s="68" t="n">
        <x:v>37.3</x:v>
      </x:c>
      <x:c r="G2773" s="69" t="n">
        <x:f>IF(COUNT(E2773:F2773)=2,E2773*F2773,"")</x:f>
        <x:v>1091174.2</x:v>
      </x:c>
    </x:row>
    <x:row r="2774">
      <x:c r="A2774" s="66" t="n">
        <x:v>19</x:v>
      </x:c>
      <x:c r="B2774" s="44" t="str">
        <x:v>Canola/Rapeseed</x:v>
      </x:c>
      <x:c r="C2774" s="44" t="str">
        <x:v>L340PC</x:v>
      </x:c>
      <x:c r="D2774" s="66" t="n">
        <x:v>2023</x:v>
      </x:c>
      <x:c r="E2774" s="67" t="n">
        <x:v>32370</x:v>
      </x:c>
      <x:c r="F2774" s="68" t="n">
        <x:v>40</x:v>
      </x:c>
      <x:c r="G2774" s="69" t="n">
        <x:f>IF(COUNT(E2774:F2774)=2,E2774*F2774,"")</x:f>
        <x:v>1294800</x:v>
      </x:c>
    </x:row>
    <x:row r="2775">
      <x:c r="A2775" s="66" t="n">
        <x:v>19</x:v>
      </x:c>
      <x:c r="B2775" s="44" t="str">
        <x:v>Canola/Rapeseed</x:v>
      </x:c>
      <x:c r="C2775" s="44" t="str">
        <x:v>L340PC</x:v>
      </x:c>
      <x:c r="D2775" s="66" t="n">
        <x:v>2024</x:v>
      </x:c>
      <x:c r="E2775" s="67" t="n">
        <x:v>41125</x:v>
      </x:c>
      <x:c r="F2775" s="68" t="n">
        <x:v>36.4</x:v>
      </x:c>
      <x:c r="G2775" s="69" t="n">
        <x:f>IF(COUNT(E2775:F2775)=2,E2775*F2775,"")</x:f>
        <x:v>1496950</x:v>
      </x:c>
    </x:row>
    <x:row r="2776">
      <x:c r="A2776" s="66" t="n">
        <x:v>19</x:v>
      </x:c>
      <x:c r="B2776" s="44" t="str">
        <x:v>Canola/Rapeseed</x:v>
      </x:c>
      <x:c r="C2776" s="44" t="str">
        <x:v>L340PC</x:v>
      </x:c>
      <x:c r="D2776" s="66" t="n">
        <x:v>2025</x:v>
      </x:c>
      <x:c r="E2776" s="67" t="n">
        <x:v>44159</x:v>
      </x:c>
      <x:c r="F2776" s="68" t="n">
        <x:v>51.9</x:v>
      </x:c>
      <x:c r="G2776" s="69" t="n">
        <x:f>IF(COUNT(E2776:F2776)=2,E2776*F2776,"")</x:f>
        <x:v>2291852.1</x:v>
      </x:c>
    </x:row>
    <x:row r="2777">
      <x:c r="A2777" s="66" t="n">
        <x:v>19</x:v>
      </x:c>
      <x:c r="B2777" s="44" t="str">
        <x:v>Canola/Rapeseed</x:v>
      </x:c>
      <x:c r="C2777" s="44" t="str">
        <x:v>L343PC</x:v>
      </x:c>
      <x:c r="D2777" s="66" t="n">
        <x:v>2021</x:v>
      </x:c>
      <x:c r="E2777" s="67"/>
      <x:c r="F2777" s="68"/>
      <x:c r="G2777" s="69" t="str">
        <x:f>IF(COUNT(E2777:F2777)=2,E2777*F2777,"")</x:f>
      </x:c>
    </x:row>
    <x:row r="2778">
      <x:c r="A2778" s="66" t="n">
        <x:v>19</x:v>
      </x:c>
      <x:c r="B2778" s="44" t="str">
        <x:v>Canola/Rapeseed</x:v>
      </x:c>
      <x:c r="C2778" s="44" t="str">
        <x:v>L343PC</x:v>
      </x:c>
      <x:c r="D2778" s="66" t="n">
        <x:v>2022</x:v>
      </x:c>
      <x:c r="E2778" s="67" t="n">
        <x:v>4167</x:v>
      </x:c>
      <x:c r="F2778" s="68" t="n">
        <x:v>33.5</x:v>
      </x:c>
      <x:c r="G2778" s="69" t="n">
        <x:f>IF(COUNT(E2778:F2778)=2,E2778*F2778,"")</x:f>
        <x:v>139594.5</x:v>
      </x:c>
    </x:row>
    <x:row r="2779">
      <x:c r="A2779" s="66" t="n">
        <x:v>19</x:v>
      </x:c>
      <x:c r="B2779" s="44" t="str">
        <x:v>Canola/Rapeseed</x:v>
      </x:c>
      <x:c r="C2779" s="44" t="str">
        <x:v>L343PC</x:v>
      </x:c>
      <x:c r="D2779" s="66" t="n">
        <x:v>2023</x:v>
      </x:c>
      <x:c r="E2779" s="67" t="n">
        <x:v>2338</x:v>
      </x:c>
      <x:c r="F2779" s="68" t="n">
        <x:v>34.1</x:v>
      </x:c>
      <x:c r="G2779" s="69" t="n">
        <x:f>IF(COUNT(E2779:F2779)=2,E2779*F2779,"")</x:f>
        <x:v>79725.8</x:v>
      </x:c>
    </x:row>
    <x:row r="2780">
      <x:c r="A2780" s="66" t="n">
        <x:v>19</x:v>
      </x:c>
      <x:c r="B2780" s="44" t="str">
        <x:v>Canola/Rapeseed</x:v>
      </x:c>
      <x:c r="C2780" s="44" t="str">
        <x:v>L343PC</x:v>
      </x:c>
      <x:c r="D2780" s="66" t="n">
        <x:v>2024</x:v>
      </x:c>
      <x:c r="E2780" s="67" t="n">
        <x:v>1597</x:v>
      </x:c>
      <x:c r="F2780" s="68" t="n">
        <x:v>33.5</x:v>
      </x:c>
      <x:c r="G2780" s="69" t="n">
        <x:f>IF(COUNT(E2780:F2780)=2,E2780*F2780,"")</x:f>
        <x:v>53499.5</x:v>
      </x:c>
    </x:row>
    <x:row r="2781">
      <x:c r="A2781" s="66" t="n">
        <x:v>19</x:v>
      </x:c>
      <x:c r="B2781" s="44" t="str">
        <x:v>Canola/Rapeseed</x:v>
      </x:c>
      <x:c r="C2781" s="44" t="str">
        <x:v>L343PC</x:v>
      </x:c>
      <x:c r="D2781" s="66" t="n">
        <x:v>2025</x:v>
      </x:c>
      <x:c r="E2781" s="67" t="n">
        <x:v>1187</x:v>
      </x:c>
      <x:c r="F2781" s="68" t="n">
        <x:v>47.7</x:v>
      </x:c>
      <x:c r="G2781" s="69" t="n">
        <x:f>IF(COUNT(E2781:F2781)=2,E2781*F2781,"")</x:f>
        <x:v>56619.9</x:v>
      </x:c>
    </x:row>
    <x:row r="2782">
      <x:c r="A2782" s="66" t="n">
        <x:v>19</x:v>
      </x:c>
      <x:c r="B2782" s="44" t="str">
        <x:v>Canola/Rapeseed</x:v>
      </x:c>
      <x:c r="C2782" s="44" t="str">
        <x:v>L345PC</x:v>
      </x:c>
      <x:c r="D2782" s="66" t="n">
        <x:v>2021</x:v>
      </x:c>
      <x:c r="E2782" s="67" t="n">
        <x:v>23056</x:v>
      </x:c>
      <x:c r="F2782" s="68" t="n">
        <x:v>24.9</x:v>
      </x:c>
      <x:c r="G2782" s="69" t="n">
        <x:f>IF(COUNT(E2782:F2782)=2,E2782*F2782,"")</x:f>
        <x:v>574094.4</x:v>
      </x:c>
    </x:row>
    <x:row r="2783">
      <x:c r="A2783" s="66" t="n">
        <x:v>19</x:v>
      </x:c>
      <x:c r="B2783" s="44" t="str">
        <x:v>Canola/Rapeseed</x:v>
      </x:c>
      <x:c r="C2783" s="44" t="str">
        <x:v>L345PC</x:v>
      </x:c>
      <x:c r="D2783" s="66" t="n">
        <x:v>2022</x:v>
      </x:c>
      <x:c r="E2783" s="67" t="n">
        <x:v>20979</x:v>
      </x:c>
      <x:c r="F2783" s="68" t="n">
        <x:v>35.6</x:v>
      </x:c>
      <x:c r="G2783" s="69" t="n">
        <x:f>IF(COUNT(E2783:F2783)=2,E2783*F2783,"")</x:f>
        <x:v>746852.4</x:v>
      </x:c>
    </x:row>
    <x:row r="2784">
      <x:c r="A2784" s="66" t="n">
        <x:v>19</x:v>
      </x:c>
      <x:c r="B2784" s="44" t="str">
        <x:v>Canola/Rapeseed</x:v>
      </x:c>
      <x:c r="C2784" s="44" t="str">
        <x:v>L345PC</x:v>
      </x:c>
      <x:c r="D2784" s="66" t="n">
        <x:v>2023</x:v>
      </x:c>
      <x:c r="E2784" s="67" t="n">
        <x:v>18556</x:v>
      </x:c>
      <x:c r="F2784" s="68" t="n">
        <x:v>31.7</x:v>
      </x:c>
      <x:c r="G2784" s="69" t="n">
        <x:f>IF(COUNT(E2784:F2784)=2,E2784*F2784,"")</x:f>
        <x:v>588225.2</x:v>
      </x:c>
    </x:row>
    <x:row r="2785">
      <x:c r="A2785" s="66" t="n">
        <x:v>19</x:v>
      </x:c>
      <x:c r="B2785" s="44" t="str">
        <x:v>Canola/Rapeseed</x:v>
      </x:c>
      <x:c r="C2785" s="44" t="str">
        <x:v>L345PC</x:v>
      </x:c>
      <x:c r="D2785" s="66" t="n">
        <x:v>2024</x:v>
      </x:c>
      <x:c r="E2785" s="67" t="n">
        <x:v>21060</x:v>
      </x:c>
      <x:c r="F2785" s="68" t="n">
        <x:v>34.6</x:v>
      </x:c>
      <x:c r="G2785" s="69" t="n">
        <x:f>IF(COUNT(E2785:F2785)=2,E2785*F2785,"")</x:f>
        <x:v>728676</x:v>
      </x:c>
    </x:row>
    <x:row r="2786">
      <x:c r="A2786" s="66" t="n">
        <x:v>19</x:v>
      </x:c>
      <x:c r="B2786" s="44" t="str">
        <x:v>Canola/Rapeseed</x:v>
      </x:c>
      <x:c r="C2786" s="44" t="str">
        <x:v>L345PC</x:v>
      </x:c>
      <x:c r="D2786" s="66" t="n">
        <x:v>2025</x:v>
      </x:c>
      <x:c r="E2786" s="67" t="n">
        <x:v>6855</x:v>
      </x:c>
      <x:c r="F2786" s="68" t="n">
        <x:v>48.8</x:v>
      </x:c>
      <x:c r="G2786" s="69" t="n">
        <x:f>IF(COUNT(E2786:F2786)=2,E2786*F2786,"")</x:f>
        <x:v>334524</x:v>
      </x:c>
    </x:row>
    <x:row r="2787">
      <x:c r="A2787" s="66" t="n">
        <x:v>19</x:v>
      </x:c>
      <x:c r="B2787" s="44" t="str">
        <x:v>Canola/Rapeseed</x:v>
      </x:c>
      <x:c r="C2787" s="44" t="str">
        <x:v>L350PC</x:v>
      </x:c>
      <x:c r="D2787" s="66" t="n">
        <x:v>2021</x:v>
      </x:c>
      <x:c r="E2787" s="67"/>
      <x:c r="F2787" s="68"/>
      <x:c r="G2787" s="69" t="str">
        <x:f>IF(COUNT(E2787:F2787)=2,E2787*F2787,"")</x:f>
      </x:c>
    </x:row>
    <x:row r="2788">
      <x:c r="A2788" s="66" t="n">
        <x:v>19</x:v>
      </x:c>
      <x:c r="B2788" s="44" t="str">
        <x:v>Canola/Rapeseed</x:v>
      </x:c>
      <x:c r="C2788" s="44" t="str">
        <x:v>L350PC</x:v>
      </x:c>
      <x:c r="D2788" s="66" t="n">
        <x:v>2022</x:v>
      </x:c>
      <x:c r="E2788" s="67"/>
      <x:c r="F2788" s="68"/>
      <x:c r="G2788" s="69" t="str">
        <x:f>IF(COUNT(E2788:F2788)=2,E2788*F2788,"")</x:f>
      </x:c>
    </x:row>
    <x:row r="2789">
      <x:c r="A2789" s="66" t="n">
        <x:v>19</x:v>
      </x:c>
      <x:c r="B2789" s="44" t="str">
        <x:v>Canola/Rapeseed</x:v>
      </x:c>
      <x:c r="C2789" s="44" t="str">
        <x:v>L350PC</x:v>
      </x:c>
      <x:c r="D2789" s="66" t="n">
        <x:v>2023</x:v>
      </x:c>
      <x:c r="E2789" s="67" t="n">
        <x:v>7052</x:v>
      </x:c>
      <x:c r="F2789" s="68" t="n">
        <x:v>42.3</x:v>
      </x:c>
      <x:c r="G2789" s="69" t="n">
        <x:f>IF(COUNT(E2789:F2789)=2,E2789*F2789,"")</x:f>
        <x:v>298299.6</x:v>
      </x:c>
    </x:row>
    <x:row r="2790">
      <x:c r="A2790" s="66" t="n">
        <x:v>19</x:v>
      </x:c>
      <x:c r="B2790" s="44" t="str">
        <x:v>Canola/Rapeseed</x:v>
      </x:c>
      <x:c r="C2790" s="44" t="str">
        <x:v>L350PC</x:v>
      </x:c>
      <x:c r="D2790" s="66" t="n">
        <x:v>2024</x:v>
      </x:c>
      <x:c r="E2790" s="67" t="n">
        <x:v>4054</x:v>
      </x:c>
      <x:c r="F2790" s="68" t="n">
        <x:v>37.6</x:v>
      </x:c>
      <x:c r="G2790" s="69" t="n">
        <x:f>IF(COUNT(E2790:F2790)=2,E2790*F2790,"")</x:f>
        <x:v>152430.4</x:v>
      </x:c>
    </x:row>
    <x:row r="2791">
      <x:c r="A2791" s="66" t="n">
        <x:v>19</x:v>
      </x:c>
      <x:c r="B2791" s="44" t="str">
        <x:v>Canola/Rapeseed</x:v>
      </x:c>
      <x:c r="C2791" s="44" t="str">
        <x:v>L350PC</x:v>
      </x:c>
      <x:c r="D2791" s="66" t="n">
        <x:v>2025</x:v>
      </x:c>
      <x:c r="E2791" s="67" t="n">
        <x:v>3318</x:v>
      </x:c>
      <x:c r="F2791" s="68" t="n">
        <x:v>52.7</x:v>
      </x:c>
      <x:c r="G2791" s="69" t="n">
        <x:f>IF(COUNT(E2791:F2791)=2,E2791*F2791,"")</x:f>
        <x:v>174858.6</x:v>
      </x:c>
    </x:row>
    <x:row r="2792">
      <x:c r="A2792" s="66" t="n">
        <x:v>19</x:v>
      </x:c>
      <x:c r="B2792" s="44" t="str">
        <x:v>Canola/Rapeseed</x:v>
      </x:c>
      <x:c r="C2792" s="44" t="str">
        <x:v>L356PC</x:v>
      </x:c>
      <x:c r="D2792" s="66" t="n">
        <x:v>2021</x:v>
      </x:c>
      <x:c r="E2792" s="67"/>
      <x:c r="F2792" s="68"/>
      <x:c r="G2792" s="69" t="str">
        <x:f>IF(COUNT(E2792:F2792)=2,E2792*F2792,"")</x:f>
      </x:c>
    </x:row>
    <x:row r="2793">
      <x:c r="A2793" s="66" t="n">
        <x:v>19</x:v>
      </x:c>
      <x:c r="B2793" s="44" t="str">
        <x:v>Canola/Rapeseed</x:v>
      </x:c>
      <x:c r="C2793" s="44" t="str">
        <x:v>L356PC</x:v>
      </x:c>
      <x:c r="D2793" s="66" t="n">
        <x:v>2022</x:v>
      </x:c>
      <x:c r="E2793" s="67" t="n">
        <x:v>3244</x:v>
      </x:c>
      <x:c r="F2793" s="68" t="n">
        <x:v>42.2</x:v>
      </x:c>
      <x:c r="G2793" s="69" t="n">
        <x:f>IF(COUNT(E2793:F2793)=2,E2793*F2793,"")</x:f>
        <x:v>136896.80000000002</x:v>
      </x:c>
    </x:row>
    <x:row r="2794">
      <x:c r="A2794" s="66" t="n">
        <x:v>19</x:v>
      </x:c>
      <x:c r="B2794" s="44" t="str">
        <x:v>Canola/Rapeseed</x:v>
      </x:c>
      <x:c r="C2794" s="44" t="str">
        <x:v>L356PC</x:v>
      </x:c>
      <x:c r="D2794" s="66" t="n">
        <x:v>2023</x:v>
      </x:c>
      <x:c r="E2794" s="67" t="n">
        <x:v>13125</x:v>
      </x:c>
      <x:c r="F2794" s="68" t="n">
        <x:v>39.4</x:v>
      </x:c>
      <x:c r="G2794" s="69" t="n">
        <x:f>IF(COUNT(E2794:F2794)=2,E2794*F2794,"")</x:f>
        <x:v>517125</x:v>
      </x:c>
    </x:row>
    <x:row r="2795">
      <x:c r="A2795" s="66" t="n">
        <x:v>19</x:v>
      </x:c>
      <x:c r="B2795" s="44" t="str">
        <x:v>Canola/Rapeseed</x:v>
      </x:c>
      <x:c r="C2795" s="44" t="str">
        <x:v>L356PC</x:v>
      </x:c>
      <x:c r="D2795" s="66" t="n">
        <x:v>2024</x:v>
      </x:c>
      <x:c r="E2795" s="67" t="n">
        <x:v>15874</x:v>
      </x:c>
      <x:c r="F2795" s="68" t="n">
        <x:v>36.2</x:v>
      </x:c>
      <x:c r="G2795" s="69" t="n">
        <x:f>IF(COUNT(E2795:F2795)=2,E2795*F2795,"")</x:f>
        <x:v>574638.8</x:v>
      </x:c>
    </x:row>
    <x:row r="2796">
      <x:c r="A2796" s="66" t="n">
        <x:v>19</x:v>
      </x:c>
      <x:c r="B2796" s="44" t="str">
        <x:v>Canola/Rapeseed</x:v>
      </x:c>
      <x:c r="C2796" s="44" t="str">
        <x:v>L356PC</x:v>
      </x:c>
      <x:c r="D2796" s="66" t="n">
        <x:v>2025</x:v>
      </x:c>
      <x:c r="E2796" s="67" t="n">
        <x:v>16642</x:v>
      </x:c>
      <x:c r="F2796" s="68" t="n">
        <x:v>51.1</x:v>
      </x:c>
      <x:c r="G2796" s="69" t="n">
        <x:f>IF(COUNT(E2796:F2796)=2,E2796*F2796,"")</x:f>
        <x:v>850406.2000000001</x:v>
      </x:c>
    </x:row>
    <x:row r="2797">
      <x:c r="A2797" s="66" t="n">
        <x:v>19</x:v>
      </x:c>
      <x:c r="B2797" s="44" t="str">
        <x:v>Canola/Rapeseed</x:v>
      </x:c>
      <x:c r="C2797" s="44" t="str">
        <x:v>PV 660 LCM</x:v>
      </x:c>
      <x:c r="D2797" s="66" t="n">
        <x:v>2021</x:v>
      </x:c>
      <x:c r="E2797" s="67"/>
      <x:c r="F2797" s="68"/>
      <x:c r="G2797" s="69" t="str">
        <x:f>IF(COUNT(E2797:F2797)=2,E2797*F2797,"")</x:f>
      </x:c>
    </x:row>
    <x:row r="2798">
      <x:c r="A2798" s="66" t="n">
        <x:v>19</x:v>
      </x:c>
      <x:c r="B2798" s="44" t="str">
        <x:v>Canola/Rapeseed</x:v>
      </x:c>
      <x:c r="C2798" s="44" t="str">
        <x:v>PV 660 LCM</x:v>
      </x:c>
      <x:c r="D2798" s="66" t="n">
        <x:v>2022</x:v>
      </x:c>
      <x:c r="E2798" s="67" t="n">
        <x:v>4811</x:v>
      </x:c>
      <x:c r="F2798" s="68" t="n">
        <x:v>37.4</x:v>
      </x:c>
      <x:c r="G2798" s="69" t="n">
        <x:f>IF(COUNT(E2798:F2798)=2,E2798*F2798,"")</x:f>
        <x:v>179931.4</x:v>
      </x:c>
    </x:row>
    <x:row r="2799">
      <x:c r="A2799" s="66" t="n">
        <x:v>19</x:v>
      </x:c>
      <x:c r="B2799" s="44" t="str">
        <x:v>Canola/Rapeseed</x:v>
      </x:c>
      <x:c r="C2799" s="44" t="str">
        <x:v>PV 660 LCM</x:v>
      </x:c>
      <x:c r="D2799" s="66" t="n">
        <x:v>2023</x:v>
      </x:c>
      <x:c r="E2799" s="67" t="n">
        <x:v>4132</x:v>
      </x:c>
      <x:c r="F2799" s="68" t="n">
        <x:v>31</x:v>
      </x:c>
      <x:c r="G2799" s="69" t="n">
        <x:f>IF(COUNT(E2799:F2799)=2,E2799*F2799,"")</x:f>
        <x:v>128092</x:v>
      </x:c>
    </x:row>
    <x:row r="2800">
      <x:c r="A2800" s="66" t="n">
        <x:v>19</x:v>
      </x:c>
      <x:c r="B2800" s="44" t="str">
        <x:v>Canola/Rapeseed</x:v>
      </x:c>
      <x:c r="C2800" s="44" t="str">
        <x:v>PV 660 LCM</x:v>
      </x:c>
      <x:c r="D2800" s="66" t="n">
        <x:v>2024</x:v>
      </x:c>
      <x:c r="E2800" s="67" t="n">
        <x:v>475</x:v>
      </x:c>
      <x:c r="F2800" s="68" t="n">
        <x:v>36.2</x:v>
      </x:c>
      <x:c r="G2800" s="69" t="n">
        <x:f>IF(COUNT(E2800:F2800)=2,E2800*F2800,"")</x:f>
        <x:v>17195</x:v>
      </x:c>
    </x:row>
    <x:row r="2801">
      <x:c r="A2801" s="66" t="n">
        <x:v>19</x:v>
      </x:c>
      <x:c r="B2801" s="44" t="str">
        <x:v>Canola/Rapeseed</x:v>
      </x:c>
      <x:c r="C2801" s="44" t="str">
        <x:v>PV 660 LCM</x:v>
      </x:c>
      <x:c r="D2801" s="66" t="n">
        <x:v>2025</x:v>
      </x:c>
      <x:c r="E2801" s="67" t="n">
        <x:v>948</x:v>
      </x:c>
      <x:c r="F2801" s="68" t="n">
        <x:v>30.3</x:v>
      </x:c>
      <x:c r="G2801" s="69" t="n">
        <x:f>IF(COUNT(E2801:F2801)=2,E2801*F2801,"")</x:f>
        <x:v>28724.4</x:v>
      </x:c>
    </x:row>
    <x:row r="2802">
      <x:c r="A2802" s="66" t="n">
        <x:v>19</x:v>
      </x:c>
      <x:c r="B2802" s="44" t="str">
        <x:v>Canola/Rapeseed</x:v>
      </x:c>
      <x:c r="C2802" s="44" t="str">
        <x:v>PV 661 LCM</x:v>
      </x:c>
      <x:c r="D2802" s="66" t="n">
        <x:v>2021</x:v>
      </x:c>
      <x:c r="E2802" s="67"/>
      <x:c r="F2802" s="68"/>
      <x:c r="G2802" s="69" t="str">
        <x:f>IF(COUNT(E2802:F2802)=2,E2802*F2802,"")</x:f>
      </x:c>
    </x:row>
    <x:row r="2803">
      <x:c r="A2803" s="66" t="n">
        <x:v>19</x:v>
      </x:c>
      <x:c r="B2803" s="44" t="str">
        <x:v>Canola/Rapeseed</x:v>
      </x:c>
      <x:c r="C2803" s="44" t="str">
        <x:v>PV 661 LCM</x:v>
      </x:c>
      <x:c r="D2803" s="66" t="n">
        <x:v>2022</x:v>
      </x:c>
      <x:c r="E2803" s="67"/>
      <x:c r="F2803" s="68"/>
      <x:c r="G2803" s="69" t="str">
        <x:f>IF(COUNT(E2803:F2803)=2,E2803*F2803,"")</x:f>
      </x:c>
    </x:row>
    <x:row r="2804">
      <x:c r="A2804" s="66" t="n">
        <x:v>19</x:v>
      </x:c>
      <x:c r="B2804" s="44" t="str">
        <x:v>Canola/Rapeseed</x:v>
      </x:c>
      <x:c r="C2804" s="44" t="str">
        <x:v>PV 661 LCM</x:v>
      </x:c>
      <x:c r="D2804" s="66" t="n">
        <x:v>2023</x:v>
      </x:c>
      <x:c r="E2804" s="67"/>
      <x:c r="F2804" s="68"/>
      <x:c r="G2804" s="69" t="str">
        <x:f>IF(COUNT(E2804:F2804)=2,E2804*F2804,"")</x:f>
      </x:c>
    </x:row>
    <x:row r="2805">
      <x:c r="A2805" s="66" t="n">
        <x:v>19</x:v>
      </x:c>
      <x:c r="B2805" s="44" t="str">
        <x:v>Canola/Rapeseed</x:v>
      </x:c>
      <x:c r="C2805" s="44" t="str">
        <x:v>PV 661 LCM</x:v>
      </x:c>
      <x:c r="D2805" s="66" t="n">
        <x:v>2024</x:v>
      </x:c>
      <x:c r="E2805" s="67" t="n">
        <x:v>6921</x:v>
      </x:c>
      <x:c r="F2805" s="68" t="n">
        <x:v>29.9</x:v>
      </x:c>
      <x:c r="G2805" s="69" t="n">
        <x:f>IF(COUNT(E2805:F2805)=2,E2805*F2805,"")</x:f>
        <x:v>206937.9</x:v>
      </x:c>
    </x:row>
    <x:row r="2806">
      <x:c r="A2806" s="66" t="n">
        <x:v>19</x:v>
      </x:c>
      <x:c r="B2806" s="44" t="str">
        <x:v>Canola/Rapeseed</x:v>
      </x:c>
      <x:c r="C2806" s="44" t="str">
        <x:v>PV 661 LCM</x:v>
      </x:c>
      <x:c r="D2806" s="66" t="n">
        <x:v>2025</x:v>
      </x:c>
      <x:c r="E2806" s="67" t="n">
        <x:v>1575</x:v>
      </x:c>
      <x:c r="F2806" s="68" t="n">
        <x:v>47.7</x:v>
      </x:c>
      <x:c r="G2806" s="69" t="n">
        <x:f>IF(COUNT(E2806:F2806)=2,E2806*F2806,"")</x:f>
        <x:v>75127.5</x:v>
      </x:c>
    </x:row>
    <x:row r="2807">
      <x:c r="A2807" s="66" t="n">
        <x:v>19</x:v>
      </x:c>
      <x:c r="B2807" s="44" t="str">
        <x:v>Canola/Rapeseed</x:v>
      </x:c>
      <x:c r="C2807" s="44" t="str">
        <x:v>PV 681 LC</x:v>
      </x:c>
      <x:c r="D2807" s="66" t="n">
        <x:v>2021</x:v>
      </x:c>
      <x:c r="E2807" s="67" t="n">
        <x:v>10751</x:v>
      </x:c>
      <x:c r="F2807" s="68" t="n">
        <x:v>22.9</x:v>
      </x:c>
      <x:c r="G2807" s="69" t="n">
        <x:f>IF(COUNT(E2807:F2807)=2,E2807*F2807,"")</x:f>
        <x:v>246197.9</x:v>
      </x:c>
    </x:row>
    <x:row r="2808">
      <x:c r="A2808" s="66" t="n">
        <x:v>19</x:v>
      </x:c>
      <x:c r="B2808" s="44" t="str">
        <x:v>Canola/Rapeseed</x:v>
      </x:c>
      <x:c r="C2808" s="44" t="str">
        <x:v>PV 681 LC</x:v>
      </x:c>
      <x:c r="D2808" s="66" t="n">
        <x:v>2022</x:v>
      </x:c>
      <x:c r="E2808" s="67" t="n">
        <x:v>3492</x:v>
      </x:c>
      <x:c r="F2808" s="68" t="n">
        <x:v>41.7</x:v>
      </x:c>
      <x:c r="G2808" s="69" t="n">
        <x:f>IF(COUNT(E2808:F2808)=2,E2808*F2808,"")</x:f>
        <x:v>145616.40000000002</x:v>
      </x:c>
    </x:row>
    <x:row r="2809">
      <x:c r="A2809" s="66" t="n">
        <x:v>19</x:v>
      </x:c>
      <x:c r="B2809" s="44" t="str">
        <x:v>Canola/Rapeseed</x:v>
      </x:c>
      <x:c r="C2809" s="44" t="str">
        <x:v>PV 681 LC</x:v>
      </x:c>
      <x:c r="D2809" s="66" t="n">
        <x:v>2023</x:v>
      </x:c>
      <x:c r="E2809" s="67" t="n">
        <x:v>4131</x:v>
      </x:c>
      <x:c r="F2809" s="68" t="n">
        <x:v>39.6</x:v>
      </x:c>
      <x:c r="G2809" s="69" t="n">
        <x:f>IF(COUNT(E2809:F2809)=2,E2809*F2809,"")</x:f>
        <x:v>163587.6</x:v>
      </x:c>
    </x:row>
    <x:row r="2810">
      <x:c r="A2810" s="66" t="n">
        <x:v>19</x:v>
      </x:c>
      <x:c r="B2810" s="44" t="str">
        <x:v>Canola/Rapeseed</x:v>
      </x:c>
      <x:c r="C2810" s="44" t="str">
        <x:v>PV 681 LC</x:v>
      </x:c>
      <x:c r="D2810" s="66" t="n">
        <x:v>2024</x:v>
      </x:c>
      <x:c r="E2810" s="67" t="n">
        <x:v>2651</x:v>
      </x:c>
      <x:c r="F2810" s="68" t="n">
        <x:v>34.8</x:v>
      </x:c>
      <x:c r="G2810" s="69" t="n">
        <x:f>IF(COUNT(E2810:F2810)=2,E2810*F2810,"")</x:f>
        <x:v>92254.79999999999</x:v>
      </x:c>
    </x:row>
    <x:row r="2811">
      <x:c r="A2811" s="66" t="n">
        <x:v>19</x:v>
      </x:c>
      <x:c r="B2811" s="44" t="str">
        <x:v>Canola/Rapeseed</x:v>
      </x:c>
      <x:c r="C2811" s="44" t="str">
        <x:v>PV 681 LC</x:v>
      </x:c>
      <x:c r="D2811" s="66" t="n">
        <x:v>2025</x:v>
      </x:c>
      <x:c r="E2811" s="67" t="n">
        <x:v>1449</x:v>
      </x:c>
      <x:c r="F2811" s="68" t="n">
        <x:v>45.1</x:v>
      </x:c>
      <x:c r="G2811" s="69" t="n">
        <x:f>IF(COUNT(E2811:F2811)=2,E2811*F2811,"")</x:f>
        <x:v>65349.9</x:v>
      </x:c>
    </x:row>
    <x:row r="2812">
      <x:c r="A2812" s="66" t="n">
        <x:v>19</x:v>
      </x:c>
      <x:c r="B2812" s="44" t="str">
        <x:v>Canola/Rapeseed</x:v>
      </x:c>
      <x:c r="C2812" s="44" t="str">
        <x:v>PV 760 TM</x:v>
      </x:c>
      <x:c r="D2812" s="66" t="n">
        <x:v>2021</x:v>
      </x:c>
      <x:c r="E2812" s="67" t="n">
        <x:v>2983</x:v>
      </x:c>
      <x:c r="F2812" s="68" t="n">
        <x:v>24.1</x:v>
      </x:c>
      <x:c r="G2812" s="69" t="n">
        <x:f>IF(COUNT(E2812:F2812)=2,E2812*F2812,"")</x:f>
        <x:v>71890.3</x:v>
      </x:c>
    </x:row>
    <x:row r="2813">
      <x:c r="A2813" s="66" t="n">
        <x:v>19</x:v>
      </x:c>
      <x:c r="B2813" s="44" t="str">
        <x:v>Canola/Rapeseed</x:v>
      </x:c>
      <x:c r="C2813" s="44" t="str">
        <x:v>PV 760 TM</x:v>
      </x:c>
      <x:c r="D2813" s="66" t="n">
        <x:v>2022</x:v>
      </x:c>
      <x:c r="E2813" s="67" t="n">
        <x:v>1804</x:v>
      </x:c>
      <x:c r="F2813" s="68" t="n">
        <x:v>26.4</x:v>
      </x:c>
      <x:c r="G2813" s="69" t="n">
        <x:f>IF(COUNT(E2813:F2813)=2,E2813*F2813,"")</x:f>
        <x:v>47625.6</x:v>
      </x:c>
    </x:row>
    <x:row r="2814">
      <x:c r="A2814" s="66" t="n">
        <x:v>19</x:v>
      </x:c>
      <x:c r="B2814" s="44" t="str">
        <x:v>Canola/Rapeseed</x:v>
      </x:c>
      <x:c r="C2814" s="44" t="str">
        <x:v>PV 760 TM</x:v>
      </x:c>
      <x:c r="D2814" s="66" t="n">
        <x:v>2023</x:v>
      </x:c>
      <x:c r="E2814" s="67" t="n">
        <x:v>4781</x:v>
      </x:c>
      <x:c r="F2814" s="68" t="n">
        <x:v>31.5</x:v>
      </x:c>
      <x:c r="G2814" s="69" t="n">
        <x:f>IF(COUNT(E2814:F2814)=2,E2814*F2814,"")</x:f>
        <x:v>150601.5</x:v>
      </x:c>
    </x:row>
    <x:row r="2815">
      <x:c r="A2815" s="66" t="n">
        <x:v>19</x:v>
      </x:c>
      <x:c r="B2815" s="44" t="str">
        <x:v>Canola/Rapeseed</x:v>
      </x:c>
      <x:c r="C2815" s="44" t="str">
        <x:v>PV 760 TM</x:v>
      </x:c>
      <x:c r="D2815" s="66" t="n">
        <x:v>2024</x:v>
      </x:c>
      <x:c r="E2815" s="67" t="n">
        <x:v>2780</x:v>
      </x:c>
      <x:c r="F2815" s="68" t="n">
        <x:v>29.4</x:v>
      </x:c>
      <x:c r="G2815" s="69" t="n">
        <x:f>IF(COUNT(E2815:F2815)=2,E2815*F2815,"")</x:f>
        <x:v>81732</x:v>
      </x:c>
    </x:row>
    <x:row r="2816">
      <x:c r="A2816" s="66" t="n">
        <x:v>19</x:v>
      </x:c>
      <x:c r="B2816" s="44" t="str">
        <x:v>Canola/Rapeseed</x:v>
      </x:c>
      <x:c r="C2816" s="44" t="str">
        <x:v>PV 760 TM</x:v>
      </x:c>
      <x:c r="D2816" s="66" t="n">
        <x:v>2025</x:v>
      </x:c>
      <x:c r="E2816" s="67" t="n">
        <x:v>1228</x:v>
      </x:c>
      <x:c r="F2816" s="68" t="n">
        <x:v>49</x:v>
      </x:c>
      <x:c r="G2816" s="69" t="n">
        <x:f>IF(COUNT(E2816:F2816)=2,E2816*F2816,"")</x:f>
        <x:v>60172</x:v>
      </x:c>
    </x:row>
    <x:row r="2817">
      <x:c r="A2817" s="66" t="n">
        <x:v>19</x:v>
      </x:c>
      <x:c r="B2817" s="44" t="str">
        <x:v>Canola/Rapeseed</x:v>
      </x:c>
      <x:c r="C2817" s="44" t="str">
        <x:v>PV 781 TCM</x:v>
      </x:c>
      <x:c r="D2817" s="66" t="n">
        <x:v>2021</x:v>
      </x:c>
      <x:c r="E2817" s="67"/>
      <x:c r="F2817" s="68"/>
      <x:c r="G2817" s="69" t="str">
        <x:f>IF(COUNT(E2817:F2817)=2,E2817*F2817,"")</x:f>
      </x:c>
    </x:row>
    <x:row r="2818">
      <x:c r="A2818" s="66" t="n">
        <x:v>19</x:v>
      </x:c>
      <x:c r="B2818" s="44" t="str">
        <x:v>Canola/Rapeseed</x:v>
      </x:c>
      <x:c r="C2818" s="44" t="str">
        <x:v>PV 781 TCM</x:v>
      </x:c>
      <x:c r="D2818" s="66" t="n">
        <x:v>2022</x:v>
      </x:c>
      <x:c r="E2818" s="67"/>
      <x:c r="F2818" s="68"/>
      <x:c r="G2818" s="69" t="str">
        <x:f>IF(COUNT(E2818:F2818)=2,E2818*F2818,"")</x:f>
      </x:c>
    </x:row>
    <x:row r="2819">
      <x:c r="A2819" s="66" t="n">
        <x:v>19</x:v>
      </x:c>
      <x:c r="B2819" s="44" t="str">
        <x:v>Canola/Rapeseed</x:v>
      </x:c>
      <x:c r="C2819" s="44" t="str">
        <x:v>PV 781 TCM</x:v>
      </x:c>
      <x:c r="D2819" s="66" t="n">
        <x:v>2023</x:v>
      </x:c>
      <x:c r="E2819" s="67" t="n">
        <x:v>3432</x:v>
      </x:c>
      <x:c r="F2819" s="68" t="n">
        <x:v>37.7</x:v>
      </x:c>
      <x:c r="G2819" s="69" t="n">
        <x:f>IF(COUNT(E2819:F2819)=2,E2819*F2819,"")</x:f>
        <x:v>129386.40000000001</x:v>
      </x:c>
    </x:row>
    <x:row r="2820">
      <x:c r="A2820" s="66" t="n">
        <x:v>19</x:v>
      </x:c>
      <x:c r="B2820" s="44" t="str">
        <x:v>Canola/Rapeseed</x:v>
      </x:c>
      <x:c r="C2820" s="44" t="str">
        <x:v>PV 781 TCM</x:v>
      </x:c>
      <x:c r="D2820" s="66" t="n">
        <x:v>2024</x:v>
      </x:c>
      <x:c r="E2820" s="67" t="n">
        <x:v>2479</x:v>
      </x:c>
      <x:c r="F2820" s="68" t="n">
        <x:v>28.6</x:v>
      </x:c>
      <x:c r="G2820" s="69" t="n">
        <x:f>IF(COUNT(E2820:F2820)=2,E2820*F2820,"")</x:f>
        <x:v>70899.40000000001</x:v>
      </x:c>
    </x:row>
    <x:row r="2821">
      <x:c r="A2821" s="66" t="n">
        <x:v>19</x:v>
      </x:c>
      <x:c r="B2821" s="44" t="str">
        <x:v>Canola/Rapeseed</x:v>
      </x:c>
      <x:c r="C2821" s="44" t="str">
        <x:v>PV 781 TCM</x:v>
      </x:c>
      <x:c r="D2821" s="66" t="n">
        <x:v>2025</x:v>
      </x:c>
      <x:c r="E2821" s="67" t="n">
        <x:v>1445</x:v>
      </x:c>
      <x:c r="F2821" s="68" t="n">
        <x:v>41</x:v>
      </x:c>
      <x:c r="G2821" s="69" t="n">
        <x:f>IF(COUNT(E2821:F2821)=2,E2821*F2821,"")</x:f>
        <x:v>59245</x:v>
      </x:c>
    </x:row>
    <x:row r="2822">
      <x:c r="A2822" s="66" t="n">
        <x:v>19</x:v>
      </x:c>
      <x:c r="B2822" s="44" t="str">
        <x:v>Canola/Rapeseed</x:v>
      </x:c>
      <x:c r="C2822" s="44" t="str">
        <x:v>PV661 LCM</x:v>
      </x:c>
      <x:c r="D2822" s="66" t="n">
        <x:v>2021</x:v>
      </x:c>
      <x:c r="E2822" s="67"/>
      <x:c r="F2822" s="68"/>
      <x:c r="G2822" s="69" t="str">
        <x:f>IF(COUNT(E2822:F2822)=2,E2822*F2822,"")</x:f>
      </x:c>
    </x:row>
    <x:row r="2823">
      <x:c r="A2823" s="66" t="n">
        <x:v>19</x:v>
      </x:c>
      <x:c r="B2823" s="44" t="str">
        <x:v>Canola/Rapeseed</x:v>
      </x:c>
      <x:c r="C2823" s="44" t="str">
        <x:v>PV661 LCM</x:v>
      </x:c>
      <x:c r="D2823" s="66" t="n">
        <x:v>2022</x:v>
      </x:c>
      <x:c r="E2823" s="67"/>
      <x:c r="F2823" s="68"/>
      <x:c r="G2823" s="69" t="str">
        <x:f>IF(COUNT(E2823:F2823)=2,E2823*F2823,"")</x:f>
      </x:c>
    </x:row>
    <x:row r="2824">
      <x:c r="A2824" s="66" t="n">
        <x:v>19</x:v>
      </x:c>
      <x:c r="B2824" s="44" t="str">
        <x:v>Canola/Rapeseed</x:v>
      </x:c>
      <x:c r="C2824" s="44" t="str">
        <x:v>PV661 LCM</x:v>
      </x:c>
      <x:c r="D2824" s="66" t="n">
        <x:v>2023</x:v>
      </x:c>
      <x:c r="E2824" s="67" t="n">
        <x:v>1571</x:v>
      </x:c>
      <x:c r="F2824" s="68" t="n">
        <x:v>25.5</x:v>
      </x:c>
      <x:c r="G2824" s="69" t="n">
        <x:f>IF(COUNT(E2824:F2824)=2,E2824*F2824,"")</x:f>
        <x:v>40060.5</x:v>
      </x:c>
    </x:row>
    <x:row r="2825">
      <x:c r="A2825" s="66" t="n">
        <x:v>19</x:v>
      </x:c>
      <x:c r="B2825" s="44" t="str">
        <x:v>Canola/Rapeseed</x:v>
      </x:c>
      <x:c r="C2825" s="44" t="str">
        <x:v>PV661 LCM</x:v>
      </x:c>
      <x:c r="D2825" s="66" t="n">
        <x:v>2024</x:v>
      </x:c>
      <x:c r="E2825" s="67" t="n">
        <x:v>3423</x:v>
      </x:c>
      <x:c r="F2825" s="68" t="n">
        <x:v>33.6</x:v>
      </x:c>
      <x:c r="G2825" s="69" t="n">
        <x:f>IF(COUNT(E2825:F2825)=2,E2825*F2825,"")</x:f>
        <x:v>115012.8</x:v>
      </x:c>
    </x:row>
    <x:row r="2826">
      <x:c r="A2826" s="66" t="n">
        <x:v>19</x:v>
      </x:c>
      <x:c r="B2826" s="44" t="str">
        <x:v>Canola/Rapeseed</x:v>
      </x:c>
      <x:c r="C2826" s="44" t="str">
        <x:v>PV661 LCM</x:v>
      </x:c>
      <x:c r="D2826" s="66" t="n">
        <x:v>2025</x:v>
      </x:c>
      <x:c r="E2826" s="67" t="n">
        <x:v>2287</x:v>
      </x:c>
      <x:c r="F2826" s="68" t="n">
        <x:v>47.1</x:v>
      </x:c>
      <x:c r="G2826" s="69" t="n">
        <x:f>IF(COUNT(E2826:F2826)=2,E2826*F2826,"")</x:f>
        <x:v>107717.7</x:v>
      </x:c>
    </x:row>
    <x:row r="2827">
      <x:c r="A2827" s="66" t="n">
        <x:v>19</x:v>
      </x:c>
      <x:c r="B2827" s="44" t="str">
        <x:v>Canola/Rapeseed</x:v>
      </x:c>
      <x:c r="C2827" s="44" t="str">
        <x:v>PV783</x:v>
      </x:c>
      <x:c r="D2827" s="66" t="n">
        <x:v>2021</x:v>
      </x:c>
      <x:c r="E2827" s="67"/>
      <x:c r="F2827" s="68"/>
      <x:c r="G2827" s="69" t="str">
        <x:f>IF(COUNT(E2827:F2827)=2,E2827*F2827,"")</x:f>
      </x:c>
    </x:row>
    <x:row r="2828">
      <x:c r="A2828" s="66" t="n">
        <x:v>19</x:v>
      </x:c>
      <x:c r="B2828" s="44" t="str">
        <x:v>Canola/Rapeseed</x:v>
      </x:c>
      <x:c r="C2828" s="44" t="str">
        <x:v>PV783</x:v>
      </x:c>
      <x:c r="D2828" s="66" t="n">
        <x:v>2022</x:v>
      </x:c>
      <x:c r="E2828" s="67"/>
      <x:c r="F2828" s="68"/>
      <x:c r="G2828" s="69" t="str">
        <x:f>IF(COUNT(E2828:F2828)=2,E2828*F2828,"")</x:f>
      </x:c>
    </x:row>
    <x:row r="2829">
      <x:c r="A2829" s="66" t="n">
        <x:v>19</x:v>
      </x:c>
      <x:c r="B2829" s="44" t="str">
        <x:v>Canola/Rapeseed</x:v>
      </x:c>
      <x:c r="C2829" s="44" t="str">
        <x:v>PV783</x:v>
      </x:c>
      <x:c r="D2829" s="66" t="n">
        <x:v>2023</x:v>
      </x:c>
      <x:c r="E2829" s="67"/>
      <x:c r="F2829" s="68"/>
      <x:c r="G2829" s="69" t="str">
        <x:f>IF(COUNT(E2829:F2829)=2,E2829*F2829,"")</x:f>
      </x:c>
    </x:row>
    <x:row r="2830">
      <x:c r="A2830" s="66" t="n">
        <x:v>19</x:v>
      </x:c>
      <x:c r="B2830" s="44" t="str">
        <x:v>Canola/Rapeseed</x:v>
      </x:c>
      <x:c r="C2830" s="44" t="str">
        <x:v>PV783</x:v>
      </x:c>
      <x:c r="D2830" s="66" t="n">
        <x:v>2024</x:v>
      </x:c>
      <x:c r="E2830" s="67"/>
      <x:c r="F2830" s="68"/>
      <x:c r="G2830" s="69" t="str">
        <x:f>IF(COUNT(E2830:F2830)=2,E2830*F2830,"")</x:f>
      </x:c>
    </x:row>
    <x:row r="2831">
      <x:c r="A2831" s="66" t="n">
        <x:v>19</x:v>
      </x:c>
      <x:c r="B2831" s="44" t="str">
        <x:v>Canola/Rapeseed</x:v>
      </x:c>
      <x:c r="C2831" s="44" t="str">
        <x:v>PV783</x:v>
      </x:c>
      <x:c r="D2831" s="66" t="n">
        <x:v>2025</x:v>
      </x:c>
      <x:c r="E2831" s="67" t="n">
        <x:v>1030</x:v>
      </x:c>
      <x:c r="F2831" s="68" t="n">
        <x:v>49.4</x:v>
      </x:c>
      <x:c r="G2831" s="69" t="n">
        <x:f>IF(COUNT(E2831:F2831)=2,E2831*F2831,"")</x:f>
        <x:v>50882</x:v>
      </x:c>
    </x:row>
    <x:row r="2832">
      <x:c r="A2832" s="66" t="n">
        <x:v>19</x:v>
      </x:c>
      <x:c r="B2832" s="44" t="str">
        <x:v>Canola/Rapeseed</x:v>
      </x:c>
      <x:c r="C2832" s="44" t="str">
        <x:v>P1530G</x:v>
      </x:c>
      <x:c r="D2832" s="66" t="n">
        <x:v>2021</x:v>
      </x:c>
      <x:c r="E2832" s="67"/>
      <x:c r="F2832" s="68"/>
      <x:c r="G2832" s="69" t="str">
        <x:f>IF(COUNT(E2832:F2832)=2,E2832*F2832,"")</x:f>
      </x:c>
    </x:row>
    <x:row r="2833">
      <x:c r="A2833" s="66" t="n">
        <x:v>19</x:v>
      </x:c>
      <x:c r="B2833" s="44" t="str">
        <x:v>Canola/Rapeseed</x:v>
      </x:c>
      <x:c r="C2833" s="44" t="str">
        <x:v>P1530G</x:v>
      </x:c>
      <x:c r="D2833" s="66" t="n">
        <x:v>2022</x:v>
      </x:c>
      <x:c r="E2833" s="67"/>
      <x:c r="F2833" s="68"/>
      <x:c r="G2833" s="69" t="str">
        <x:f>IF(COUNT(E2833:F2833)=2,E2833*F2833,"")</x:f>
      </x:c>
    </x:row>
    <x:row r="2834">
      <x:c r="A2834" s="66" t="n">
        <x:v>19</x:v>
      </x:c>
      <x:c r="B2834" s="44" t="str">
        <x:v>Canola/Rapeseed</x:v>
      </x:c>
      <x:c r="C2834" s="44" t="str">
        <x:v>P1530G</x:v>
      </x:c>
      <x:c r="D2834" s="66" t="n">
        <x:v>2023</x:v>
      </x:c>
      <x:c r="E2834" s="67"/>
      <x:c r="F2834" s="68"/>
      <x:c r="G2834" s="69" t="str">
        <x:f>IF(COUNT(E2834:F2834)=2,E2834*F2834,"")</x:f>
      </x:c>
    </x:row>
    <x:row r="2835">
      <x:c r="A2835" s="66" t="n">
        <x:v>19</x:v>
      </x:c>
      <x:c r="B2835" s="44" t="str">
        <x:v>Canola/Rapeseed</x:v>
      </x:c>
      <x:c r="C2835" s="44" t="str">
        <x:v>P1530G</x:v>
      </x:c>
      <x:c r="D2835" s="66" t="n">
        <x:v>2024</x:v>
      </x:c>
      <x:c r="E2835" s="67"/>
      <x:c r="F2835" s="68"/>
      <x:c r="G2835" s="69" t="str">
        <x:f>IF(COUNT(E2835:F2835)=2,E2835*F2835,"")</x:f>
      </x:c>
    </x:row>
    <x:row r="2836">
      <x:c r="A2836" s="66" t="n">
        <x:v>19</x:v>
      </x:c>
      <x:c r="B2836" s="44" t="str">
        <x:v>Canola/Rapeseed</x:v>
      </x:c>
      <x:c r="C2836" s="44" t="str">
        <x:v>P1530G</x:v>
      </x:c>
      <x:c r="D2836" s="66" t="n">
        <x:v>2025</x:v>
      </x:c>
      <x:c r="E2836" s="67" t="n">
        <x:v>1211</x:v>
      </x:c>
      <x:c r="F2836" s="68" t="n">
        <x:v>50.5</x:v>
      </x:c>
      <x:c r="G2836" s="69" t="n">
        <x:f>IF(COUNT(E2836:F2836)=2,E2836*F2836,"")</x:f>
        <x:v>61155.5</x:v>
      </x:c>
    </x:row>
    <x:row r="2837">
      <x:c r="A2837" s="66" t="n">
        <x:v>19</x:v>
      </x:c>
      <x:c r="B2837" s="44" t="str">
        <x:v>Canola/Rapeseed</x:v>
      </x:c>
      <x:c r="C2837" s="44" t="str">
        <x:v>P1540L</x:v>
      </x:c>
      <x:c r="D2837" s="66" t="n">
        <x:v>2021</x:v>
      </x:c>
      <x:c r="E2837" s="67"/>
      <x:c r="F2837" s="68"/>
      <x:c r="G2837" s="69" t="str">
        <x:f>IF(COUNT(E2837:F2837)=2,E2837*F2837,"")</x:f>
      </x:c>
    </x:row>
    <x:row r="2838">
      <x:c r="A2838" s="66" t="n">
        <x:v>19</x:v>
      </x:c>
      <x:c r="B2838" s="44" t="str">
        <x:v>Canola/Rapeseed</x:v>
      </x:c>
      <x:c r="C2838" s="44" t="str">
        <x:v>P1540L</x:v>
      </x:c>
      <x:c r="D2838" s="66" t="n">
        <x:v>2022</x:v>
      </x:c>
      <x:c r="E2838" s="67"/>
      <x:c r="F2838" s="68"/>
      <x:c r="G2838" s="69" t="str">
        <x:f>IF(COUNT(E2838:F2838)=2,E2838*F2838,"")</x:f>
      </x:c>
    </x:row>
    <x:row r="2839">
      <x:c r="A2839" s="66" t="n">
        <x:v>19</x:v>
      </x:c>
      <x:c r="B2839" s="44" t="str">
        <x:v>Canola/Rapeseed</x:v>
      </x:c>
      <x:c r="C2839" s="44" t="str">
        <x:v>P1540L</x:v>
      </x:c>
      <x:c r="D2839" s="66" t="n">
        <x:v>2023</x:v>
      </x:c>
      <x:c r="E2839" s="67"/>
      <x:c r="F2839" s="68"/>
      <x:c r="G2839" s="69" t="str">
        <x:f>IF(COUNT(E2839:F2839)=2,E2839*F2839,"")</x:f>
      </x:c>
    </x:row>
    <x:row r="2840">
      <x:c r="A2840" s="66" t="n">
        <x:v>19</x:v>
      </x:c>
      <x:c r="B2840" s="44" t="str">
        <x:v>Canola/Rapeseed</x:v>
      </x:c>
      <x:c r="C2840" s="44" t="str">
        <x:v>P1540L</x:v>
      </x:c>
      <x:c r="D2840" s="66" t="n">
        <x:v>2024</x:v>
      </x:c>
      <x:c r="E2840" s="67"/>
      <x:c r="F2840" s="68"/>
      <x:c r="G2840" s="69" t="str">
        <x:f>IF(COUNT(E2840:F2840)=2,E2840*F2840,"")</x:f>
      </x:c>
    </x:row>
    <x:row r="2841">
      <x:c r="A2841" s="66" t="n">
        <x:v>19</x:v>
      </x:c>
      <x:c r="B2841" s="44" t="str">
        <x:v>Canola/Rapeseed</x:v>
      </x:c>
      <x:c r="C2841" s="44" t="str">
        <x:v>P1540L</x:v>
      </x:c>
      <x:c r="D2841" s="66" t="n">
        <x:v>2025</x:v>
      </x:c>
      <x:c r="E2841" s="67" t="n">
        <x:v>463</x:v>
      </x:c>
      <x:c r="F2841" s="68" t="n">
        <x:v>48</x:v>
      </x:c>
      <x:c r="G2841" s="69" t="n">
        <x:f>IF(COUNT(E2841:F2841)=2,E2841*F2841,"")</x:f>
        <x:v>22224</x:v>
      </x:c>
    </x:row>
    <x:row r="2842">
      <x:c r="A2842" s="66" t="n">
        <x:v>19</x:v>
      </x:c>
      <x:c r="B2842" s="44" t="str">
        <x:v>Canola/Rapeseed</x:v>
      </x:c>
      <x:c r="C2842" s="44" t="str">
        <x:v>P505MSL</x:v>
      </x:c>
      <x:c r="D2842" s="66" t="n">
        <x:v>2021</x:v>
      </x:c>
      <x:c r="E2842" s="67" t="n">
        <x:v>4394</x:v>
      </x:c>
      <x:c r="F2842" s="68" t="n">
        <x:v>24.6</x:v>
      </x:c>
      <x:c r="G2842" s="69" t="n">
        <x:f>IF(COUNT(E2842:F2842)=2,E2842*F2842,"")</x:f>
        <x:v>108092.40000000001</x:v>
      </x:c>
    </x:row>
    <x:row r="2843">
      <x:c r="A2843" s="66" t="n">
        <x:v>19</x:v>
      </x:c>
      <x:c r="B2843" s="44" t="str">
        <x:v>Canola/Rapeseed</x:v>
      </x:c>
      <x:c r="C2843" s="44" t="str">
        <x:v>P505MSL</x:v>
      </x:c>
      <x:c r="D2843" s="66" t="n">
        <x:v>2022</x:v>
      </x:c>
      <x:c r="E2843" s="67" t="n">
        <x:v>3835</x:v>
      </x:c>
      <x:c r="F2843" s="68" t="n">
        <x:v>38.2</x:v>
      </x:c>
      <x:c r="G2843" s="69" t="n">
        <x:f>IF(COUNT(E2843:F2843)=2,E2843*F2843,"")</x:f>
        <x:v>146497</x:v>
      </x:c>
    </x:row>
    <x:row r="2844">
      <x:c r="A2844" s="66" t="n">
        <x:v>19</x:v>
      </x:c>
      <x:c r="B2844" s="44" t="str">
        <x:v>Canola/Rapeseed</x:v>
      </x:c>
      <x:c r="C2844" s="44" t="str">
        <x:v>P505MSL</x:v>
      </x:c>
      <x:c r="D2844" s="66" t="n">
        <x:v>2023</x:v>
      </x:c>
      <x:c r="E2844" s="67" t="n">
        <x:v>8383</x:v>
      </x:c>
      <x:c r="F2844" s="68" t="n">
        <x:v>38.1</x:v>
      </x:c>
      <x:c r="G2844" s="69" t="n">
        <x:f>IF(COUNT(E2844:F2844)=2,E2844*F2844,"")</x:f>
        <x:v>319392.3</x:v>
      </x:c>
    </x:row>
    <x:row r="2845">
      <x:c r="A2845" s="66" t="n">
        <x:v>19</x:v>
      </x:c>
      <x:c r="B2845" s="44" t="str">
        <x:v>Canola/Rapeseed</x:v>
      </x:c>
      <x:c r="C2845" s="44" t="str">
        <x:v>P505MSL</x:v>
      </x:c>
      <x:c r="D2845" s="66" t="n">
        <x:v>2024</x:v>
      </x:c>
      <x:c r="E2845" s="67" t="n">
        <x:v>9474</x:v>
      </x:c>
      <x:c r="F2845" s="68" t="n">
        <x:v>32.1</x:v>
      </x:c>
      <x:c r="G2845" s="69" t="n">
        <x:f>IF(COUNT(E2845:F2845)=2,E2845*F2845,"")</x:f>
        <x:v>304115.4</x:v>
      </x:c>
    </x:row>
    <x:row r="2846">
      <x:c r="A2846" s="66" t="n">
        <x:v>19</x:v>
      </x:c>
      <x:c r="B2846" s="44" t="str">
        <x:v>Canola/Rapeseed</x:v>
      </x:c>
      <x:c r="C2846" s="44" t="str">
        <x:v>P505MSL</x:v>
      </x:c>
      <x:c r="D2846" s="66" t="n">
        <x:v>2025</x:v>
      </x:c>
      <x:c r="E2846" s="67" t="n">
        <x:v>7411</x:v>
      </x:c>
      <x:c r="F2846" s="68" t="n">
        <x:v>51.7</x:v>
      </x:c>
      <x:c r="G2846" s="69" t="n">
        <x:f>IF(COUNT(E2846:F2846)=2,E2846*F2846,"")</x:f>
        <x:v>383148.7</x:v>
      </x:c>
    </x:row>
    <x:row r="2847">
      <x:c r="A2847" s="66" t="n">
        <x:v>19</x:v>
      </x:c>
      <x:c r="B2847" s="44" t="str">
        <x:v>Canola/Rapeseed</x:v>
      </x:c>
      <x:c r="C2847" s="44" t="str">
        <x:v>P515G</x:v>
      </x:c>
      <x:c r="D2847" s="66" t="n">
        <x:v>2021</x:v>
      </x:c>
      <x:c r="E2847" s="67"/>
      <x:c r="F2847" s="68"/>
      <x:c r="G2847" s="69" t="str">
        <x:f>IF(COUNT(E2847:F2847)=2,E2847*F2847,"")</x:f>
      </x:c>
    </x:row>
    <x:row r="2848">
      <x:c r="A2848" s="66" t="n">
        <x:v>19</x:v>
      </x:c>
      <x:c r="B2848" s="44" t="str">
        <x:v>Canola/Rapeseed</x:v>
      </x:c>
      <x:c r="C2848" s="44" t="str">
        <x:v>P515G</x:v>
      </x:c>
      <x:c r="D2848" s="66" t="n">
        <x:v>2022</x:v>
      </x:c>
      <x:c r="E2848" s="67"/>
      <x:c r="F2848" s="68"/>
      <x:c r="G2848" s="69" t="str">
        <x:f>IF(COUNT(E2848:F2848)=2,E2848*F2848,"")</x:f>
      </x:c>
    </x:row>
    <x:row r="2849">
      <x:c r="A2849" s="66" t="n">
        <x:v>19</x:v>
      </x:c>
      <x:c r="B2849" s="44" t="str">
        <x:v>Canola/Rapeseed</x:v>
      </x:c>
      <x:c r="C2849" s="44" t="str">
        <x:v>P515G</x:v>
      </x:c>
      <x:c r="D2849" s="66" t="n">
        <x:v>2023</x:v>
      </x:c>
      <x:c r="E2849" s="67" t="n">
        <x:v>1594</x:v>
      </x:c>
      <x:c r="F2849" s="68" t="n">
        <x:v>39.2</x:v>
      </x:c>
      <x:c r="G2849" s="69" t="n">
        <x:f>IF(COUNT(E2849:F2849)=2,E2849*F2849,"")</x:f>
        <x:v>62484.8</x:v>
      </x:c>
    </x:row>
    <x:row r="2850">
      <x:c r="A2850" s="66" t="n">
        <x:v>19</x:v>
      </x:c>
      <x:c r="B2850" s="44" t="str">
        <x:v>Canola/Rapeseed</x:v>
      </x:c>
      <x:c r="C2850" s="44" t="str">
        <x:v>P515G</x:v>
      </x:c>
      <x:c r="D2850" s="66" t="n">
        <x:v>2024</x:v>
      </x:c>
      <x:c r="E2850" s="67" t="n">
        <x:v>2417</x:v>
      </x:c>
      <x:c r="F2850" s="68" t="n">
        <x:v>35.2</x:v>
      </x:c>
      <x:c r="G2850" s="69" t="n">
        <x:f>IF(COUNT(E2850:F2850)=2,E2850*F2850,"")</x:f>
        <x:v>85078.40000000001</x:v>
      </x:c>
    </x:row>
    <x:row r="2851">
      <x:c r="A2851" s="66" t="n">
        <x:v>19</x:v>
      </x:c>
      <x:c r="B2851" s="44" t="str">
        <x:v>Canola/Rapeseed</x:v>
      </x:c>
      <x:c r="C2851" s="44" t="str">
        <x:v>P515G</x:v>
      </x:c>
      <x:c r="D2851" s="66" t="n">
        <x:v>2025</x:v>
      </x:c>
      <x:c r="E2851" s="67" t="n">
        <x:v>4851</x:v>
      </x:c>
      <x:c r="F2851" s="68" t="n">
        <x:v>47.6</x:v>
      </x:c>
      <x:c r="G2851" s="69" t="n">
        <x:f>IF(COUNT(E2851:F2851)=2,E2851*F2851,"")</x:f>
        <x:v>230907.6</x:v>
      </x:c>
    </x:row>
    <x:row r="2852">
      <x:c r="A2852" s="66" t="n">
        <x:v>19</x:v>
      </x:c>
      <x:c r="B2852" s="44" t="str">
        <x:v>Canola/Rapeseed</x:v>
      </x:c>
      <x:c r="C2852" s="44" t="str">
        <x:v>P516L</x:v>
      </x:c>
      <x:c r="D2852" s="66" t="n">
        <x:v>2021</x:v>
      </x:c>
      <x:c r="E2852" s="67"/>
      <x:c r="F2852" s="68"/>
      <x:c r="G2852" s="69" t="str">
        <x:f>IF(COUNT(E2852:F2852)=2,E2852*F2852,"")</x:f>
      </x:c>
    </x:row>
    <x:row r="2853">
      <x:c r="A2853" s="66" t="n">
        <x:v>19</x:v>
      </x:c>
      <x:c r="B2853" s="44" t="str">
        <x:v>Canola/Rapeseed</x:v>
      </x:c>
      <x:c r="C2853" s="44" t="str">
        <x:v>P516L</x:v>
      </x:c>
      <x:c r="D2853" s="66" t="n">
        <x:v>2022</x:v>
      </x:c>
      <x:c r="E2853" s="67"/>
      <x:c r="F2853" s="68"/>
      <x:c r="G2853" s="69" t="str">
        <x:f>IF(COUNT(E2853:F2853)=2,E2853*F2853,"")</x:f>
      </x:c>
    </x:row>
    <x:row r="2854">
      <x:c r="A2854" s="66" t="n">
        <x:v>19</x:v>
      </x:c>
      <x:c r="B2854" s="44" t="str">
        <x:v>Canola/Rapeseed</x:v>
      </x:c>
      <x:c r="C2854" s="44" t="str">
        <x:v>P516L</x:v>
      </x:c>
      <x:c r="D2854" s="66" t="n">
        <x:v>2023</x:v>
      </x:c>
      <x:c r="E2854" s="67" t="n">
        <x:v>3665</x:v>
      </x:c>
      <x:c r="F2854" s="68" t="n">
        <x:v>34.3</x:v>
      </x:c>
      <x:c r="G2854" s="69" t="n">
        <x:f>IF(COUNT(E2854:F2854)=2,E2854*F2854,"")</x:f>
        <x:v>125709.49999999999</x:v>
      </x:c>
    </x:row>
    <x:row r="2855">
      <x:c r="A2855" s="66" t="n">
        <x:v>19</x:v>
      </x:c>
      <x:c r="B2855" s="44" t="str">
        <x:v>Canola/Rapeseed</x:v>
      </x:c>
      <x:c r="C2855" s="44" t="str">
        <x:v>P516L</x:v>
      </x:c>
      <x:c r="D2855" s="66" t="n">
        <x:v>2024</x:v>
      </x:c>
      <x:c r="E2855" s="67" t="n">
        <x:v>12226</x:v>
      </x:c>
      <x:c r="F2855" s="68" t="n">
        <x:v>30.7</x:v>
      </x:c>
      <x:c r="G2855" s="69" t="n">
        <x:f>IF(COUNT(E2855:F2855)=2,E2855*F2855,"")</x:f>
        <x:v>375338.2</x:v>
      </x:c>
    </x:row>
    <x:row r="2856">
      <x:c r="A2856" s="66" t="n">
        <x:v>19</x:v>
      </x:c>
      <x:c r="B2856" s="44" t="str">
        <x:v>Canola/Rapeseed</x:v>
      </x:c>
      <x:c r="C2856" s="44" t="str">
        <x:v>P516L</x:v>
      </x:c>
      <x:c r="D2856" s="66" t="n">
        <x:v>2025</x:v>
      </x:c>
      <x:c r="E2856" s="67" t="n">
        <x:v>2634</x:v>
      </x:c>
      <x:c r="F2856" s="68" t="n">
        <x:v>42.2</x:v>
      </x:c>
      <x:c r="G2856" s="69" t="n">
        <x:f>IF(COUNT(E2856:F2856)=2,E2856*F2856,"")</x:f>
        <x:v>111154.8</x:v>
      </x:c>
    </x:row>
    <x:row r="2857">
      <x:c r="A2857" s="66" t="n">
        <x:v>19</x:v>
      </x:c>
      <x:c r="B2857" s="44" t="str">
        <x:v>Canola/Rapeseed</x:v>
      </x:c>
      <x:c r="C2857" s="44" t="str">
        <x:v>P519L</x:v>
      </x:c>
      <x:c r="D2857" s="66" t="n">
        <x:v>2021</x:v>
      </x:c>
      <x:c r="E2857" s="67"/>
      <x:c r="F2857" s="68"/>
      <x:c r="G2857" s="69" t="str">
        <x:f>IF(COUNT(E2857:F2857)=2,E2857*F2857,"")</x:f>
      </x:c>
    </x:row>
    <x:row r="2858">
      <x:c r="A2858" s="66" t="n">
        <x:v>19</x:v>
      </x:c>
      <x:c r="B2858" s="44" t="str">
        <x:v>Canola/Rapeseed</x:v>
      </x:c>
      <x:c r="C2858" s="44" t="str">
        <x:v>P519L</x:v>
      </x:c>
      <x:c r="D2858" s="66" t="n">
        <x:v>2022</x:v>
      </x:c>
      <x:c r="E2858" s="67"/>
      <x:c r="F2858" s="68"/>
      <x:c r="G2858" s="69" t="str">
        <x:f>IF(COUNT(E2858:F2858)=2,E2858*F2858,"")</x:f>
      </x:c>
    </x:row>
    <x:row r="2859">
      <x:c r="A2859" s="66" t="n">
        <x:v>19</x:v>
      </x:c>
      <x:c r="B2859" s="44" t="str">
        <x:v>Canola/Rapeseed</x:v>
      </x:c>
      <x:c r="C2859" s="44" t="str">
        <x:v>P519L</x:v>
      </x:c>
      <x:c r="D2859" s="66" t="n">
        <x:v>2023</x:v>
      </x:c>
      <x:c r="E2859" s="67"/>
      <x:c r="F2859" s="68"/>
      <x:c r="G2859" s="69" t="str">
        <x:f>IF(COUNT(E2859:F2859)=2,E2859*F2859,"")</x:f>
      </x:c>
    </x:row>
    <x:row r="2860">
      <x:c r="A2860" s="66" t="n">
        <x:v>19</x:v>
      </x:c>
      <x:c r="B2860" s="44" t="str">
        <x:v>Canola/Rapeseed</x:v>
      </x:c>
      <x:c r="C2860" s="44" t="str">
        <x:v>P519L</x:v>
      </x:c>
      <x:c r="D2860" s="66" t="n">
        <x:v>2024</x:v>
      </x:c>
      <x:c r="E2860" s="67" t="n">
        <x:v>1058</x:v>
      </x:c>
      <x:c r="F2860" s="68" t="n">
        <x:v>37.5</x:v>
      </x:c>
      <x:c r="G2860" s="69" t="n">
        <x:f>IF(COUNT(E2860:F2860)=2,E2860*F2860,"")</x:f>
        <x:v>39675</x:v>
      </x:c>
    </x:row>
    <x:row r="2861">
      <x:c r="A2861" s="66" t="n">
        <x:v>19</x:v>
      </x:c>
      <x:c r="B2861" s="44" t="str">
        <x:v>Canola/Rapeseed</x:v>
      </x:c>
      <x:c r="C2861" s="44" t="str">
        <x:v>P519L</x:v>
      </x:c>
      <x:c r="D2861" s="66" t="n">
        <x:v>2025</x:v>
      </x:c>
      <x:c r="E2861" s="67" t="n">
        <x:v>3197</x:v>
      </x:c>
      <x:c r="F2861" s="68" t="n">
        <x:v>48.3</x:v>
      </x:c>
      <x:c r="G2861" s="69" t="n">
        <x:f>IF(COUNT(E2861:F2861)=2,E2861*F2861,"")</x:f>
        <x:v>154415.09999999998</x:v>
      </x:c>
    </x:row>
    <x:row r="2862">
      <x:c r="A2862" s="66" t="n">
        <x:v>19</x:v>
      </x:c>
      <x:c r="B2862" s="44" t="str">
        <x:v>Canola/Rapeseed</x:v>
      </x:c>
      <x:c r="C2862" s="44" t="str">
        <x:v>P520L</x:v>
      </x:c>
      <x:c r="D2862" s="66" t="n">
        <x:v>2021</x:v>
      </x:c>
      <x:c r="E2862" s="67"/>
      <x:c r="F2862" s="68"/>
      <x:c r="G2862" s="69" t="str">
        <x:f>IF(COUNT(E2862:F2862)=2,E2862*F2862,"")</x:f>
      </x:c>
    </x:row>
    <x:row r="2863">
      <x:c r="A2863" s="66" t="n">
        <x:v>19</x:v>
      </x:c>
      <x:c r="B2863" s="44" t="str">
        <x:v>Canola/Rapeseed</x:v>
      </x:c>
      <x:c r="C2863" s="44" t="str">
        <x:v>P520L</x:v>
      </x:c>
      <x:c r="D2863" s="66" t="n">
        <x:v>2022</x:v>
      </x:c>
      <x:c r="E2863" s="67"/>
      <x:c r="F2863" s="68"/>
      <x:c r="G2863" s="69" t="str">
        <x:f>IF(COUNT(E2863:F2863)=2,E2863*F2863,"")</x:f>
      </x:c>
    </x:row>
    <x:row r="2864">
      <x:c r="A2864" s="66" t="n">
        <x:v>19</x:v>
      </x:c>
      <x:c r="B2864" s="44" t="str">
        <x:v>Canola/Rapeseed</x:v>
      </x:c>
      <x:c r="C2864" s="44" t="str">
        <x:v>P520L</x:v>
      </x:c>
      <x:c r="D2864" s="66" t="n">
        <x:v>2023</x:v>
      </x:c>
      <x:c r="E2864" s="67"/>
      <x:c r="F2864" s="68"/>
      <x:c r="G2864" s="69" t="str">
        <x:f>IF(COUNT(E2864:F2864)=2,E2864*F2864,"")</x:f>
      </x:c>
    </x:row>
    <x:row r="2865">
      <x:c r="A2865" s="66" t="n">
        <x:v>19</x:v>
      </x:c>
      <x:c r="B2865" s="44" t="str">
        <x:v>Canola/Rapeseed</x:v>
      </x:c>
      <x:c r="C2865" s="44" t="str">
        <x:v>P520L</x:v>
      </x:c>
      <x:c r="D2865" s="66" t="n">
        <x:v>2024</x:v>
      </x:c>
      <x:c r="E2865" s="67"/>
      <x:c r="F2865" s="68"/>
      <x:c r="G2865" s="69" t="str">
        <x:f>IF(COUNT(E2865:F2865)=2,E2865*F2865,"")</x:f>
      </x:c>
    </x:row>
    <x:row r="2866">
      <x:c r="A2866" s="66" t="n">
        <x:v>19</x:v>
      </x:c>
      <x:c r="B2866" s="44" t="str">
        <x:v>Canola/Rapeseed</x:v>
      </x:c>
      <x:c r="C2866" s="44" t="str">
        <x:v>P520L</x:v>
      </x:c>
      <x:c r="D2866" s="66" t="n">
        <x:v>2025</x:v>
      </x:c>
      <x:c r="E2866" s="67" t="n">
        <x:v>9956</x:v>
      </x:c>
      <x:c r="F2866" s="68" t="n">
        <x:v>47.1</x:v>
      </x:c>
      <x:c r="G2866" s="69" t="n">
        <x:f>IF(COUNT(E2866:F2866)=2,E2866*F2866,"")</x:f>
        <x:v>468927.60000000003</x:v>
      </x:c>
    </x:row>
    <x:row r="2867">
      <x:c r="A2867" s="66" t="n">
        <x:v>19</x:v>
      </x:c>
      <x:c r="B2867" s="44" t="str">
        <x:v>Canola/Rapeseed</x:v>
      </x:c>
      <x:c r="C2867" s="44" t="str">
        <x:v>P612L</x:v>
      </x:c>
      <x:c r="D2867" s="66" t="n">
        <x:v>2021</x:v>
      </x:c>
      <x:c r="E2867" s="67"/>
      <x:c r="F2867" s="68"/>
      <x:c r="G2867" s="69" t="str">
        <x:f>IF(COUNT(E2867:F2867)=2,E2867*F2867,"")</x:f>
      </x:c>
    </x:row>
    <x:row r="2868">
      <x:c r="A2868" s="66" t="n">
        <x:v>19</x:v>
      </x:c>
      <x:c r="B2868" s="44" t="str">
        <x:v>Canola/Rapeseed</x:v>
      </x:c>
      <x:c r="C2868" s="44" t="str">
        <x:v>P612L</x:v>
      </x:c>
      <x:c r="D2868" s="66" t="n">
        <x:v>2022</x:v>
      </x:c>
      <x:c r="E2868" s="67"/>
      <x:c r="F2868" s="68"/>
      <x:c r="G2868" s="69" t="str">
        <x:f>IF(COUNT(E2868:F2868)=2,E2868*F2868,"")</x:f>
      </x:c>
    </x:row>
    <x:row r="2869">
      <x:c r="A2869" s="66" t="n">
        <x:v>19</x:v>
      </x:c>
      <x:c r="B2869" s="44" t="str">
        <x:v>Canola/Rapeseed</x:v>
      </x:c>
      <x:c r="C2869" s="44" t="str">
        <x:v>P612L</x:v>
      </x:c>
      <x:c r="D2869" s="66" t="n">
        <x:v>2023</x:v>
      </x:c>
      <x:c r="E2869" s="67" t="n">
        <x:v>5198</x:v>
      </x:c>
      <x:c r="F2869" s="68" t="n">
        <x:v>36.3</x:v>
      </x:c>
      <x:c r="G2869" s="69" t="n">
        <x:f>IF(COUNT(E2869:F2869)=2,E2869*F2869,"")</x:f>
        <x:v>188687.4</x:v>
      </x:c>
    </x:row>
    <x:row r="2870">
      <x:c r="A2870" s="66" t="n">
        <x:v>19</x:v>
      </x:c>
      <x:c r="B2870" s="44" t="str">
        <x:v>Canola/Rapeseed</x:v>
      </x:c>
      <x:c r="C2870" s="44" t="str">
        <x:v>P612L</x:v>
      </x:c>
      <x:c r="D2870" s="66" t="n">
        <x:v>2024</x:v>
      </x:c>
      <x:c r="E2870" s="67" t="n">
        <x:v>3224</x:v>
      </x:c>
      <x:c r="F2870" s="68" t="n">
        <x:v>33.3</x:v>
      </x:c>
      <x:c r="G2870" s="69" t="n">
        <x:f>IF(COUNT(E2870:F2870)=2,E2870*F2870,"")</x:f>
        <x:v>107359.2</x:v>
      </x:c>
    </x:row>
    <x:row r="2871">
      <x:c r="A2871" s="66" t="n">
        <x:v>19</x:v>
      </x:c>
      <x:c r="B2871" s="44" t="str">
        <x:v>Canola/Rapeseed</x:v>
      </x:c>
      <x:c r="C2871" s="44" t="str">
        <x:v>P612L</x:v>
      </x:c>
      <x:c r="D2871" s="66" t="n">
        <x:v>2025</x:v>
      </x:c>
      <x:c r="E2871" s="67" t="n">
        <x:v>1310</x:v>
      </x:c>
      <x:c r="F2871" s="68" t="n">
        <x:v>39.7</x:v>
      </x:c>
      <x:c r="G2871" s="69" t="n">
        <x:f>IF(COUNT(E2871:F2871)=2,E2871*F2871,"")</x:f>
        <x:v>52007.00000000001</x:v>
      </x:c>
    </x:row>
    <x:row r="2872">
      <x:c r="A2872" s="66" t="n">
        <x:v>20</x:v>
      </x:c>
      <x:c r="B2872" s="44" t="str">
        <x:v>Canola/Rapeseed</x:v>
      </x:c>
      <x:c r="C2872" s="44" t="str">
        <x:v>BY 6214TF</x:v>
      </x:c>
      <x:c r="D2872" s="66" t="n">
        <x:v>2021</x:v>
      </x:c>
      <x:c r="E2872" s="67"/>
      <x:c r="F2872" s="68"/>
      <x:c r="G2872" s="69" t="str">
        <x:f>IF(COUNT(E2872:F2872)=2,E2872*F2872,"")</x:f>
      </x:c>
    </x:row>
    <x:row r="2873">
      <x:c r="A2873" s="66" t="n">
        <x:v>20</x:v>
      </x:c>
      <x:c r="B2873" s="44" t="str">
        <x:v>Canola/Rapeseed</x:v>
      </x:c>
      <x:c r="C2873" s="44" t="str">
        <x:v>BY 6214TF</x:v>
      </x:c>
      <x:c r="D2873" s="66" t="n">
        <x:v>2022</x:v>
      </x:c>
      <x:c r="E2873" s="67"/>
      <x:c r="F2873" s="68"/>
      <x:c r="G2873" s="69" t="str">
        <x:f>IF(COUNT(E2873:F2873)=2,E2873*F2873,"")</x:f>
      </x:c>
    </x:row>
    <x:row r="2874">
      <x:c r="A2874" s="66" t="n">
        <x:v>20</x:v>
      </x:c>
      <x:c r="B2874" s="44" t="str">
        <x:v>Canola/Rapeseed</x:v>
      </x:c>
      <x:c r="C2874" s="44" t="str">
        <x:v>BY 6214TF</x:v>
      </x:c>
      <x:c r="D2874" s="66" t="n">
        <x:v>2023</x:v>
      </x:c>
      <x:c r="E2874" s="67"/>
      <x:c r="F2874" s="68"/>
      <x:c r="G2874" s="69" t="str">
        <x:f>IF(COUNT(E2874:F2874)=2,E2874*F2874,"")</x:f>
      </x:c>
    </x:row>
    <x:row r="2875">
      <x:c r="A2875" s="66" t="n">
        <x:v>20</x:v>
      </x:c>
      <x:c r="B2875" s="44" t="str">
        <x:v>Canola/Rapeseed</x:v>
      </x:c>
      <x:c r="C2875" s="44" t="str">
        <x:v>BY 6214TF</x:v>
      </x:c>
      <x:c r="D2875" s="66" t="n">
        <x:v>2024</x:v>
      </x:c>
      <x:c r="E2875" s="67" t="n">
        <x:v>2211</x:v>
      </x:c>
      <x:c r="F2875" s="68" t="n">
        <x:v>25.2</x:v>
      </x:c>
      <x:c r="G2875" s="69" t="n">
        <x:f>IF(COUNT(E2875:F2875)=2,E2875*F2875,"")</x:f>
        <x:v>55717.2</x:v>
      </x:c>
    </x:row>
    <x:row r="2876">
      <x:c r="A2876" s="66" t="n">
        <x:v>20</x:v>
      </x:c>
      <x:c r="B2876" s="44" t="str">
        <x:v>Canola/Rapeseed</x:v>
      </x:c>
      <x:c r="C2876" s="44" t="str">
        <x:v>BY 6214TF</x:v>
      </x:c>
      <x:c r="D2876" s="66" t="n">
        <x:v>2025</x:v>
      </x:c>
      <x:c r="E2876" s="67" t="n">
        <x:v>641</x:v>
      </x:c>
      <x:c r="F2876" s="68" t="n">
        <x:v>47.5</x:v>
      </x:c>
      <x:c r="G2876" s="69" t="n">
        <x:f>IF(COUNT(E2876:F2876)=2,E2876*F2876,"")</x:f>
        <x:v>30447.5</x:v>
      </x:c>
    </x:row>
    <x:row r="2877">
      <x:c r="A2877" s="66" t="n">
        <x:v>20</x:v>
      </x:c>
      <x:c r="B2877" s="44" t="str">
        <x:v>Canola/Rapeseed</x:v>
      </x:c>
      <x:c r="C2877" s="44" t="str">
        <x:v>BY 6217TF</x:v>
      </x:c>
      <x:c r="D2877" s="66" t="n">
        <x:v>2021</x:v>
      </x:c>
      <x:c r="E2877" s="67"/>
      <x:c r="F2877" s="68"/>
      <x:c r="G2877" s="69" t="str">
        <x:f>IF(COUNT(E2877:F2877)=2,E2877*F2877,"")</x:f>
      </x:c>
    </x:row>
    <x:row r="2878">
      <x:c r="A2878" s="66" t="n">
        <x:v>20</x:v>
      </x:c>
      <x:c r="B2878" s="44" t="str">
        <x:v>Canola/Rapeseed</x:v>
      </x:c>
      <x:c r="C2878" s="44" t="str">
        <x:v>BY 6217TF</x:v>
      </x:c>
      <x:c r="D2878" s="66" t="n">
        <x:v>2022</x:v>
      </x:c>
      <x:c r="E2878" s="67"/>
      <x:c r="F2878" s="68"/>
      <x:c r="G2878" s="69" t="str">
        <x:f>IF(COUNT(E2878:F2878)=2,E2878*F2878,"")</x:f>
      </x:c>
    </x:row>
    <x:row r="2879">
      <x:c r="A2879" s="66" t="n">
        <x:v>20</x:v>
      </x:c>
      <x:c r="B2879" s="44" t="str">
        <x:v>Canola/Rapeseed</x:v>
      </x:c>
      <x:c r="C2879" s="44" t="str">
        <x:v>BY 6217TF</x:v>
      </x:c>
      <x:c r="D2879" s="66" t="n">
        <x:v>2023</x:v>
      </x:c>
      <x:c r="E2879" s="67" t="n">
        <x:v>3759</x:v>
      </x:c>
      <x:c r="F2879" s="68" t="n">
        <x:v>43.7</x:v>
      </x:c>
      <x:c r="G2879" s="69" t="n">
        <x:f>IF(COUNT(E2879:F2879)=2,E2879*F2879,"")</x:f>
        <x:v>164268.30000000002</x:v>
      </x:c>
    </x:row>
    <x:row r="2880">
      <x:c r="A2880" s="66" t="n">
        <x:v>20</x:v>
      </x:c>
      <x:c r="B2880" s="44" t="str">
        <x:v>Canola/Rapeseed</x:v>
      </x:c>
      <x:c r="C2880" s="44" t="str">
        <x:v>BY 6217TF</x:v>
      </x:c>
      <x:c r="D2880" s="66" t="n">
        <x:v>2024</x:v>
      </x:c>
      <x:c r="E2880" s="67"/>
      <x:c r="F2880" s="68"/>
      <x:c r="G2880" s="69" t="str">
        <x:f>IF(COUNT(E2880:F2880)=2,E2880*F2880,"")</x:f>
      </x:c>
    </x:row>
    <x:row r="2881">
      <x:c r="A2881" s="66" t="n">
        <x:v>20</x:v>
      </x:c>
      <x:c r="B2881" s="44" t="str">
        <x:v>Canola/Rapeseed</x:v>
      </x:c>
      <x:c r="C2881" s="44" t="str">
        <x:v>BY 6217TF</x:v>
      </x:c>
      <x:c r="D2881" s="66" t="n">
        <x:v>2025</x:v>
      </x:c>
      <x:c r="E2881" s="67" t="n">
        <x:v>525</x:v>
      </x:c>
      <x:c r="F2881" s="68" t="n">
        <x:v>45.3</x:v>
      </x:c>
      <x:c r="G2881" s="69" t="n">
        <x:f>IF(COUNT(E2881:F2881)=2,E2881*F2881,"")</x:f>
        <x:v>23782.5</x:v>
      </x:c>
    </x:row>
    <x:row r="2882">
      <x:c r="A2882" s="66" t="n">
        <x:v>20</x:v>
      </x:c>
      <x:c r="B2882" s="44" t="str">
        <x:v>Canola/Rapeseed</x:v>
      </x:c>
      <x:c r="C2882" s="44" t="str">
        <x:v>BY 7204LL</x:v>
      </x:c>
      <x:c r="D2882" s="66" t="n">
        <x:v>2021</x:v>
      </x:c>
      <x:c r="E2882" s="67"/>
      <x:c r="F2882" s="68"/>
      <x:c r="G2882" s="69" t="str">
        <x:f>IF(COUNT(E2882:F2882)=2,E2882*F2882,"")</x:f>
      </x:c>
    </x:row>
    <x:row r="2883">
      <x:c r="A2883" s="66" t="n">
        <x:v>20</x:v>
      </x:c>
      <x:c r="B2883" s="44" t="str">
        <x:v>Canola/Rapeseed</x:v>
      </x:c>
      <x:c r="C2883" s="44" t="str">
        <x:v>BY 7204LL</x:v>
      </x:c>
      <x:c r="D2883" s="66" t="n">
        <x:v>2022</x:v>
      </x:c>
      <x:c r="E2883" s="67"/>
      <x:c r="F2883" s="68"/>
      <x:c r="G2883" s="69" t="str">
        <x:f>IF(COUNT(E2883:F2883)=2,E2883*F2883,"")</x:f>
      </x:c>
    </x:row>
    <x:row r="2884">
      <x:c r="A2884" s="66" t="n">
        <x:v>20</x:v>
      </x:c>
      <x:c r="B2884" s="44" t="str">
        <x:v>Canola/Rapeseed</x:v>
      </x:c>
      <x:c r="C2884" s="44" t="str">
        <x:v>BY 7204LL</x:v>
      </x:c>
      <x:c r="D2884" s="66" t="n">
        <x:v>2023</x:v>
      </x:c>
      <x:c r="E2884" s="67"/>
      <x:c r="F2884" s="68"/>
      <x:c r="G2884" s="69" t="str">
        <x:f>IF(COUNT(E2884:F2884)=2,E2884*F2884,"")</x:f>
      </x:c>
    </x:row>
    <x:row r="2885">
      <x:c r="A2885" s="66" t="n">
        <x:v>20</x:v>
      </x:c>
      <x:c r="B2885" s="44" t="str">
        <x:v>Canola/Rapeseed</x:v>
      </x:c>
      <x:c r="C2885" s="44" t="str">
        <x:v>BY 7204LL</x:v>
      </x:c>
      <x:c r="D2885" s="66" t="n">
        <x:v>2024</x:v>
      </x:c>
      <x:c r="E2885" s="67" t="n">
        <x:v>4633</x:v>
      </x:c>
      <x:c r="F2885" s="68" t="n">
        <x:v>35.8</x:v>
      </x:c>
      <x:c r="G2885" s="69" t="n">
        <x:f>IF(COUNT(E2885:F2885)=2,E2885*F2885,"")</x:f>
        <x:v>165861.4</x:v>
      </x:c>
    </x:row>
    <x:row r="2886">
      <x:c r="A2886" s="66" t="n">
        <x:v>20</x:v>
      </x:c>
      <x:c r="B2886" s="44" t="str">
        <x:v>Canola/Rapeseed</x:v>
      </x:c>
      <x:c r="C2886" s="44" t="str">
        <x:v>BY 7204LL</x:v>
      </x:c>
      <x:c r="D2886" s="66" t="n">
        <x:v>2025</x:v>
      </x:c>
      <x:c r="E2886" s="67" t="n">
        <x:v>13432</x:v>
      </x:c>
      <x:c r="F2886" s="68" t="n">
        <x:v>46.2</x:v>
      </x:c>
      <x:c r="G2886" s="69" t="n">
        <x:f>IF(COUNT(E2886:F2886)=2,E2886*F2886,"")</x:f>
        <x:v>620558.4</x:v>
      </x:c>
    </x:row>
    <x:row r="2887">
      <x:c r="A2887" s="66" t="n">
        <x:v>20</x:v>
      </x:c>
      <x:c r="B2887" s="44" t="str">
        <x:v>Canola/Rapeseed</x:v>
      </x:c>
      <x:c r="C2887" s="44" t="str">
        <x:v>B3019</x:v>
      </x:c>
      <x:c r="D2887" s="66" t="n">
        <x:v>2021</x:v>
      </x:c>
      <x:c r="E2887" s="67"/>
      <x:c r="F2887" s="68"/>
      <x:c r="G2887" s="69" t="str">
        <x:f>IF(COUNT(E2887:F2887)=2,E2887*F2887,"")</x:f>
      </x:c>
    </x:row>
    <x:row r="2888">
      <x:c r="A2888" s="66" t="n">
        <x:v>20</x:v>
      </x:c>
      <x:c r="B2888" s="44" t="str">
        <x:v>Canola/Rapeseed</x:v>
      </x:c>
      <x:c r="C2888" s="44" t="str">
        <x:v>B3019</x:v>
      </x:c>
      <x:c r="D2888" s="66" t="n">
        <x:v>2022</x:v>
      </x:c>
      <x:c r="E2888" s="67"/>
      <x:c r="F2888" s="68"/>
      <x:c r="G2888" s="69" t="str">
        <x:f>IF(COUNT(E2888:F2888)=2,E2888*F2888,"")</x:f>
      </x:c>
    </x:row>
    <x:row r="2889">
      <x:c r="A2889" s="66" t="n">
        <x:v>20</x:v>
      </x:c>
      <x:c r="B2889" s="44" t="str">
        <x:v>Canola/Rapeseed</x:v>
      </x:c>
      <x:c r="C2889" s="44" t="str">
        <x:v>B3019</x:v>
      </x:c>
      <x:c r="D2889" s="66" t="n">
        <x:v>2023</x:v>
      </x:c>
      <x:c r="E2889" s="67"/>
      <x:c r="F2889" s="68"/>
      <x:c r="G2889" s="69" t="str">
        <x:f>IF(COUNT(E2889:F2889)=2,E2889*F2889,"")</x:f>
      </x:c>
    </x:row>
    <x:row r="2890">
      <x:c r="A2890" s="66" t="n">
        <x:v>20</x:v>
      </x:c>
      <x:c r="B2890" s="44" t="str">
        <x:v>Canola/Rapeseed</x:v>
      </x:c>
      <x:c r="C2890" s="44" t="str">
        <x:v>B3019</x:v>
      </x:c>
      <x:c r="D2890" s="66" t="n">
        <x:v>2024</x:v>
      </x:c>
      <x:c r="E2890" s="67"/>
      <x:c r="F2890" s="68"/>
      <x:c r="G2890" s="69" t="str">
        <x:f>IF(COUNT(E2890:F2890)=2,E2890*F2890,"")</x:f>
      </x:c>
    </x:row>
    <x:row r="2891">
      <x:c r="A2891" s="66" t="n">
        <x:v>20</x:v>
      </x:c>
      <x:c r="B2891" s="44" t="str">
        <x:v>Canola/Rapeseed</x:v>
      </x:c>
      <x:c r="C2891" s="44" t="str">
        <x:v>B3019</x:v>
      </x:c>
      <x:c r="D2891" s="66" t="n">
        <x:v>2025</x:v>
      </x:c>
      <x:c r="E2891" s="67" t="n">
        <x:v>701</x:v>
      </x:c>
      <x:c r="F2891" s="68" t="n">
        <x:v>32.1</x:v>
      </x:c>
      <x:c r="G2891" s="69" t="n">
        <x:f>IF(COUNT(E2891:F2891)=2,E2891*F2891,"")</x:f>
        <x:v>22502.100000000002</x:v>
      </x:c>
    </x:row>
    <x:row r="2892">
      <x:c r="A2892" s="66" t="n">
        <x:v>20</x:v>
      </x:c>
      <x:c r="B2892" s="44" t="str">
        <x:v>Canola/Rapeseed</x:v>
      </x:c>
      <x:c r="C2892" s="44" t="str">
        <x:v>B3020</x:v>
      </x:c>
      <x:c r="D2892" s="66" t="n">
        <x:v>2021</x:v>
      </x:c>
      <x:c r="E2892" s="67"/>
      <x:c r="F2892" s="68"/>
      <x:c r="G2892" s="69" t="str">
        <x:f>IF(COUNT(E2892:F2892)=2,E2892*F2892,"")</x:f>
      </x:c>
    </x:row>
    <x:row r="2893">
      <x:c r="A2893" s="66" t="n">
        <x:v>20</x:v>
      </x:c>
      <x:c r="B2893" s="44" t="str">
        <x:v>Canola/Rapeseed</x:v>
      </x:c>
      <x:c r="C2893" s="44" t="str">
        <x:v>B3020</x:v>
      </x:c>
      <x:c r="D2893" s="66" t="n">
        <x:v>2022</x:v>
      </x:c>
      <x:c r="E2893" s="67"/>
      <x:c r="F2893" s="68"/>
      <x:c r="G2893" s="69" t="str">
        <x:f>IF(COUNT(E2893:F2893)=2,E2893*F2893,"")</x:f>
      </x:c>
    </x:row>
    <x:row r="2894">
      <x:c r="A2894" s="66" t="n">
        <x:v>20</x:v>
      </x:c>
      <x:c r="B2894" s="44" t="str">
        <x:v>Canola/Rapeseed</x:v>
      </x:c>
      <x:c r="C2894" s="44" t="str">
        <x:v>B3020</x:v>
      </x:c>
      <x:c r="D2894" s="66" t="n">
        <x:v>2023</x:v>
      </x:c>
      <x:c r="E2894" s="67"/>
      <x:c r="F2894" s="68"/>
      <x:c r="G2894" s="69" t="str">
        <x:f>IF(COUNT(E2894:F2894)=2,E2894*F2894,"")</x:f>
      </x:c>
    </x:row>
    <x:row r="2895">
      <x:c r="A2895" s="66" t="n">
        <x:v>20</x:v>
      </x:c>
      <x:c r="B2895" s="44" t="str">
        <x:v>Canola/Rapeseed</x:v>
      </x:c>
      <x:c r="C2895" s="44" t="str">
        <x:v>B3020</x:v>
      </x:c>
      <x:c r="D2895" s="66" t="n">
        <x:v>2024</x:v>
      </x:c>
      <x:c r="E2895" s="67"/>
      <x:c r="F2895" s="68"/>
      <x:c r="G2895" s="69" t="str">
        <x:f>IF(COUNT(E2895:F2895)=2,E2895*F2895,"")</x:f>
      </x:c>
    </x:row>
    <x:row r="2896">
      <x:c r="A2896" s="66" t="n">
        <x:v>20</x:v>
      </x:c>
      <x:c r="B2896" s="44" t="str">
        <x:v>Canola/Rapeseed</x:v>
      </x:c>
      <x:c r="C2896" s="44" t="str">
        <x:v>B3020</x:v>
      </x:c>
      <x:c r="D2896" s="66" t="n">
        <x:v>2025</x:v>
      </x:c>
      <x:c r="E2896" s="67" t="n">
        <x:v>2122</x:v>
      </x:c>
      <x:c r="F2896" s="68" t="n">
        <x:v>41.8</x:v>
      </x:c>
      <x:c r="G2896" s="69" t="n">
        <x:f>IF(COUNT(E2896:F2896)=2,E2896*F2896,"")</x:f>
        <x:v>88699.59999999999</x:v>
      </x:c>
    </x:row>
    <x:row r="2897">
      <x:c r="A2897" s="66" t="n">
        <x:v>20</x:v>
      </x:c>
      <x:c r="B2897" s="44" t="str">
        <x:v>Canola/Rapeseed</x:v>
      </x:c>
      <x:c r="C2897" s="44" t="str">
        <x:v>CS3000 TF</x:v>
      </x:c>
      <x:c r="D2897" s="66" t="n">
        <x:v>2021</x:v>
      </x:c>
      <x:c r="E2897" s="67"/>
      <x:c r="F2897" s="68"/>
      <x:c r="G2897" s="69" t="str">
        <x:f>IF(COUNT(E2897:F2897)=2,E2897*F2897,"")</x:f>
      </x:c>
    </x:row>
    <x:row r="2898">
      <x:c r="A2898" s="66" t="n">
        <x:v>20</x:v>
      </x:c>
      <x:c r="B2898" s="44" t="str">
        <x:v>Canola/Rapeseed</x:v>
      </x:c>
      <x:c r="C2898" s="44" t="str">
        <x:v>CS3000 TF</x:v>
      </x:c>
      <x:c r="D2898" s="66" t="n">
        <x:v>2022</x:v>
      </x:c>
      <x:c r="E2898" s="67"/>
      <x:c r="F2898" s="68"/>
      <x:c r="G2898" s="69" t="str">
        <x:f>IF(COUNT(E2898:F2898)=2,E2898*F2898,"")</x:f>
      </x:c>
    </x:row>
    <x:row r="2899">
      <x:c r="A2899" s="66" t="n">
        <x:v>20</x:v>
      </x:c>
      <x:c r="B2899" s="44" t="str">
        <x:v>Canola/Rapeseed</x:v>
      </x:c>
      <x:c r="C2899" s="44" t="str">
        <x:v>CS3000 TF</x:v>
      </x:c>
      <x:c r="D2899" s="66" t="n">
        <x:v>2023</x:v>
      </x:c>
      <x:c r="E2899" s="67" t="n">
        <x:v>713</x:v>
      </x:c>
      <x:c r="F2899" s="68" t="n">
        <x:v>40.6</x:v>
      </x:c>
      <x:c r="G2899" s="69" t="n">
        <x:f>IF(COUNT(E2899:F2899)=2,E2899*F2899,"")</x:f>
        <x:v>28947.8</x:v>
      </x:c>
    </x:row>
    <x:row r="2900">
      <x:c r="A2900" s="66" t="n">
        <x:v>20</x:v>
      </x:c>
      <x:c r="B2900" s="44" t="str">
        <x:v>Canola/Rapeseed</x:v>
      </x:c>
      <x:c r="C2900" s="44" t="str">
        <x:v>CS3000 TF</x:v>
      </x:c>
      <x:c r="D2900" s="66" t="n">
        <x:v>2024</x:v>
      </x:c>
      <x:c r="E2900" s="67"/>
      <x:c r="F2900" s="68"/>
      <x:c r="G2900" s="69" t="str">
        <x:f>IF(COUNT(E2900:F2900)=2,E2900*F2900,"")</x:f>
      </x:c>
    </x:row>
    <x:row r="2901">
      <x:c r="A2901" s="66" t="n">
        <x:v>20</x:v>
      </x:c>
      <x:c r="B2901" s="44" t="str">
        <x:v>Canola/Rapeseed</x:v>
      </x:c>
      <x:c r="C2901" s="44" t="str">
        <x:v>CS3000 TF</x:v>
      </x:c>
      <x:c r="D2901" s="66" t="n">
        <x:v>2025</x:v>
      </x:c>
      <x:c r="E2901" s="67" t="n">
        <x:v>447</x:v>
      </x:c>
      <x:c r="F2901" s="68" t="n">
        <x:v>49.7</x:v>
      </x:c>
      <x:c r="G2901" s="69" t="n">
        <x:f>IF(COUNT(E2901:F2901)=2,E2901*F2901,"")</x:f>
        <x:v>22215.9</x:v>
      </x:c>
    </x:row>
    <x:row r="2902">
      <x:c r="A2902" s="66" t="n">
        <x:v>20</x:v>
      </x:c>
      <x:c r="B2902" s="44" t="str">
        <x:v>Canola/Rapeseed</x:v>
      </x:c>
      <x:c r="C2902" s="44" t="str">
        <x:v>CS3300 TF</x:v>
      </x:c>
      <x:c r="D2902" s="66" t="n">
        <x:v>2021</x:v>
      </x:c>
      <x:c r="E2902" s="67"/>
      <x:c r="F2902" s="68"/>
      <x:c r="G2902" s="69" t="str">
        <x:f>IF(COUNT(E2902:F2902)=2,E2902*F2902,"")</x:f>
      </x:c>
    </x:row>
    <x:row r="2903">
      <x:c r="A2903" s="66" t="n">
        <x:v>20</x:v>
      </x:c>
      <x:c r="B2903" s="44" t="str">
        <x:v>Canola/Rapeseed</x:v>
      </x:c>
      <x:c r="C2903" s="44" t="str">
        <x:v>CS3300 TF</x:v>
      </x:c>
      <x:c r="D2903" s="66" t="n">
        <x:v>2022</x:v>
      </x:c>
      <x:c r="E2903" s="67"/>
      <x:c r="F2903" s="68"/>
      <x:c r="G2903" s="69" t="str">
        <x:f>IF(COUNT(E2903:F2903)=2,E2903*F2903,"")</x:f>
      </x:c>
    </x:row>
    <x:row r="2904">
      <x:c r="A2904" s="66" t="n">
        <x:v>20</x:v>
      </x:c>
      <x:c r="B2904" s="44" t="str">
        <x:v>Canola/Rapeseed</x:v>
      </x:c>
      <x:c r="C2904" s="44" t="str">
        <x:v>CS3300 TF</x:v>
      </x:c>
      <x:c r="D2904" s="66" t="n">
        <x:v>2023</x:v>
      </x:c>
      <x:c r="E2904" s="67"/>
      <x:c r="F2904" s="68"/>
      <x:c r="G2904" s="69" t="str">
        <x:f>IF(COUNT(E2904:F2904)=2,E2904*F2904,"")</x:f>
      </x:c>
    </x:row>
    <x:row r="2905">
      <x:c r="A2905" s="66" t="n">
        <x:v>20</x:v>
      </x:c>
      <x:c r="B2905" s="44" t="str">
        <x:v>Canola/Rapeseed</x:v>
      </x:c>
      <x:c r="C2905" s="44" t="str">
        <x:v>CS3300 TF</x:v>
      </x:c>
      <x:c r="D2905" s="66" t="n">
        <x:v>2024</x:v>
      </x:c>
      <x:c r="E2905" s="67"/>
      <x:c r="F2905" s="68"/>
      <x:c r="G2905" s="69" t="str">
        <x:f>IF(COUNT(E2905:F2905)=2,E2905*F2905,"")</x:f>
      </x:c>
    </x:row>
    <x:row r="2906">
      <x:c r="A2906" s="66" t="n">
        <x:v>20</x:v>
      </x:c>
      <x:c r="B2906" s="44" t="str">
        <x:v>Canola/Rapeseed</x:v>
      </x:c>
      <x:c r="C2906" s="44" t="str">
        <x:v>CS3300 TF</x:v>
      </x:c>
      <x:c r="D2906" s="66" t="n">
        <x:v>2025</x:v>
      </x:c>
      <x:c r="E2906" s="67" t="n">
        <x:v>1752</x:v>
      </x:c>
      <x:c r="F2906" s="68" t="n">
        <x:v>50.6</x:v>
      </x:c>
      <x:c r="G2906" s="69" t="n">
        <x:f>IF(COUNT(E2906:F2906)=2,E2906*F2906,"")</x:f>
        <x:v>88651.2</x:v>
      </x:c>
    </x:row>
    <x:row r="2907">
      <x:c r="A2907" s="66" t="n">
        <x:v>20</x:v>
      </x:c>
      <x:c r="B2907" s="44" t="str">
        <x:v>Canola/Rapeseed</x:v>
      </x:c>
      <x:c r="C2907" s="44" t="str">
        <x:v>CS4000 LL</x:v>
      </x:c>
      <x:c r="D2907" s="66" t="n">
        <x:v>2021</x:v>
      </x:c>
      <x:c r="E2907" s="67"/>
      <x:c r="F2907" s="68"/>
      <x:c r="G2907" s="69" t="str">
        <x:f>IF(COUNT(E2907:F2907)=2,E2907*F2907,"")</x:f>
      </x:c>
    </x:row>
    <x:row r="2908">
      <x:c r="A2908" s="66" t="n">
        <x:v>20</x:v>
      </x:c>
      <x:c r="B2908" s="44" t="str">
        <x:v>Canola/Rapeseed</x:v>
      </x:c>
      <x:c r="C2908" s="44" t="str">
        <x:v>CS4000 LL</x:v>
      </x:c>
      <x:c r="D2908" s="66" t="n">
        <x:v>2022</x:v>
      </x:c>
      <x:c r="E2908" s="67" t="n">
        <x:v>2763</x:v>
      </x:c>
      <x:c r="F2908" s="68" t="n">
        <x:v>49.4</x:v>
      </x:c>
      <x:c r="G2908" s="69" t="n">
        <x:f>IF(COUNT(E2908:F2908)=2,E2908*F2908,"")</x:f>
        <x:v>136492.19999999998</x:v>
      </x:c>
    </x:row>
    <x:row r="2909">
      <x:c r="A2909" s="66" t="n">
        <x:v>20</x:v>
      </x:c>
      <x:c r="B2909" s="44" t="str">
        <x:v>Canola/Rapeseed</x:v>
      </x:c>
      <x:c r="C2909" s="44" t="str">
        <x:v>CS4000 LL</x:v>
      </x:c>
      <x:c r="D2909" s="66" t="n">
        <x:v>2023</x:v>
      </x:c>
      <x:c r="E2909" s="67" t="n">
        <x:v>7308</x:v>
      </x:c>
      <x:c r="F2909" s="68" t="n">
        <x:v>42.1</x:v>
      </x:c>
      <x:c r="G2909" s="69" t="n">
        <x:f>IF(COUNT(E2909:F2909)=2,E2909*F2909,"")</x:f>
        <x:v>307666.8</x:v>
      </x:c>
    </x:row>
    <x:row r="2910">
      <x:c r="A2910" s="66" t="n">
        <x:v>20</x:v>
      </x:c>
      <x:c r="B2910" s="44" t="str">
        <x:v>Canola/Rapeseed</x:v>
      </x:c>
      <x:c r="C2910" s="44" t="str">
        <x:v>CS4000 LL</x:v>
      </x:c>
      <x:c r="D2910" s="66" t="n">
        <x:v>2024</x:v>
      </x:c>
      <x:c r="E2910" s="67" t="n">
        <x:v>10867</x:v>
      </x:c>
      <x:c r="F2910" s="68" t="n">
        <x:v>34</x:v>
      </x:c>
      <x:c r="G2910" s="69" t="n">
        <x:f>IF(COUNT(E2910:F2910)=2,E2910*F2910,"")</x:f>
        <x:v>369478</x:v>
      </x:c>
    </x:row>
    <x:row r="2911">
      <x:c r="A2911" s="66" t="n">
        <x:v>20</x:v>
      </x:c>
      <x:c r="B2911" s="44" t="str">
        <x:v>Canola/Rapeseed</x:v>
      </x:c>
      <x:c r="C2911" s="44" t="str">
        <x:v>CS4000 LL</x:v>
      </x:c>
      <x:c r="D2911" s="66" t="n">
        <x:v>2025</x:v>
      </x:c>
      <x:c r="E2911" s="67" t="n">
        <x:v>5916</x:v>
      </x:c>
      <x:c r="F2911" s="68" t="n">
        <x:v>45.1</x:v>
      </x:c>
      <x:c r="G2911" s="69" t="n">
        <x:f>IF(COUNT(E2911:F2911)=2,E2911*F2911,"")</x:f>
        <x:v>266811.60000000003</x:v>
      </x:c>
    </x:row>
    <x:row r="2912">
      <x:c r="A2912" s="66" t="n">
        <x:v>20</x:v>
      </x:c>
      <x:c r="B2912" s="44" t="str">
        <x:v>Canola/Rapeseed</x:v>
      </x:c>
      <x:c r="C2912" s="44" t="str">
        <x:v>CS4100 LL</x:v>
      </x:c>
      <x:c r="D2912" s="66" t="n">
        <x:v>2021</x:v>
      </x:c>
      <x:c r="E2912" s="67"/>
      <x:c r="F2912" s="68"/>
      <x:c r="G2912" s="69" t="str">
        <x:f>IF(COUNT(E2912:F2912)=2,E2912*F2912,"")</x:f>
      </x:c>
    </x:row>
    <x:row r="2913">
      <x:c r="A2913" s="66" t="n">
        <x:v>20</x:v>
      </x:c>
      <x:c r="B2913" s="44" t="str">
        <x:v>Canola/Rapeseed</x:v>
      </x:c>
      <x:c r="C2913" s="44" t="str">
        <x:v>CS4100 LL</x:v>
      </x:c>
      <x:c r="D2913" s="66" t="n">
        <x:v>2022</x:v>
      </x:c>
      <x:c r="E2913" s="67"/>
      <x:c r="F2913" s="68"/>
      <x:c r="G2913" s="69" t="str">
        <x:f>IF(COUNT(E2913:F2913)=2,E2913*F2913,"")</x:f>
      </x:c>
    </x:row>
    <x:row r="2914">
      <x:c r="A2914" s="66" t="n">
        <x:v>20</x:v>
      </x:c>
      <x:c r="B2914" s="44" t="str">
        <x:v>Canola/Rapeseed</x:v>
      </x:c>
      <x:c r="C2914" s="44" t="str">
        <x:v>CS4100 LL</x:v>
      </x:c>
      <x:c r="D2914" s="66" t="n">
        <x:v>2023</x:v>
      </x:c>
      <x:c r="E2914" s="67"/>
      <x:c r="F2914" s="68"/>
      <x:c r="G2914" s="69" t="str">
        <x:f>IF(COUNT(E2914:F2914)=2,E2914*F2914,"")</x:f>
      </x:c>
    </x:row>
    <x:row r="2915">
      <x:c r="A2915" s="66" t="n">
        <x:v>20</x:v>
      </x:c>
      <x:c r="B2915" s="44" t="str">
        <x:v>Canola/Rapeseed</x:v>
      </x:c>
      <x:c r="C2915" s="44" t="str">
        <x:v>CS4100 LL</x:v>
      </x:c>
      <x:c r="D2915" s="66" t="n">
        <x:v>2024</x:v>
      </x:c>
      <x:c r="E2915" s="67"/>
      <x:c r="F2915" s="68"/>
      <x:c r="G2915" s="69" t="str">
        <x:f>IF(COUNT(E2915:F2915)=2,E2915*F2915,"")</x:f>
      </x:c>
    </x:row>
    <x:row r="2916">
      <x:c r="A2916" s="66" t="n">
        <x:v>20</x:v>
      </x:c>
      <x:c r="B2916" s="44" t="str">
        <x:v>Canola/Rapeseed</x:v>
      </x:c>
      <x:c r="C2916" s="44" t="str">
        <x:v>CS4100 LL</x:v>
      </x:c>
      <x:c r="D2916" s="66" t="n">
        <x:v>2025</x:v>
      </x:c>
      <x:c r="E2916" s="67" t="n">
        <x:v>4379</x:v>
      </x:c>
      <x:c r="F2916" s="68" t="n">
        <x:v>45</x:v>
      </x:c>
      <x:c r="G2916" s="69" t="n">
        <x:f>IF(COUNT(E2916:F2916)=2,E2916*F2916,"")</x:f>
        <x:v>197055</x:v>
      </x:c>
    </x:row>
    <x:row r="2917">
      <x:c r="A2917" s="66" t="n">
        <x:v>20</x:v>
      </x:c>
      <x:c r="B2917" s="44" t="str">
        <x:v>Canola/Rapeseed</x:v>
      </x:c>
      <x:c r="C2917" s="44" t="str">
        <x:v>DK 801 LL</x:v>
      </x:c>
      <x:c r="D2917" s="66" t="n">
        <x:v>2021</x:v>
      </x:c>
      <x:c r="E2917" s="67"/>
      <x:c r="F2917" s="68"/>
      <x:c r="G2917" s="69" t="str">
        <x:f>IF(COUNT(E2917:F2917)=2,E2917*F2917,"")</x:f>
      </x:c>
    </x:row>
    <x:row r="2918">
      <x:c r="A2918" s="66" t="n">
        <x:v>20</x:v>
      </x:c>
      <x:c r="B2918" s="44" t="str">
        <x:v>Canola/Rapeseed</x:v>
      </x:c>
      <x:c r="C2918" s="44" t="str">
        <x:v>DK 801 LL</x:v>
      </x:c>
      <x:c r="D2918" s="66" t="n">
        <x:v>2022</x:v>
      </x:c>
      <x:c r="E2918" s="67"/>
      <x:c r="F2918" s="68"/>
      <x:c r="G2918" s="69" t="str">
        <x:f>IF(COUNT(E2918:F2918)=2,E2918*F2918,"")</x:f>
      </x:c>
    </x:row>
    <x:row r="2919">
      <x:c r="A2919" s="66" t="n">
        <x:v>20</x:v>
      </x:c>
      <x:c r="B2919" s="44" t="str">
        <x:v>Canola/Rapeseed</x:v>
      </x:c>
      <x:c r="C2919" s="44" t="str">
        <x:v>DK 801 LL</x:v>
      </x:c>
      <x:c r="D2919" s="66" t="n">
        <x:v>2023</x:v>
      </x:c>
      <x:c r="E2919" s="67"/>
      <x:c r="F2919" s="68"/>
      <x:c r="G2919" s="69" t="str">
        <x:f>IF(COUNT(E2919:F2919)=2,E2919*F2919,"")</x:f>
      </x:c>
    </x:row>
    <x:row r="2920">
      <x:c r="A2920" s="66" t="n">
        <x:v>20</x:v>
      </x:c>
      <x:c r="B2920" s="44" t="str">
        <x:v>Canola/Rapeseed</x:v>
      </x:c>
      <x:c r="C2920" s="44" t="str">
        <x:v>DK 801 LL</x:v>
      </x:c>
      <x:c r="D2920" s="66" t="n">
        <x:v>2024</x:v>
      </x:c>
      <x:c r="E2920" s="67"/>
      <x:c r="F2920" s="68"/>
      <x:c r="G2920" s="69" t="str">
        <x:f>IF(COUNT(E2920:F2920)=2,E2920*F2920,"")</x:f>
      </x:c>
    </x:row>
    <x:row r="2921">
      <x:c r="A2921" s="66" t="n">
        <x:v>20</x:v>
      </x:c>
      <x:c r="B2921" s="44" t="str">
        <x:v>Canola/Rapeseed</x:v>
      </x:c>
      <x:c r="C2921" s="44" t="str">
        <x:v>DK 801 LL</x:v>
      </x:c>
      <x:c r="D2921" s="66" t="n">
        <x:v>2025</x:v>
      </x:c>
      <x:c r="E2921" s="67" t="n">
        <x:v>10658</x:v>
      </x:c>
      <x:c r="F2921" s="68" t="n">
        <x:v>52.6</x:v>
      </x:c>
      <x:c r="G2921" s="69" t="n">
        <x:f>IF(COUNT(E2921:F2921)=2,E2921*F2921,"")</x:f>
        <x:v>560610.8</x:v>
      </x:c>
    </x:row>
    <x:row r="2922">
      <x:c r="A2922" s="66" t="n">
        <x:v>20</x:v>
      </x:c>
      <x:c r="B2922" s="44" t="str">
        <x:v>Canola/Rapeseed</x:v>
      </x:c>
      <x:c r="C2922" s="44" t="str">
        <x:v>DK400TL</x:v>
      </x:c>
      <x:c r="D2922" s="66" t="n">
        <x:v>2021</x:v>
      </x:c>
      <x:c r="E2922" s="67"/>
      <x:c r="F2922" s="68"/>
      <x:c r="G2922" s="69" t="str">
        <x:f>IF(COUNT(E2922:F2922)=2,E2922*F2922,"")</x:f>
      </x:c>
    </x:row>
    <x:row r="2923">
      <x:c r="A2923" s="66" t="n">
        <x:v>20</x:v>
      </x:c>
      <x:c r="B2923" s="44" t="str">
        <x:v>Canola/Rapeseed</x:v>
      </x:c>
      <x:c r="C2923" s="44" t="str">
        <x:v>DK400TL</x:v>
      </x:c>
      <x:c r="D2923" s="66" t="n">
        <x:v>2022</x:v>
      </x:c>
      <x:c r="E2923" s="67"/>
      <x:c r="F2923" s="68"/>
      <x:c r="G2923" s="69" t="str">
        <x:f>IF(COUNT(E2923:F2923)=2,E2923*F2923,"")</x:f>
      </x:c>
    </x:row>
    <x:row r="2924">
      <x:c r="A2924" s="66" t="n">
        <x:v>20</x:v>
      </x:c>
      <x:c r="B2924" s="44" t="str">
        <x:v>Canola/Rapeseed</x:v>
      </x:c>
      <x:c r="C2924" s="44" t="str">
        <x:v>DK400TL</x:v>
      </x:c>
      <x:c r="D2924" s="66" t="n">
        <x:v>2023</x:v>
      </x:c>
      <x:c r="E2924" s="67"/>
      <x:c r="F2924" s="68"/>
      <x:c r="G2924" s="69" t="str">
        <x:f>IF(COUNT(E2924:F2924)=2,E2924*F2924,"")</x:f>
      </x:c>
    </x:row>
    <x:row r="2925">
      <x:c r="A2925" s="66" t="n">
        <x:v>20</x:v>
      </x:c>
      <x:c r="B2925" s="44" t="str">
        <x:v>Canola/Rapeseed</x:v>
      </x:c>
      <x:c r="C2925" s="44" t="str">
        <x:v>DK400TL</x:v>
      </x:c>
      <x:c r="D2925" s="66" t="n">
        <x:v>2024</x:v>
      </x:c>
      <x:c r="E2925" s="67" t="n">
        <x:v>3572</x:v>
      </x:c>
      <x:c r="F2925" s="68" t="n">
        <x:v>37.1</x:v>
      </x:c>
      <x:c r="G2925" s="69" t="n">
        <x:f>IF(COUNT(E2925:F2925)=2,E2925*F2925,"")</x:f>
        <x:v>132521.2</x:v>
      </x:c>
    </x:row>
    <x:row r="2926">
      <x:c r="A2926" s="66" t="n">
        <x:v>20</x:v>
      </x:c>
      <x:c r="B2926" s="44" t="str">
        <x:v>Canola/Rapeseed</x:v>
      </x:c>
      <x:c r="C2926" s="44" t="str">
        <x:v>DK400TL</x:v>
      </x:c>
      <x:c r="D2926" s="66" t="n">
        <x:v>2025</x:v>
      </x:c>
      <x:c r="E2926" s="67" t="n">
        <x:v>1380</x:v>
      </x:c>
      <x:c r="F2926" s="68" t="n">
        <x:v>56.6</x:v>
      </x:c>
      <x:c r="G2926" s="69" t="n">
        <x:f>IF(COUNT(E2926:F2926)=2,E2926*F2926,"")</x:f>
        <x:v>78108</x:v>
      </x:c>
    </x:row>
    <x:row r="2927">
      <x:c r="A2927" s="66" t="n">
        <x:v>20</x:v>
      </x:c>
      <x:c r="B2927" s="44" t="str">
        <x:v>Canola/Rapeseed</x:v>
      </x:c>
      <x:c r="C2927" s="44" t="str">
        <x:v>DK401TK</x:v>
      </x:c>
      <x:c r="D2927" s="66" t="n">
        <x:v>2021</x:v>
      </x:c>
      <x:c r="E2927" s="67"/>
      <x:c r="F2927" s="68"/>
      <x:c r="G2927" s="69" t="str">
        <x:f>IF(COUNT(E2927:F2927)=2,E2927*F2927,"")</x:f>
      </x:c>
    </x:row>
    <x:row r="2928">
      <x:c r="A2928" s="66" t="n">
        <x:v>20</x:v>
      </x:c>
      <x:c r="B2928" s="44" t="str">
        <x:v>Canola/Rapeseed</x:v>
      </x:c>
      <x:c r="C2928" s="44" t="str">
        <x:v>DK401TK</x:v>
      </x:c>
      <x:c r="D2928" s="66" t="n">
        <x:v>2022</x:v>
      </x:c>
      <x:c r="E2928" s="67"/>
      <x:c r="F2928" s="68"/>
      <x:c r="G2928" s="69" t="str">
        <x:f>IF(COUNT(E2928:F2928)=2,E2928*F2928,"")</x:f>
      </x:c>
    </x:row>
    <x:row r="2929">
      <x:c r="A2929" s="66" t="n">
        <x:v>20</x:v>
      </x:c>
      <x:c r="B2929" s="44" t="str">
        <x:v>Canola/Rapeseed</x:v>
      </x:c>
      <x:c r="C2929" s="44" t="str">
        <x:v>DK401TK</x:v>
      </x:c>
      <x:c r="D2929" s="66" t="n">
        <x:v>2023</x:v>
      </x:c>
      <x:c r="E2929" s="67"/>
      <x:c r="F2929" s="68"/>
      <x:c r="G2929" s="69" t="str">
        <x:f>IF(COUNT(E2929:F2929)=2,E2929*F2929,"")</x:f>
      </x:c>
    </x:row>
    <x:row r="2930">
      <x:c r="A2930" s="66" t="n">
        <x:v>20</x:v>
      </x:c>
      <x:c r="B2930" s="44" t="str">
        <x:v>Canola/Rapeseed</x:v>
      </x:c>
      <x:c r="C2930" s="44" t="str">
        <x:v>DK401TK</x:v>
      </x:c>
      <x:c r="D2930" s="66" t="n">
        <x:v>2024</x:v>
      </x:c>
      <x:c r="E2930" s="67"/>
      <x:c r="F2930" s="68"/>
      <x:c r="G2930" s="69" t="str">
        <x:f>IF(COUNT(E2930:F2930)=2,E2930*F2930,"")</x:f>
      </x:c>
    </x:row>
    <x:row r="2931">
      <x:c r="A2931" s="66" t="n">
        <x:v>20</x:v>
      </x:c>
      <x:c r="B2931" s="44" t="str">
        <x:v>Canola/Rapeseed</x:v>
      </x:c>
      <x:c r="C2931" s="44" t="str">
        <x:v>DK401TK</x:v>
      </x:c>
      <x:c r="D2931" s="66" t="n">
        <x:v>2025</x:v>
      </x:c>
      <x:c r="E2931" s="67" t="n">
        <x:v>7003</x:v>
      </x:c>
      <x:c r="F2931" s="68" t="n">
        <x:v>52.4</x:v>
      </x:c>
      <x:c r="G2931" s="69" t="n">
        <x:f>IF(COUNT(E2931:F2931)=2,E2931*F2931,"")</x:f>
        <x:v>366957.2</x:v>
      </x:c>
    </x:row>
    <x:row r="2932">
      <x:c r="A2932" s="66" t="n">
        <x:v>20</x:v>
      </x:c>
      <x:c r="B2932" s="44" t="str">
        <x:v>Canola/Rapeseed</x:v>
      </x:c>
      <x:c r="C2932" s="44" t="str">
        <x:v>DK401TL</x:v>
      </x:c>
      <x:c r="D2932" s="66" t="n">
        <x:v>2021</x:v>
      </x:c>
      <x:c r="E2932" s="67"/>
      <x:c r="F2932" s="68"/>
      <x:c r="G2932" s="69" t="str">
        <x:f>IF(COUNT(E2932:F2932)=2,E2932*F2932,"")</x:f>
      </x:c>
    </x:row>
    <x:row r="2933">
      <x:c r="A2933" s="66" t="n">
        <x:v>20</x:v>
      </x:c>
      <x:c r="B2933" s="44" t="str">
        <x:v>Canola/Rapeseed</x:v>
      </x:c>
      <x:c r="C2933" s="44" t="str">
        <x:v>DK401TL</x:v>
      </x:c>
      <x:c r="D2933" s="66" t="n">
        <x:v>2022</x:v>
      </x:c>
      <x:c r="E2933" s="67"/>
      <x:c r="F2933" s="68"/>
      <x:c r="G2933" s="69" t="str">
        <x:f>IF(COUNT(E2933:F2933)=2,E2933*F2933,"")</x:f>
      </x:c>
    </x:row>
    <x:row r="2934">
      <x:c r="A2934" s="66" t="n">
        <x:v>20</x:v>
      </x:c>
      <x:c r="B2934" s="44" t="str">
        <x:v>Canola/Rapeseed</x:v>
      </x:c>
      <x:c r="C2934" s="44" t="str">
        <x:v>DK401TL</x:v>
      </x:c>
      <x:c r="D2934" s="66" t="n">
        <x:v>2023</x:v>
      </x:c>
      <x:c r="E2934" s="67"/>
      <x:c r="F2934" s="68"/>
      <x:c r="G2934" s="69" t="str">
        <x:f>IF(COUNT(E2934:F2934)=2,E2934*F2934,"")</x:f>
      </x:c>
    </x:row>
    <x:row r="2935">
      <x:c r="A2935" s="66" t="n">
        <x:v>20</x:v>
      </x:c>
      <x:c r="B2935" s="44" t="str">
        <x:v>Canola/Rapeseed</x:v>
      </x:c>
      <x:c r="C2935" s="44" t="str">
        <x:v>DK401TL</x:v>
      </x:c>
      <x:c r="D2935" s="66" t="n">
        <x:v>2024</x:v>
      </x:c>
      <x:c r="E2935" s="67"/>
      <x:c r="F2935" s="68"/>
      <x:c r="G2935" s="69" t="str">
        <x:f>IF(COUNT(E2935:F2935)=2,E2935*F2935,"")</x:f>
      </x:c>
    </x:row>
    <x:row r="2936">
      <x:c r="A2936" s="66" t="n">
        <x:v>20</x:v>
      </x:c>
      <x:c r="B2936" s="44" t="str">
        <x:v>Canola/Rapeseed</x:v>
      </x:c>
      <x:c r="C2936" s="44" t="str">
        <x:v>DK401TL</x:v>
      </x:c>
      <x:c r="D2936" s="66" t="n">
        <x:v>2025</x:v>
      </x:c>
      <x:c r="E2936" s="67" t="n">
        <x:v>3625</x:v>
      </x:c>
      <x:c r="F2936" s="68" t="n">
        <x:v>48.5</x:v>
      </x:c>
      <x:c r="G2936" s="69" t="n">
        <x:f>IF(COUNT(E2936:F2936)=2,E2936*F2936,"")</x:f>
        <x:v>175812.5</x:v>
      </x:c>
    </x:row>
    <x:row r="2937">
      <x:c r="A2937" s="66" t="n">
        <x:v>20</x:v>
      </x:c>
      <x:c r="B2937" s="44" t="str">
        <x:v>Canola/Rapeseed</x:v>
      </x:c>
      <x:c r="C2937" s="44" t="str">
        <x:v>DK800LL</x:v>
      </x:c>
      <x:c r="D2937" s="66" t="n">
        <x:v>2021</x:v>
      </x:c>
      <x:c r="E2937" s="67"/>
      <x:c r="F2937" s="68"/>
      <x:c r="G2937" s="69" t="str">
        <x:f>IF(COUNT(E2937:F2937)=2,E2937*F2937,"")</x:f>
      </x:c>
    </x:row>
    <x:row r="2938">
      <x:c r="A2938" s="66" t="n">
        <x:v>20</x:v>
      </x:c>
      <x:c r="B2938" s="44" t="str">
        <x:v>Canola/Rapeseed</x:v>
      </x:c>
      <x:c r="C2938" s="44" t="str">
        <x:v>DK800LL</x:v>
      </x:c>
      <x:c r="D2938" s="66" t="n">
        <x:v>2022</x:v>
      </x:c>
      <x:c r="E2938" s="67"/>
      <x:c r="F2938" s="68"/>
      <x:c r="G2938" s="69" t="str">
        <x:f>IF(COUNT(E2938:F2938)=2,E2938*F2938,"")</x:f>
      </x:c>
    </x:row>
    <x:row r="2939">
      <x:c r="A2939" s="66" t="n">
        <x:v>20</x:v>
      </x:c>
      <x:c r="B2939" s="44" t="str">
        <x:v>Canola/Rapeseed</x:v>
      </x:c>
      <x:c r="C2939" s="44" t="str">
        <x:v>DK800LL</x:v>
      </x:c>
      <x:c r="D2939" s="66" t="n">
        <x:v>2023</x:v>
      </x:c>
      <x:c r="E2939" s="67"/>
      <x:c r="F2939" s="68"/>
      <x:c r="G2939" s="69" t="str">
        <x:f>IF(COUNT(E2939:F2939)=2,E2939*F2939,"")</x:f>
      </x:c>
    </x:row>
    <x:row r="2940">
      <x:c r="A2940" s="66" t="n">
        <x:v>20</x:v>
      </x:c>
      <x:c r="B2940" s="44" t="str">
        <x:v>Canola/Rapeseed</x:v>
      </x:c>
      <x:c r="C2940" s="44" t="str">
        <x:v>DK800LL</x:v>
      </x:c>
      <x:c r="D2940" s="66" t="n">
        <x:v>2024</x:v>
      </x:c>
      <x:c r="E2940" s="67" t="n">
        <x:v>1586</x:v>
      </x:c>
      <x:c r="F2940" s="68" t="n">
        <x:v>38.4</x:v>
      </x:c>
      <x:c r="G2940" s="69" t="n">
        <x:f>IF(COUNT(E2940:F2940)=2,E2940*F2940,"")</x:f>
        <x:v>60902.399999999994</x:v>
      </x:c>
    </x:row>
    <x:row r="2941">
      <x:c r="A2941" s="66" t="n">
        <x:v>20</x:v>
      </x:c>
      <x:c r="B2941" s="44" t="str">
        <x:v>Canola/Rapeseed</x:v>
      </x:c>
      <x:c r="C2941" s="44" t="str">
        <x:v>DK800LL</x:v>
      </x:c>
      <x:c r="D2941" s="66" t="n">
        <x:v>2025</x:v>
      </x:c>
      <x:c r="E2941" s="67" t="n">
        <x:v>17809</x:v>
      </x:c>
      <x:c r="F2941" s="68" t="n">
        <x:v>56.1</x:v>
      </x:c>
      <x:c r="G2941" s="69" t="n">
        <x:f>IF(COUNT(E2941:F2941)=2,E2941*F2941,"")</x:f>
        <x:v>999084.9</x:v>
      </x:c>
    </x:row>
    <x:row r="2942">
      <x:c r="A2942" s="66" t="n">
        <x:v>20</x:v>
      </x:c>
      <x:c r="B2942" s="44" t="str">
        <x:v>Canola/Rapeseed</x:v>
      </x:c>
      <x:c r="C2942" s="44" t="str">
        <x:v>DK801LL</x:v>
      </x:c>
      <x:c r="D2942" s="66" t="n">
        <x:v>2021</x:v>
      </x:c>
      <x:c r="E2942" s="67"/>
      <x:c r="F2942" s="68"/>
      <x:c r="G2942" s="69" t="str">
        <x:f>IF(COUNT(E2942:F2942)=2,E2942*F2942,"")</x:f>
      </x:c>
    </x:row>
    <x:row r="2943">
      <x:c r="A2943" s="66" t="n">
        <x:v>20</x:v>
      </x:c>
      <x:c r="B2943" s="44" t="str">
        <x:v>Canola/Rapeseed</x:v>
      </x:c>
      <x:c r="C2943" s="44" t="str">
        <x:v>DK801LL</x:v>
      </x:c>
      <x:c r="D2943" s="66" t="n">
        <x:v>2022</x:v>
      </x:c>
      <x:c r="E2943" s="67"/>
      <x:c r="F2943" s="68"/>
      <x:c r="G2943" s="69" t="str">
        <x:f>IF(COUNT(E2943:F2943)=2,E2943*F2943,"")</x:f>
      </x:c>
    </x:row>
    <x:row r="2944">
      <x:c r="A2944" s="66" t="n">
        <x:v>20</x:v>
      </x:c>
      <x:c r="B2944" s="44" t="str">
        <x:v>Canola/Rapeseed</x:v>
      </x:c>
      <x:c r="C2944" s="44" t="str">
        <x:v>DK801LL</x:v>
      </x:c>
      <x:c r="D2944" s="66" t="n">
        <x:v>2023</x:v>
      </x:c>
      <x:c r="E2944" s="67"/>
      <x:c r="F2944" s="68"/>
      <x:c r="G2944" s="69" t="str">
        <x:f>IF(COUNT(E2944:F2944)=2,E2944*F2944,"")</x:f>
      </x:c>
    </x:row>
    <x:row r="2945">
      <x:c r="A2945" s="66" t="n">
        <x:v>20</x:v>
      </x:c>
      <x:c r="B2945" s="44" t="str">
        <x:v>Canola/Rapeseed</x:v>
      </x:c>
      <x:c r="C2945" s="44" t="str">
        <x:v>DK801LL</x:v>
      </x:c>
      <x:c r="D2945" s="66" t="n">
        <x:v>2024</x:v>
      </x:c>
      <x:c r="E2945" s="67"/>
      <x:c r="F2945" s="68"/>
      <x:c r="G2945" s="69" t="str">
        <x:f>IF(COUNT(E2945:F2945)=2,E2945*F2945,"")</x:f>
      </x:c>
    </x:row>
    <x:row r="2946">
      <x:c r="A2946" s="66" t="n">
        <x:v>20</x:v>
      </x:c>
      <x:c r="B2946" s="44" t="str">
        <x:v>Canola/Rapeseed</x:v>
      </x:c>
      <x:c r="C2946" s="44" t="str">
        <x:v>DK801LL</x:v>
      </x:c>
      <x:c r="D2946" s="66" t="n">
        <x:v>2025</x:v>
      </x:c>
      <x:c r="E2946" s="67" t="n">
        <x:v>1045</x:v>
      </x:c>
      <x:c r="F2946" s="68" t="n">
        <x:v>48.1</x:v>
      </x:c>
      <x:c r="G2946" s="69" t="n">
        <x:f>IF(COUNT(E2946:F2946)=2,E2946*F2946,"")</x:f>
        <x:v>50264.5</x:v>
      </x:c>
    </x:row>
    <x:row r="2947">
      <x:c r="A2947" s="66" t="n">
        <x:v>20</x:v>
      </x:c>
      <x:c r="B2947" s="44" t="str">
        <x:v>Canola/Rapeseed</x:v>
      </x:c>
      <x:c r="C2947" s="44" t="str">
        <x:v>DK900TF</x:v>
      </x:c>
      <x:c r="D2947" s="66" t="n">
        <x:v>2021</x:v>
      </x:c>
      <x:c r="E2947" s="67"/>
      <x:c r="F2947" s="68"/>
      <x:c r="G2947" s="69" t="str">
        <x:f>IF(COUNT(E2947:F2947)=2,E2947*F2947,"")</x:f>
      </x:c>
    </x:row>
    <x:row r="2948">
      <x:c r="A2948" s="66" t="n">
        <x:v>20</x:v>
      </x:c>
      <x:c r="B2948" s="44" t="str">
        <x:v>Canola/Rapeseed</x:v>
      </x:c>
      <x:c r="C2948" s="44" t="str">
        <x:v>DK900TF</x:v>
      </x:c>
      <x:c r="D2948" s="66" t="n">
        <x:v>2022</x:v>
      </x:c>
      <x:c r="E2948" s="67"/>
      <x:c r="F2948" s="68"/>
      <x:c r="G2948" s="69" t="str">
        <x:f>IF(COUNT(E2948:F2948)=2,E2948*F2948,"")</x:f>
      </x:c>
    </x:row>
    <x:row r="2949">
      <x:c r="A2949" s="66" t="n">
        <x:v>20</x:v>
      </x:c>
      <x:c r="B2949" s="44" t="str">
        <x:v>Canola/Rapeseed</x:v>
      </x:c>
      <x:c r="C2949" s="44" t="str">
        <x:v>DK900TF</x:v>
      </x:c>
      <x:c r="D2949" s="66" t="n">
        <x:v>2023</x:v>
      </x:c>
      <x:c r="E2949" s="67" t="n">
        <x:v>12239</x:v>
      </x:c>
      <x:c r="F2949" s="68" t="n">
        <x:v>44.8</x:v>
      </x:c>
      <x:c r="G2949" s="69" t="n">
        <x:f>IF(COUNT(E2949:F2949)=2,E2949*F2949,"")</x:f>
        <x:v>548307.2</x:v>
      </x:c>
    </x:row>
    <x:row r="2950">
      <x:c r="A2950" s="66" t="n">
        <x:v>20</x:v>
      </x:c>
      <x:c r="B2950" s="44" t="str">
        <x:v>Canola/Rapeseed</x:v>
      </x:c>
      <x:c r="C2950" s="44" t="str">
        <x:v>DK900TF</x:v>
      </x:c>
      <x:c r="D2950" s="66" t="n">
        <x:v>2024</x:v>
      </x:c>
      <x:c r="E2950" s="67" t="n">
        <x:v>10519</x:v>
      </x:c>
      <x:c r="F2950" s="68" t="n">
        <x:v>30.3</x:v>
      </x:c>
      <x:c r="G2950" s="69" t="n">
        <x:f>IF(COUNT(E2950:F2950)=2,E2950*F2950,"")</x:f>
        <x:v>318725.7</x:v>
      </x:c>
    </x:row>
    <x:row r="2951">
      <x:c r="A2951" s="66" t="n">
        <x:v>20</x:v>
      </x:c>
      <x:c r="B2951" s="44" t="str">
        <x:v>Canola/Rapeseed</x:v>
      </x:c>
      <x:c r="C2951" s="44" t="str">
        <x:v>DK900TF</x:v>
      </x:c>
      <x:c r="D2951" s="66" t="n">
        <x:v>2025</x:v>
      </x:c>
      <x:c r="E2951" s="67" t="n">
        <x:v>4389</x:v>
      </x:c>
      <x:c r="F2951" s="68" t="n">
        <x:v>41.7</x:v>
      </x:c>
      <x:c r="G2951" s="69" t="n">
        <x:f>IF(COUNT(E2951:F2951)=2,E2951*F2951,"")</x:f>
        <x:v>183021.30000000002</x:v>
      </x:c>
    </x:row>
    <x:row r="2952">
      <x:c r="A2952" s="66" t="n">
        <x:v>20</x:v>
      </x:c>
      <x:c r="B2952" s="44" t="str">
        <x:v>Canola/Rapeseed</x:v>
      </x:c>
      <x:c r="C2952" s="44" t="str">
        <x:v>DK901TF</x:v>
      </x:c>
      <x:c r="D2952" s="66" t="n">
        <x:v>2021</x:v>
      </x:c>
      <x:c r="E2952" s="67"/>
      <x:c r="F2952" s="68"/>
      <x:c r="G2952" s="69" t="str">
        <x:f>IF(COUNT(E2952:F2952)=2,E2952*F2952,"")</x:f>
      </x:c>
    </x:row>
    <x:row r="2953">
      <x:c r="A2953" s="66" t="n">
        <x:v>20</x:v>
      </x:c>
      <x:c r="B2953" s="44" t="str">
        <x:v>Canola/Rapeseed</x:v>
      </x:c>
      <x:c r="C2953" s="44" t="str">
        <x:v>DK901TF</x:v>
      </x:c>
      <x:c r="D2953" s="66" t="n">
        <x:v>2022</x:v>
      </x:c>
      <x:c r="E2953" s="67"/>
      <x:c r="F2953" s="68"/>
      <x:c r="G2953" s="69" t="str">
        <x:f>IF(COUNT(E2953:F2953)=2,E2953*F2953,"")</x:f>
      </x:c>
    </x:row>
    <x:row r="2954">
      <x:c r="A2954" s="66" t="n">
        <x:v>20</x:v>
      </x:c>
      <x:c r="B2954" s="44" t="str">
        <x:v>Canola/Rapeseed</x:v>
      </x:c>
      <x:c r="C2954" s="44" t="str">
        <x:v>DK901TF</x:v>
      </x:c>
      <x:c r="D2954" s="66" t="n">
        <x:v>2023</x:v>
      </x:c>
      <x:c r="E2954" s="67" t="n">
        <x:v>1728</x:v>
      </x:c>
      <x:c r="F2954" s="68" t="n">
        <x:v>45.1</x:v>
      </x:c>
      <x:c r="G2954" s="69" t="n">
        <x:f>IF(COUNT(E2954:F2954)=2,E2954*F2954,"")</x:f>
        <x:v>77932.8</x:v>
      </x:c>
    </x:row>
    <x:row r="2955">
      <x:c r="A2955" s="66" t="n">
        <x:v>20</x:v>
      </x:c>
      <x:c r="B2955" s="44" t="str">
        <x:v>Canola/Rapeseed</x:v>
      </x:c>
      <x:c r="C2955" s="44" t="str">
        <x:v>DK901TF</x:v>
      </x:c>
      <x:c r="D2955" s="66" t="n">
        <x:v>2024</x:v>
      </x:c>
      <x:c r="E2955" s="67" t="n">
        <x:v>1385</x:v>
      </x:c>
      <x:c r="F2955" s="68" t="n">
        <x:v>29.9</x:v>
      </x:c>
      <x:c r="G2955" s="69" t="n">
        <x:f>IF(COUNT(E2955:F2955)=2,E2955*F2955,"")</x:f>
        <x:v>41411.5</x:v>
      </x:c>
    </x:row>
    <x:row r="2956">
      <x:c r="A2956" s="66" t="n">
        <x:v>20</x:v>
      </x:c>
      <x:c r="B2956" s="44" t="str">
        <x:v>Canola/Rapeseed</x:v>
      </x:c>
      <x:c r="C2956" s="44" t="str">
        <x:v>DK901TF</x:v>
      </x:c>
      <x:c r="D2956" s="66" t="n">
        <x:v>2025</x:v>
      </x:c>
      <x:c r="E2956" s="67" t="n">
        <x:v>3407</x:v>
      </x:c>
      <x:c r="F2956" s="68" t="n">
        <x:v>22.3</x:v>
      </x:c>
      <x:c r="G2956" s="69" t="n">
        <x:f>IF(COUNT(E2956:F2956)=2,E2956*F2956,"")</x:f>
        <x:v>75976.1</x:v>
      </x:c>
    </x:row>
    <x:row r="2957">
      <x:c r="A2957" s="66" t="n">
        <x:v>20</x:v>
      </x:c>
      <x:c r="B2957" s="44" t="str">
        <x:v>Canola/Rapeseed</x:v>
      </x:c>
      <x:c r="C2957" s="44" t="str">
        <x:v>DK902TF</x:v>
      </x:c>
      <x:c r="D2957" s="66" t="n">
        <x:v>2021</x:v>
      </x:c>
      <x:c r="E2957" s="67"/>
      <x:c r="F2957" s="68"/>
      <x:c r="G2957" s="69" t="str">
        <x:f>IF(COUNT(E2957:F2957)=2,E2957*F2957,"")</x:f>
      </x:c>
    </x:row>
    <x:row r="2958">
      <x:c r="A2958" s="66" t="n">
        <x:v>20</x:v>
      </x:c>
      <x:c r="B2958" s="44" t="str">
        <x:v>Canola/Rapeseed</x:v>
      </x:c>
      <x:c r="C2958" s="44" t="str">
        <x:v>DK902TF</x:v>
      </x:c>
      <x:c r="D2958" s="66" t="n">
        <x:v>2022</x:v>
      </x:c>
      <x:c r="E2958" s="67"/>
      <x:c r="F2958" s="68"/>
      <x:c r="G2958" s="69" t="str">
        <x:f>IF(COUNT(E2958:F2958)=2,E2958*F2958,"")</x:f>
      </x:c>
    </x:row>
    <x:row r="2959">
      <x:c r="A2959" s="66" t="n">
        <x:v>20</x:v>
      </x:c>
      <x:c r="B2959" s="44" t="str">
        <x:v>Canola/Rapeseed</x:v>
      </x:c>
      <x:c r="C2959" s="44" t="str">
        <x:v>DK902TF</x:v>
      </x:c>
      <x:c r="D2959" s="66" t="n">
        <x:v>2023</x:v>
      </x:c>
      <x:c r="E2959" s="67" t="n">
        <x:v>4153</x:v>
      </x:c>
      <x:c r="F2959" s="68" t="n">
        <x:v>45.6</x:v>
      </x:c>
      <x:c r="G2959" s="69" t="n">
        <x:f>IF(COUNT(E2959:F2959)=2,E2959*F2959,"")</x:f>
        <x:v>189376.80000000002</x:v>
      </x:c>
    </x:row>
    <x:row r="2960">
      <x:c r="A2960" s="66" t="n">
        <x:v>20</x:v>
      </x:c>
      <x:c r="B2960" s="44" t="str">
        <x:v>Canola/Rapeseed</x:v>
      </x:c>
      <x:c r="C2960" s="44" t="str">
        <x:v>DK902TF</x:v>
      </x:c>
      <x:c r="D2960" s="66" t="n">
        <x:v>2024</x:v>
      </x:c>
      <x:c r="E2960" s="67" t="n">
        <x:v>13656</x:v>
      </x:c>
      <x:c r="F2960" s="68" t="n">
        <x:v>26.9</x:v>
      </x:c>
      <x:c r="G2960" s="69" t="n">
        <x:f>IF(COUNT(E2960:F2960)=2,E2960*F2960,"")</x:f>
        <x:v>367346.39999999997</x:v>
      </x:c>
    </x:row>
    <x:row r="2961">
      <x:c r="A2961" s="66" t="n">
        <x:v>20</x:v>
      </x:c>
      <x:c r="B2961" s="44" t="str">
        <x:v>Canola/Rapeseed</x:v>
      </x:c>
      <x:c r="C2961" s="44" t="str">
        <x:v>DK902TF</x:v>
      </x:c>
      <x:c r="D2961" s="66" t="n">
        <x:v>2025</x:v>
      </x:c>
      <x:c r="E2961" s="67" t="n">
        <x:v>6302</x:v>
      </x:c>
      <x:c r="F2961" s="68" t="n">
        <x:v>41.8</x:v>
      </x:c>
      <x:c r="G2961" s="69" t="n">
        <x:f>IF(COUNT(E2961:F2961)=2,E2961*F2961,"")</x:f>
        <x:v>263423.6</x:v>
      </x:c>
    </x:row>
    <x:row r="2962">
      <x:c r="A2962" s="66" t="n">
        <x:v>20</x:v>
      </x:c>
      <x:c r="B2962" s="44" t="str">
        <x:v>Canola/Rapeseed</x:v>
      </x:c>
      <x:c r="C2962" s="44" t="str">
        <x:v>LR354PC</x:v>
      </x:c>
      <x:c r="D2962" s="66" t="n">
        <x:v>2021</x:v>
      </x:c>
      <x:c r="E2962" s="67"/>
      <x:c r="F2962" s="68"/>
      <x:c r="G2962" s="69" t="str">
        <x:f>IF(COUNT(E2962:F2962)=2,E2962*F2962,"")</x:f>
      </x:c>
    </x:row>
    <x:row r="2963">
      <x:c r="A2963" s="66" t="n">
        <x:v>20</x:v>
      </x:c>
      <x:c r="B2963" s="44" t="str">
        <x:v>Canola/Rapeseed</x:v>
      </x:c>
      <x:c r="C2963" s="44" t="str">
        <x:v>LR354PC</x:v>
      </x:c>
      <x:c r="D2963" s="66" t="n">
        <x:v>2022</x:v>
      </x:c>
      <x:c r="E2963" s="67"/>
      <x:c r="F2963" s="68"/>
      <x:c r="G2963" s="69" t="str">
        <x:f>IF(COUNT(E2963:F2963)=2,E2963*F2963,"")</x:f>
      </x:c>
    </x:row>
    <x:row r="2964">
      <x:c r="A2964" s="66" t="n">
        <x:v>20</x:v>
      </x:c>
      <x:c r="B2964" s="44" t="str">
        <x:v>Canola/Rapeseed</x:v>
      </x:c>
      <x:c r="C2964" s="44" t="str">
        <x:v>LR354PC</x:v>
      </x:c>
      <x:c r="D2964" s="66" t="n">
        <x:v>2023</x:v>
      </x:c>
      <x:c r="E2964" s="67"/>
      <x:c r="F2964" s="68"/>
      <x:c r="G2964" s="69" t="str">
        <x:f>IF(COUNT(E2964:F2964)=2,E2964*F2964,"")</x:f>
      </x:c>
    </x:row>
    <x:row r="2965">
      <x:c r="A2965" s="66" t="n">
        <x:v>20</x:v>
      </x:c>
      <x:c r="B2965" s="44" t="str">
        <x:v>Canola/Rapeseed</x:v>
      </x:c>
      <x:c r="C2965" s="44" t="str">
        <x:v>LR354PC</x:v>
      </x:c>
      <x:c r="D2965" s="66" t="n">
        <x:v>2024</x:v>
      </x:c>
      <x:c r="E2965" s="67"/>
      <x:c r="F2965" s="68"/>
      <x:c r="G2965" s="69" t="str">
        <x:f>IF(COUNT(E2965:F2965)=2,E2965*F2965,"")</x:f>
      </x:c>
    </x:row>
    <x:row r="2966">
      <x:c r="A2966" s="66" t="n">
        <x:v>20</x:v>
      </x:c>
      <x:c r="B2966" s="44" t="str">
        <x:v>Canola/Rapeseed</x:v>
      </x:c>
      <x:c r="C2966" s="44" t="str">
        <x:v>LR354PC</x:v>
      </x:c>
      <x:c r="D2966" s="66" t="n">
        <x:v>2025</x:v>
      </x:c>
      <x:c r="E2966" s="67" t="n">
        <x:v>1295</x:v>
      </x:c>
      <x:c r="F2966" s="68" t="n">
        <x:v>47.8</x:v>
      </x:c>
      <x:c r="G2966" s="69" t="n">
        <x:f>IF(COUNT(E2966:F2966)=2,E2966*F2966,"")</x:f>
        <x:v>61900.99999999999</x:v>
      </x:c>
    </x:row>
    <x:row r="2967">
      <x:c r="A2967" s="66" t="n">
        <x:v>20</x:v>
      </x:c>
      <x:c r="B2967" s="44" t="str">
        <x:v>Canola/Rapeseed</x:v>
      </x:c>
      <x:c r="C2967" s="44" t="str">
        <x:v>L233P</x:v>
      </x:c>
      <x:c r="D2967" s="66" t="n">
        <x:v>2021</x:v>
      </x:c>
      <x:c r="E2967" s="67" t="n">
        <x:v>31955</x:v>
      </x:c>
      <x:c r="F2967" s="68" t="n">
        <x:v>23.1</x:v>
      </x:c>
      <x:c r="G2967" s="69" t="n">
        <x:f>IF(COUNT(E2967:F2967)=2,E2967*F2967,"")</x:f>
        <x:v>738160.5</x:v>
      </x:c>
    </x:row>
    <x:row r="2968">
      <x:c r="A2968" s="66" t="n">
        <x:v>20</x:v>
      </x:c>
      <x:c r="B2968" s="44" t="str">
        <x:v>Canola/Rapeseed</x:v>
      </x:c>
      <x:c r="C2968" s="44" t="str">
        <x:v>L233P</x:v>
      </x:c>
      <x:c r="D2968" s="66" t="n">
        <x:v>2022</x:v>
      </x:c>
      <x:c r="E2968" s="67" t="n">
        <x:v>28803</x:v>
      </x:c>
      <x:c r="F2968" s="68" t="n">
        <x:v>37.1</x:v>
      </x:c>
      <x:c r="G2968" s="69" t="n">
        <x:f>IF(COUNT(E2968:F2968)=2,E2968*F2968,"")</x:f>
        <x:v>1068591.3</x:v>
      </x:c>
    </x:row>
    <x:row r="2969">
      <x:c r="A2969" s="66" t="n">
        <x:v>20</x:v>
      </x:c>
      <x:c r="B2969" s="44" t="str">
        <x:v>Canola/Rapeseed</x:v>
      </x:c>
      <x:c r="C2969" s="44" t="str">
        <x:v>L233P</x:v>
      </x:c>
      <x:c r="D2969" s="66" t="n">
        <x:v>2023</x:v>
      </x:c>
      <x:c r="E2969" s="67" t="n">
        <x:v>15727</x:v>
      </x:c>
      <x:c r="F2969" s="68" t="n">
        <x:v>36.2</x:v>
      </x:c>
      <x:c r="G2969" s="69" t="n">
        <x:f>IF(COUNT(E2969:F2969)=2,E2969*F2969,"")</x:f>
        <x:v>569317.4</x:v>
      </x:c>
    </x:row>
    <x:row r="2970">
      <x:c r="A2970" s="66" t="n">
        <x:v>20</x:v>
      </x:c>
      <x:c r="B2970" s="44" t="str">
        <x:v>Canola/Rapeseed</x:v>
      </x:c>
      <x:c r="C2970" s="44" t="str">
        <x:v>L233P</x:v>
      </x:c>
      <x:c r="D2970" s="66" t="n">
        <x:v>2024</x:v>
      </x:c>
      <x:c r="E2970" s="67" t="n">
        <x:v>7529</x:v>
      </x:c>
      <x:c r="F2970" s="68" t="n">
        <x:v>34.9</x:v>
      </x:c>
      <x:c r="G2970" s="69" t="n">
        <x:f>IF(COUNT(E2970:F2970)=2,E2970*F2970,"")</x:f>
        <x:v>262762.1</x:v>
      </x:c>
    </x:row>
    <x:row r="2971">
      <x:c r="A2971" s="66" t="n">
        <x:v>20</x:v>
      </x:c>
      <x:c r="B2971" s="44" t="str">
        <x:v>Canola/Rapeseed</x:v>
      </x:c>
      <x:c r="C2971" s="44" t="str">
        <x:v>L233P</x:v>
      </x:c>
      <x:c r="D2971" s="66" t="n">
        <x:v>2025</x:v>
      </x:c>
      <x:c r="E2971" s="67" t="n">
        <x:v>8452</x:v>
      </x:c>
      <x:c r="F2971" s="68" t="n">
        <x:v>53.8</x:v>
      </x:c>
      <x:c r="G2971" s="69" t="n">
        <x:f>IF(COUNT(E2971:F2971)=2,E2971*F2971,"")</x:f>
        <x:v>454717.6</x:v>
      </x:c>
    </x:row>
    <x:row r="2972">
      <x:c r="A2972" s="66" t="n">
        <x:v>20</x:v>
      </x:c>
      <x:c r="B2972" s="44" t="str">
        <x:v>Canola/Rapeseed</x:v>
      </x:c>
      <x:c r="C2972" s="44" t="str">
        <x:v>L330PC</x:v>
      </x:c>
      <x:c r="D2972" s="66" t="n">
        <x:v>2021</x:v>
      </x:c>
      <x:c r="E2972" s="67"/>
      <x:c r="F2972" s="68"/>
      <x:c r="G2972" s="69" t="str">
        <x:f>IF(COUNT(E2972:F2972)=2,E2972*F2972,"")</x:f>
      </x:c>
    </x:row>
    <x:row r="2973">
      <x:c r="A2973" s="66" t="n">
        <x:v>20</x:v>
      </x:c>
      <x:c r="B2973" s="44" t="str">
        <x:v>Canola/Rapeseed</x:v>
      </x:c>
      <x:c r="C2973" s="44" t="str">
        <x:v>L330PC</x:v>
      </x:c>
      <x:c r="D2973" s="66" t="n">
        <x:v>2022</x:v>
      </x:c>
      <x:c r="E2973" s="67"/>
      <x:c r="F2973" s="68"/>
      <x:c r="G2973" s="69" t="str">
        <x:f>IF(COUNT(E2973:F2973)=2,E2973*F2973,"")</x:f>
      </x:c>
    </x:row>
    <x:row r="2974">
      <x:c r="A2974" s="66" t="n">
        <x:v>20</x:v>
      </x:c>
      <x:c r="B2974" s="44" t="str">
        <x:v>Canola/Rapeseed</x:v>
      </x:c>
      <x:c r="C2974" s="44" t="str">
        <x:v>L330PC</x:v>
      </x:c>
      <x:c r="D2974" s="66" t="n">
        <x:v>2023</x:v>
      </x:c>
      <x:c r="E2974" s="67"/>
      <x:c r="F2974" s="68"/>
      <x:c r="G2974" s="69" t="str">
        <x:f>IF(COUNT(E2974:F2974)=2,E2974*F2974,"")</x:f>
      </x:c>
    </x:row>
    <x:row r="2975">
      <x:c r="A2975" s="66" t="n">
        <x:v>20</x:v>
      </x:c>
      <x:c r="B2975" s="44" t="str">
        <x:v>Canola/Rapeseed</x:v>
      </x:c>
      <x:c r="C2975" s="44" t="str">
        <x:v>L330PC</x:v>
      </x:c>
      <x:c r="D2975" s="66" t="n">
        <x:v>2024</x:v>
      </x:c>
      <x:c r="E2975" s="67"/>
      <x:c r="F2975" s="68"/>
      <x:c r="G2975" s="69" t="str">
        <x:f>IF(COUNT(E2975:F2975)=2,E2975*F2975,"")</x:f>
      </x:c>
    </x:row>
    <x:row r="2976">
      <x:c r="A2976" s="66" t="n">
        <x:v>20</x:v>
      </x:c>
      <x:c r="B2976" s="44" t="str">
        <x:v>Canola/Rapeseed</x:v>
      </x:c>
      <x:c r="C2976" s="44" t="str">
        <x:v>L330PC</x:v>
      </x:c>
      <x:c r="D2976" s="66" t="n">
        <x:v>2025</x:v>
      </x:c>
      <x:c r="E2976" s="67" t="n">
        <x:v>17506</x:v>
      </x:c>
      <x:c r="F2976" s="68" t="n">
        <x:v>54.1</x:v>
      </x:c>
      <x:c r="G2976" s="69" t="n">
        <x:f>IF(COUNT(E2976:F2976)=2,E2976*F2976,"")</x:f>
        <x:v>947074.6</x:v>
      </x:c>
    </x:row>
    <x:row r="2977">
      <x:c r="A2977" s="66" t="n">
        <x:v>20</x:v>
      </x:c>
      <x:c r="B2977" s="44" t="str">
        <x:v>Canola/Rapeseed</x:v>
      </x:c>
      <x:c r="C2977" s="44" t="str">
        <x:v>L333PC</x:v>
      </x:c>
      <x:c r="D2977" s="66" t="n">
        <x:v>2021</x:v>
      </x:c>
      <x:c r="E2977" s="67"/>
      <x:c r="F2977" s="68"/>
      <x:c r="G2977" s="69" t="str">
        <x:f>IF(COUNT(E2977:F2977)=2,E2977*F2977,"")</x:f>
      </x:c>
    </x:row>
    <x:row r="2978">
      <x:c r="A2978" s="66" t="n">
        <x:v>20</x:v>
      </x:c>
      <x:c r="B2978" s="44" t="str">
        <x:v>Canola/Rapeseed</x:v>
      </x:c>
      <x:c r="C2978" s="44" t="str">
        <x:v>L333PC</x:v>
      </x:c>
      <x:c r="D2978" s="66" t="n">
        <x:v>2022</x:v>
      </x:c>
      <x:c r="E2978" s="67"/>
      <x:c r="F2978" s="68"/>
      <x:c r="G2978" s="69" t="str">
        <x:f>IF(COUNT(E2978:F2978)=2,E2978*F2978,"")</x:f>
      </x:c>
    </x:row>
    <x:row r="2979">
      <x:c r="A2979" s="66" t="n">
        <x:v>20</x:v>
      </x:c>
      <x:c r="B2979" s="44" t="str">
        <x:v>Canola/Rapeseed</x:v>
      </x:c>
      <x:c r="C2979" s="44" t="str">
        <x:v>L333PC</x:v>
      </x:c>
      <x:c r="D2979" s="66" t="n">
        <x:v>2023</x:v>
      </x:c>
      <x:c r="E2979" s="67"/>
      <x:c r="F2979" s="68"/>
      <x:c r="G2979" s="69" t="str">
        <x:f>IF(COUNT(E2979:F2979)=2,E2979*F2979,"")</x:f>
      </x:c>
    </x:row>
    <x:row r="2980">
      <x:c r="A2980" s="66" t="n">
        <x:v>20</x:v>
      </x:c>
      <x:c r="B2980" s="44" t="str">
        <x:v>Canola/Rapeseed</x:v>
      </x:c>
      <x:c r="C2980" s="44" t="str">
        <x:v>L333PC</x:v>
      </x:c>
      <x:c r="D2980" s="66" t="n">
        <x:v>2024</x:v>
      </x:c>
      <x:c r="E2980" s="67"/>
      <x:c r="F2980" s="68"/>
      <x:c r="G2980" s="69" t="str">
        <x:f>IF(COUNT(E2980:F2980)=2,E2980*F2980,"")</x:f>
      </x:c>
    </x:row>
    <x:row r="2981">
      <x:c r="A2981" s="66" t="n">
        <x:v>20</x:v>
      </x:c>
      <x:c r="B2981" s="44" t="str">
        <x:v>Canola/Rapeseed</x:v>
      </x:c>
      <x:c r="C2981" s="44" t="str">
        <x:v>L333PC</x:v>
      </x:c>
      <x:c r="D2981" s="66" t="n">
        <x:v>2025</x:v>
      </x:c>
      <x:c r="E2981" s="67" t="n">
        <x:v>7174</x:v>
      </x:c>
      <x:c r="F2981" s="68" t="n">
        <x:v>49.3</x:v>
      </x:c>
      <x:c r="G2981" s="69" t="n">
        <x:f>IF(COUNT(E2981:F2981)=2,E2981*F2981,"")</x:f>
        <x:v>353678.19999999995</x:v>
      </x:c>
    </x:row>
    <x:row r="2982">
      <x:c r="A2982" s="66" t="n">
        <x:v>20</x:v>
      </x:c>
      <x:c r="B2982" s="44" t="str">
        <x:v>Canola/Rapeseed</x:v>
      </x:c>
      <x:c r="C2982" s="44" t="str">
        <x:v>L340PC</x:v>
      </x:c>
      <x:c r="D2982" s="66" t="n">
        <x:v>2021</x:v>
      </x:c>
      <x:c r="E2982" s="67" t="n">
        <x:v>34980</x:v>
      </x:c>
      <x:c r="F2982" s="68" t="n">
        <x:v>30.2</x:v>
      </x:c>
      <x:c r="G2982" s="69" t="n">
        <x:f>IF(COUNT(E2982:F2982)=2,E2982*F2982,"")</x:f>
        <x:v>1056396</x:v>
      </x:c>
    </x:row>
    <x:row r="2983">
      <x:c r="A2983" s="66" t="n">
        <x:v>20</x:v>
      </x:c>
      <x:c r="B2983" s="44" t="str">
        <x:v>Canola/Rapeseed</x:v>
      </x:c>
      <x:c r="C2983" s="44" t="str">
        <x:v>L340PC</x:v>
      </x:c>
      <x:c r="D2983" s="66" t="n">
        <x:v>2022</x:v>
      </x:c>
      <x:c r="E2983" s="67" t="n">
        <x:v>66422</x:v>
      </x:c>
      <x:c r="F2983" s="68" t="n">
        <x:v>43.8</x:v>
      </x:c>
      <x:c r="G2983" s="69" t="n">
        <x:f>IF(COUNT(E2983:F2983)=2,E2983*F2983,"")</x:f>
        <x:v>2909283.5999999996</x:v>
      </x:c>
    </x:row>
    <x:row r="2984">
      <x:c r="A2984" s="66" t="n">
        <x:v>20</x:v>
      </x:c>
      <x:c r="B2984" s="44" t="str">
        <x:v>Canola/Rapeseed</x:v>
      </x:c>
      <x:c r="C2984" s="44" t="str">
        <x:v>L340PC</x:v>
      </x:c>
      <x:c r="D2984" s="66" t="n">
        <x:v>2023</x:v>
      </x:c>
      <x:c r="E2984" s="67" t="n">
        <x:v>94045</x:v>
      </x:c>
      <x:c r="F2984" s="68" t="n">
        <x:v>44.1</x:v>
      </x:c>
      <x:c r="G2984" s="69" t="n">
        <x:f>IF(COUNT(E2984:F2984)=2,E2984*F2984,"")</x:f>
        <x:v>4147384.5</x:v>
      </x:c>
    </x:row>
    <x:row r="2985">
      <x:c r="A2985" s="66" t="n">
        <x:v>20</x:v>
      </x:c>
      <x:c r="B2985" s="44" t="str">
        <x:v>Canola/Rapeseed</x:v>
      </x:c>
      <x:c r="C2985" s="44" t="str">
        <x:v>L340PC</x:v>
      </x:c>
      <x:c r="D2985" s="66" t="n">
        <x:v>2024</x:v>
      </x:c>
      <x:c r="E2985" s="67" t="n">
        <x:v>88334</x:v>
      </x:c>
      <x:c r="F2985" s="68" t="n">
        <x:v>36.1</x:v>
      </x:c>
      <x:c r="G2985" s="69" t="n">
        <x:f>IF(COUNT(E2985:F2985)=2,E2985*F2985,"")</x:f>
        <x:v>3188857.4</x:v>
      </x:c>
    </x:row>
    <x:row r="2986">
      <x:c r="A2986" s="66" t="n">
        <x:v>20</x:v>
      </x:c>
      <x:c r="B2986" s="44" t="str">
        <x:v>Canola/Rapeseed</x:v>
      </x:c>
      <x:c r="C2986" s="44" t="str">
        <x:v>L340PC</x:v>
      </x:c>
      <x:c r="D2986" s="66" t="n">
        <x:v>2025</x:v>
      </x:c>
      <x:c r="E2986" s="67" t="n">
        <x:v>133902</x:v>
      </x:c>
      <x:c r="F2986" s="68" t="n">
        <x:v>50.6</x:v>
      </x:c>
      <x:c r="G2986" s="69" t="n">
        <x:f>IF(COUNT(E2986:F2986)=2,E2986*F2986,"")</x:f>
        <x:v>6775441.2</x:v>
      </x:c>
    </x:row>
    <x:row r="2987">
      <x:c r="A2987" s="66" t="n">
        <x:v>20</x:v>
      </x:c>
      <x:c r="B2987" s="44" t="str">
        <x:v>Canola/Rapeseed</x:v>
      </x:c>
      <x:c r="C2987" s="44" t="str">
        <x:v>L341PC</x:v>
      </x:c>
      <x:c r="D2987" s="66" t="n">
        <x:v>2021</x:v>
      </x:c>
      <x:c r="E2987" s="67"/>
      <x:c r="F2987" s="68"/>
      <x:c r="G2987" s="69" t="str">
        <x:f>IF(COUNT(E2987:F2987)=2,E2987*F2987,"")</x:f>
      </x:c>
    </x:row>
    <x:row r="2988">
      <x:c r="A2988" s="66" t="n">
        <x:v>20</x:v>
      </x:c>
      <x:c r="B2988" s="44" t="str">
        <x:v>Canola/Rapeseed</x:v>
      </x:c>
      <x:c r="C2988" s="44" t="str">
        <x:v>L341PC</x:v>
      </x:c>
      <x:c r="D2988" s="66" t="n">
        <x:v>2022</x:v>
      </x:c>
      <x:c r="E2988" s="67"/>
      <x:c r="F2988" s="68"/>
      <x:c r="G2988" s="69" t="str">
        <x:f>IF(COUNT(E2988:F2988)=2,E2988*F2988,"")</x:f>
      </x:c>
    </x:row>
    <x:row r="2989">
      <x:c r="A2989" s="66" t="n">
        <x:v>20</x:v>
      </x:c>
      <x:c r="B2989" s="44" t="str">
        <x:v>Canola/Rapeseed</x:v>
      </x:c>
      <x:c r="C2989" s="44" t="str">
        <x:v>L341PC</x:v>
      </x:c>
      <x:c r="D2989" s="66" t="n">
        <x:v>2023</x:v>
      </x:c>
      <x:c r="E2989" s="67"/>
      <x:c r="F2989" s="68"/>
      <x:c r="G2989" s="69" t="str">
        <x:f>IF(COUNT(E2989:F2989)=2,E2989*F2989,"")</x:f>
      </x:c>
    </x:row>
    <x:row r="2990">
      <x:c r="A2990" s="66" t="n">
        <x:v>20</x:v>
      </x:c>
      <x:c r="B2990" s="44" t="str">
        <x:v>Canola/Rapeseed</x:v>
      </x:c>
      <x:c r="C2990" s="44" t="str">
        <x:v>L341PC</x:v>
      </x:c>
      <x:c r="D2990" s="66" t="n">
        <x:v>2024</x:v>
      </x:c>
      <x:c r="E2990" s="67"/>
      <x:c r="F2990" s="68"/>
      <x:c r="G2990" s="69" t="str">
        <x:f>IF(COUNT(E2990:F2990)=2,E2990*F2990,"")</x:f>
      </x:c>
    </x:row>
    <x:row r="2991">
      <x:c r="A2991" s="66" t="n">
        <x:v>20</x:v>
      </x:c>
      <x:c r="B2991" s="44" t="str">
        <x:v>Canola/Rapeseed</x:v>
      </x:c>
      <x:c r="C2991" s="44" t="str">
        <x:v>L341PC</x:v>
      </x:c>
      <x:c r="D2991" s="66" t="n">
        <x:v>2025</x:v>
      </x:c>
      <x:c r="E2991" s="67" t="n">
        <x:v>669</x:v>
      </x:c>
      <x:c r="F2991" s="68" t="n">
        <x:v>50.4</x:v>
      </x:c>
      <x:c r="G2991" s="69" t="n">
        <x:f>IF(COUNT(E2991:F2991)=2,E2991*F2991,"")</x:f>
        <x:v>33717.6</x:v>
      </x:c>
    </x:row>
    <x:row r="2992">
      <x:c r="A2992" s="66" t="n">
        <x:v>20</x:v>
      </x:c>
      <x:c r="B2992" s="44" t="str">
        <x:v>Canola/Rapeseed</x:v>
      </x:c>
      <x:c r="C2992" s="44" t="str">
        <x:v>L343PC</x:v>
      </x:c>
      <x:c r="D2992" s="66" t="n">
        <x:v>2021</x:v>
      </x:c>
      <x:c r="E2992" s="67"/>
      <x:c r="F2992" s="68"/>
      <x:c r="G2992" s="69" t="str">
        <x:f>IF(COUNT(E2992:F2992)=2,E2992*F2992,"")</x:f>
      </x:c>
    </x:row>
    <x:row r="2993">
      <x:c r="A2993" s="66" t="n">
        <x:v>20</x:v>
      </x:c>
      <x:c r="B2993" s="44" t="str">
        <x:v>Canola/Rapeseed</x:v>
      </x:c>
      <x:c r="C2993" s="44" t="str">
        <x:v>L343PC</x:v>
      </x:c>
      <x:c r="D2993" s="66" t="n">
        <x:v>2022</x:v>
      </x:c>
      <x:c r="E2993" s="67" t="n">
        <x:v>6668</x:v>
      </x:c>
      <x:c r="F2993" s="68" t="n">
        <x:v>45.5</x:v>
      </x:c>
      <x:c r="G2993" s="69" t="n">
        <x:f>IF(COUNT(E2993:F2993)=2,E2993*F2993,"")</x:f>
        <x:v>303394</x:v>
      </x:c>
    </x:row>
    <x:row r="2994">
      <x:c r="A2994" s="66" t="n">
        <x:v>20</x:v>
      </x:c>
      <x:c r="B2994" s="44" t="str">
        <x:v>Canola/Rapeseed</x:v>
      </x:c>
      <x:c r="C2994" s="44" t="str">
        <x:v>L343PC</x:v>
      </x:c>
      <x:c r="D2994" s="66" t="n">
        <x:v>2023</x:v>
      </x:c>
      <x:c r="E2994" s="67" t="n">
        <x:v>11526</x:v>
      </x:c>
      <x:c r="F2994" s="68" t="n">
        <x:v>43.9</x:v>
      </x:c>
      <x:c r="G2994" s="69" t="n">
        <x:f>IF(COUNT(E2994:F2994)=2,E2994*F2994,"")</x:f>
        <x:v>505991.39999999997</x:v>
      </x:c>
    </x:row>
    <x:row r="2995">
      <x:c r="A2995" s="66" t="n">
        <x:v>20</x:v>
      </x:c>
      <x:c r="B2995" s="44" t="str">
        <x:v>Canola/Rapeseed</x:v>
      </x:c>
      <x:c r="C2995" s="44" t="str">
        <x:v>L343PC</x:v>
      </x:c>
      <x:c r="D2995" s="66" t="n">
        <x:v>2024</x:v>
      </x:c>
      <x:c r="E2995" s="67" t="n">
        <x:v>6103</x:v>
      </x:c>
      <x:c r="F2995" s="68" t="n">
        <x:v>34.8</x:v>
      </x:c>
      <x:c r="G2995" s="69" t="n">
        <x:f>IF(COUNT(E2995:F2995)=2,E2995*F2995,"")</x:f>
        <x:v>212384.4</x:v>
      </x:c>
    </x:row>
    <x:row r="2996">
      <x:c r="A2996" s="66" t="n">
        <x:v>20</x:v>
      </x:c>
      <x:c r="B2996" s="44" t="str">
        <x:v>Canola/Rapeseed</x:v>
      </x:c>
      <x:c r="C2996" s="44" t="str">
        <x:v>L343PC</x:v>
      </x:c>
      <x:c r="D2996" s="66" t="n">
        <x:v>2025</x:v>
      </x:c>
      <x:c r="E2996" s="67" t="n">
        <x:v>4955</x:v>
      </x:c>
      <x:c r="F2996" s="68" t="n">
        <x:v>50.2</x:v>
      </x:c>
      <x:c r="G2996" s="69" t="n">
        <x:f>IF(COUNT(E2996:F2996)=2,E2996*F2996,"")</x:f>
        <x:v>248741</x:v>
      </x:c>
    </x:row>
    <x:row r="2997">
      <x:c r="A2997" s="66" t="n">
        <x:v>20</x:v>
      </x:c>
      <x:c r="B2997" s="44" t="str">
        <x:v>Canola/Rapeseed</x:v>
      </x:c>
      <x:c r="C2997" s="44" t="str">
        <x:v>L345PC</x:v>
      </x:c>
      <x:c r="D2997" s="66" t="n">
        <x:v>2021</x:v>
      </x:c>
      <x:c r="E2997" s="67" t="n">
        <x:v>58740</x:v>
      </x:c>
      <x:c r="F2997" s="68" t="n">
        <x:v>26.3</x:v>
      </x:c>
      <x:c r="G2997" s="69" t="n">
        <x:f>IF(COUNT(E2997:F2997)=2,E2997*F2997,"")</x:f>
        <x:v>1544862</x:v>
      </x:c>
    </x:row>
    <x:row r="2998">
      <x:c r="A2998" s="66" t="n">
        <x:v>20</x:v>
      </x:c>
      <x:c r="B2998" s="44" t="str">
        <x:v>Canola/Rapeseed</x:v>
      </x:c>
      <x:c r="C2998" s="44" t="str">
        <x:v>L345PC</x:v>
      </x:c>
      <x:c r="D2998" s="66" t="n">
        <x:v>2022</x:v>
      </x:c>
      <x:c r="E2998" s="67" t="n">
        <x:v>46779</x:v>
      </x:c>
      <x:c r="F2998" s="68" t="n">
        <x:v>41.6</x:v>
      </x:c>
      <x:c r="G2998" s="69" t="n">
        <x:f>IF(COUNT(E2998:F2998)=2,E2998*F2998,"")</x:f>
        <x:v>1946006.4000000001</x:v>
      </x:c>
    </x:row>
    <x:row r="2999">
      <x:c r="A2999" s="66" t="n">
        <x:v>20</x:v>
      </x:c>
      <x:c r="B2999" s="44" t="str">
        <x:v>Canola/Rapeseed</x:v>
      </x:c>
      <x:c r="C2999" s="44" t="str">
        <x:v>L345PC</x:v>
      </x:c>
      <x:c r="D2999" s="66" t="n">
        <x:v>2023</x:v>
      </x:c>
      <x:c r="E2999" s="67" t="n">
        <x:v>25410</x:v>
      </x:c>
      <x:c r="F2999" s="68" t="n">
        <x:v>44.8</x:v>
      </x:c>
      <x:c r="G2999" s="69" t="n">
        <x:f>IF(COUNT(E2999:F2999)=2,E2999*F2999,"")</x:f>
        <x:v>1138368</x:v>
      </x:c>
    </x:row>
    <x:row r="3000">
      <x:c r="A3000" s="66" t="n">
        <x:v>20</x:v>
      </x:c>
      <x:c r="B3000" s="44" t="str">
        <x:v>Canola/Rapeseed</x:v>
      </x:c>
      <x:c r="C3000" s="44" t="str">
        <x:v>L345PC</x:v>
      </x:c>
      <x:c r="D3000" s="66" t="n">
        <x:v>2024</x:v>
      </x:c>
      <x:c r="E3000" s="67" t="n">
        <x:v>33323</x:v>
      </x:c>
      <x:c r="F3000" s="68" t="n">
        <x:v>33.3</x:v>
      </x:c>
      <x:c r="G3000" s="69" t="n">
        <x:f>IF(COUNT(E3000:F3000)=2,E3000*F3000,"")</x:f>
        <x:v>1109655.9</x:v>
      </x:c>
    </x:row>
    <x:row r="3001">
      <x:c r="A3001" s="66" t="n">
        <x:v>20</x:v>
      </x:c>
      <x:c r="B3001" s="44" t="str">
        <x:v>Canola/Rapeseed</x:v>
      </x:c>
      <x:c r="C3001" s="44" t="str">
        <x:v>L345PC</x:v>
      </x:c>
      <x:c r="D3001" s="66" t="n">
        <x:v>2025</x:v>
      </x:c>
      <x:c r="E3001" s="67" t="n">
        <x:v>18002</x:v>
      </x:c>
      <x:c r="F3001" s="68" t="n">
        <x:v>44</x:v>
      </x:c>
      <x:c r="G3001" s="69" t="n">
        <x:f>IF(COUNT(E3001:F3001)=2,E3001*F3001,"")</x:f>
        <x:v>792088</x:v>
      </x:c>
    </x:row>
    <x:row r="3002">
      <x:c r="A3002" s="66" t="n">
        <x:v>20</x:v>
      </x:c>
      <x:c r="B3002" s="44" t="str">
        <x:v>Canola/Rapeseed</x:v>
      </x:c>
      <x:c r="C3002" s="44" t="str">
        <x:v>L350PC</x:v>
      </x:c>
      <x:c r="D3002" s="66" t="n">
        <x:v>2021</x:v>
      </x:c>
      <x:c r="E3002" s="67"/>
      <x:c r="F3002" s="68"/>
      <x:c r="G3002" s="69" t="str">
        <x:f>IF(COUNT(E3002:F3002)=2,E3002*F3002,"")</x:f>
      </x:c>
    </x:row>
    <x:row r="3003">
      <x:c r="A3003" s="66" t="n">
        <x:v>20</x:v>
      </x:c>
      <x:c r="B3003" s="44" t="str">
        <x:v>Canola/Rapeseed</x:v>
      </x:c>
      <x:c r="C3003" s="44" t="str">
        <x:v>L350PC</x:v>
      </x:c>
      <x:c r="D3003" s="66" t="n">
        <x:v>2022</x:v>
      </x:c>
      <x:c r="E3003" s="67"/>
      <x:c r="F3003" s="68"/>
      <x:c r="G3003" s="69" t="str">
        <x:f>IF(COUNT(E3003:F3003)=2,E3003*F3003,"")</x:f>
      </x:c>
    </x:row>
    <x:row r="3004">
      <x:c r="A3004" s="66" t="n">
        <x:v>20</x:v>
      </x:c>
      <x:c r="B3004" s="44" t="str">
        <x:v>Canola/Rapeseed</x:v>
      </x:c>
      <x:c r="C3004" s="44" t="str">
        <x:v>L350PC</x:v>
      </x:c>
      <x:c r="D3004" s="66" t="n">
        <x:v>2023</x:v>
      </x:c>
      <x:c r="E3004" s="67" t="n">
        <x:v>13273</x:v>
      </x:c>
      <x:c r="F3004" s="68" t="n">
        <x:v>40</x:v>
      </x:c>
      <x:c r="G3004" s="69" t="n">
        <x:f>IF(COUNT(E3004:F3004)=2,E3004*F3004,"")</x:f>
        <x:v>530920</x:v>
      </x:c>
    </x:row>
    <x:row r="3005">
      <x:c r="A3005" s="66" t="n">
        <x:v>20</x:v>
      </x:c>
      <x:c r="B3005" s="44" t="str">
        <x:v>Canola/Rapeseed</x:v>
      </x:c>
      <x:c r="C3005" s="44" t="str">
        <x:v>L350PC</x:v>
      </x:c>
      <x:c r="D3005" s="66" t="n">
        <x:v>2024</x:v>
      </x:c>
      <x:c r="E3005" s="67" t="n">
        <x:v>10002</x:v>
      </x:c>
      <x:c r="F3005" s="68" t="n">
        <x:v>36.2</x:v>
      </x:c>
      <x:c r="G3005" s="69" t="n">
        <x:f>IF(COUNT(E3005:F3005)=2,E3005*F3005,"")</x:f>
        <x:v>362072.4</x:v>
      </x:c>
    </x:row>
    <x:row r="3006">
      <x:c r="A3006" s="66" t="n">
        <x:v>20</x:v>
      </x:c>
      <x:c r="B3006" s="44" t="str">
        <x:v>Canola/Rapeseed</x:v>
      </x:c>
      <x:c r="C3006" s="44" t="str">
        <x:v>L350PC</x:v>
      </x:c>
      <x:c r="D3006" s="66" t="n">
        <x:v>2025</x:v>
      </x:c>
      <x:c r="E3006" s="67" t="n">
        <x:v>5319</x:v>
      </x:c>
      <x:c r="F3006" s="68" t="n">
        <x:v>52.2</x:v>
      </x:c>
      <x:c r="G3006" s="69" t="n">
        <x:f>IF(COUNT(E3006:F3006)=2,E3006*F3006,"")</x:f>
        <x:v>277651.8</x:v>
      </x:c>
    </x:row>
    <x:row r="3007">
      <x:c r="A3007" s="66" t="n">
        <x:v>20</x:v>
      </x:c>
      <x:c r="B3007" s="44" t="str">
        <x:v>Canola/Rapeseed</x:v>
      </x:c>
      <x:c r="C3007" s="44" t="str">
        <x:v>L356PC</x:v>
      </x:c>
      <x:c r="D3007" s="66" t="n">
        <x:v>2021</x:v>
      </x:c>
      <x:c r="E3007" s="67"/>
      <x:c r="F3007" s="68"/>
      <x:c r="G3007" s="69" t="str">
        <x:f>IF(COUNT(E3007:F3007)=2,E3007*F3007,"")</x:f>
      </x:c>
    </x:row>
    <x:row r="3008">
      <x:c r="A3008" s="66" t="n">
        <x:v>20</x:v>
      </x:c>
      <x:c r="B3008" s="44" t="str">
        <x:v>Canola/Rapeseed</x:v>
      </x:c>
      <x:c r="C3008" s="44" t="str">
        <x:v>L356PC</x:v>
      </x:c>
      <x:c r="D3008" s="66" t="n">
        <x:v>2022</x:v>
      </x:c>
      <x:c r="E3008" s="67" t="n">
        <x:v>14958</x:v>
      </x:c>
      <x:c r="F3008" s="68" t="n">
        <x:v>45.2</x:v>
      </x:c>
      <x:c r="G3008" s="69" t="n">
        <x:f>IF(COUNT(E3008:F3008)=2,E3008*F3008,"")</x:f>
        <x:v>676101.6000000001</x:v>
      </x:c>
    </x:row>
    <x:row r="3009">
      <x:c r="A3009" s="66" t="n">
        <x:v>20</x:v>
      </x:c>
      <x:c r="B3009" s="44" t="str">
        <x:v>Canola/Rapeseed</x:v>
      </x:c>
      <x:c r="C3009" s="44" t="str">
        <x:v>L356PC</x:v>
      </x:c>
      <x:c r="D3009" s="66" t="n">
        <x:v>2023</x:v>
      </x:c>
      <x:c r="E3009" s="67" t="n">
        <x:v>40934</x:v>
      </x:c>
      <x:c r="F3009" s="68" t="n">
        <x:v>41</x:v>
      </x:c>
      <x:c r="G3009" s="69" t="n">
        <x:f>IF(COUNT(E3009:F3009)=2,E3009*F3009,"")</x:f>
        <x:v>1678294</x:v>
      </x:c>
    </x:row>
    <x:row r="3010">
      <x:c r="A3010" s="66" t="n">
        <x:v>20</x:v>
      </x:c>
      <x:c r="B3010" s="44" t="str">
        <x:v>Canola/Rapeseed</x:v>
      </x:c>
      <x:c r="C3010" s="44" t="str">
        <x:v>L356PC</x:v>
      </x:c>
      <x:c r="D3010" s="66" t="n">
        <x:v>2024</x:v>
      </x:c>
      <x:c r="E3010" s="67" t="n">
        <x:v>66730</x:v>
      </x:c>
      <x:c r="F3010" s="68" t="n">
        <x:v>34.7</x:v>
      </x:c>
      <x:c r="G3010" s="69" t="n">
        <x:f>IF(COUNT(E3010:F3010)=2,E3010*F3010,"")</x:f>
        <x:v>2315531</x:v>
      </x:c>
    </x:row>
    <x:row r="3011">
      <x:c r="A3011" s="66" t="n">
        <x:v>20</x:v>
      </x:c>
      <x:c r="B3011" s="44" t="str">
        <x:v>Canola/Rapeseed</x:v>
      </x:c>
      <x:c r="C3011" s="44" t="str">
        <x:v>L356PC</x:v>
      </x:c>
      <x:c r="D3011" s="66" t="n">
        <x:v>2025</x:v>
      </x:c>
      <x:c r="E3011" s="67" t="n">
        <x:v>64887</x:v>
      </x:c>
      <x:c r="F3011" s="68" t="n">
        <x:v>49.9</x:v>
      </x:c>
      <x:c r="G3011" s="69" t="n">
        <x:f>IF(COUNT(E3011:F3011)=2,E3011*F3011,"")</x:f>
        <x:v>3237861.3</x:v>
      </x:c>
    </x:row>
    <x:row r="3012">
      <x:c r="A3012" s="66" t="n">
        <x:v>20</x:v>
      </x:c>
      <x:c r="B3012" s="44" t="str">
        <x:v>Canola/Rapeseed</x:v>
      </x:c>
      <x:c r="C3012" s="44" t="str">
        <x:v>PV 661 LCM</x:v>
      </x:c>
      <x:c r="D3012" s="66" t="n">
        <x:v>2021</x:v>
      </x:c>
      <x:c r="E3012" s="67"/>
      <x:c r="F3012" s="68"/>
      <x:c r="G3012" s="69" t="str">
        <x:f>IF(COUNT(E3012:F3012)=2,E3012*F3012,"")</x:f>
      </x:c>
    </x:row>
    <x:row r="3013">
      <x:c r="A3013" s="66" t="n">
        <x:v>20</x:v>
      </x:c>
      <x:c r="B3013" s="44" t="str">
        <x:v>Canola/Rapeseed</x:v>
      </x:c>
      <x:c r="C3013" s="44" t="str">
        <x:v>PV 661 LCM</x:v>
      </x:c>
      <x:c r="D3013" s="66" t="n">
        <x:v>2022</x:v>
      </x:c>
      <x:c r="E3013" s="67"/>
      <x:c r="F3013" s="68"/>
      <x:c r="G3013" s="69" t="str">
        <x:f>IF(COUNT(E3013:F3013)=2,E3013*F3013,"")</x:f>
      </x:c>
    </x:row>
    <x:row r="3014">
      <x:c r="A3014" s="66" t="n">
        <x:v>20</x:v>
      </x:c>
      <x:c r="B3014" s="44" t="str">
        <x:v>Canola/Rapeseed</x:v>
      </x:c>
      <x:c r="C3014" s="44" t="str">
        <x:v>PV 661 LCM</x:v>
      </x:c>
      <x:c r="D3014" s="66" t="n">
        <x:v>2023</x:v>
      </x:c>
      <x:c r="E3014" s="67"/>
      <x:c r="F3014" s="68"/>
      <x:c r="G3014" s="69" t="str">
        <x:f>IF(COUNT(E3014:F3014)=2,E3014*F3014,"")</x:f>
      </x:c>
    </x:row>
    <x:row r="3015">
      <x:c r="A3015" s="66" t="n">
        <x:v>20</x:v>
      </x:c>
      <x:c r="B3015" s="44" t="str">
        <x:v>Canola/Rapeseed</x:v>
      </x:c>
      <x:c r="C3015" s="44" t="str">
        <x:v>PV 661 LCM</x:v>
      </x:c>
      <x:c r="D3015" s="66" t="n">
        <x:v>2024</x:v>
      </x:c>
      <x:c r="E3015" s="67" t="n">
        <x:v>6030</x:v>
      </x:c>
      <x:c r="F3015" s="68" t="n">
        <x:v>30.9</x:v>
      </x:c>
      <x:c r="G3015" s="69" t="n">
        <x:f>IF(COUNT(E3015:F3015)=2,E3015*F3015,"")</x:f>
        <x:v>186327</x:v>
      </x:c>
    </x:row>
    <x:row r="3016">
      <x:c r="A3016" s="66" t="n">
        <x:v>20</x:v>
      </x:c>
      <x:c r="B3016" s="44" t="str">
        <x:v>Canola/Rapeseed</x:v>
      </x:c>
      <x:c r="C3016" s="44" t="str">
        <x:v>PV 661 LCM</x:v>
      </x:c>
      <x:c r="D3016" s="66" t="n">
        <x:v>2025</x:v>
      </x:c>
      <x:c r="E3016" s="67" t="n">
        <x:v>3199</x:v>
      </x:c>
      <x:c r="F3016" s="68" t="n">
        <x:v>47.6</x:v>
      </x:c>
      <x:c r="G3016" s="69" t="n">
        <x:f>IF(COUNT(E3016:F3016)=2,E3016*F3016,"")</x:f>
        <x:v>152272.4</x:v>
      </x:c>
    </x:row>
    <x:row r="3017">
      <x:c r="A3017" s="66" t="n">
        <x:v>20</x:v>
      </x:c>
      <x:c r="B3017" s="44" t="str">
        <x:v>Canola/Rapeseed</x:v>
      </x:c>
      <x:c r="C3017" s="44" t="str">
        <x:v>PV 681 LC</x:v>
      </x:c>
      <x:c r="D3017" s="66" t="n">
        <x:v>2021</x:v>
      </x:c>
      <x:c r="E3017" s="67" t="n">
        <x:v>18256</x:v>
      </x:c>
      <x:c r="F3017" s="68" t="n">
        <x:v>25.4</x:v>
      </x:c>
      <x:c r="G3017" s="69" t="n">
        <x:f>IF(COUNT(E3017:F3017)=2,E3017*F3017,"")</x:f>
        <x:v>463702.39999999997</x:v>
      </x:c>
    </x:row>
    <x:row r="3018">
      <x:c r="A3018" s="66" t="n">
        <x:v>20</x:v>
      </x:c>
      <x:c r="B3018" s="44" t="str">
        <x:v>Canola/Rapeseed</x:v>
      </x:c>
      <x:c r="C3018" s="44" t="str">
        <x:v>PV 681 LC</x:v>
      </x:c>
      <x:c r="D3018" s="66" t="n">
        <x:v>2022</x:v>
      </x:c>
      <x:c r="E3018" s="67" t="n">
        <x:v>6997</x:v>
      </x:c>
      <x:c r="F3018" s="68" t="n">
        <x:v>41.7</x:v>
      </x:c>
      <x:c r="G3018" s="69" t="n">
        <x:f>IF(COUNT(E3018:F3018)=2,E3018*F3018,"")</x:f>
        <x:v>291774.9</x:v>
      </x:c>
    </x:row>
    <x:row r="3019">
      <x:c r="A3019" s="66" t="n">
        <x:v>20</x:v>
      </x:c>
      <x:c r="B3019" s="44" t="str">
        <x:v>Canola/Rapeseed</x:v>
      </x:c>
      <x:c r="C3019" s="44" t="str">
        <x:v>PV 681 LC</x:v>
      </x:c>
      <x:c r="D3019" s="66" t="n">
        <x:v>2023</x:v>
      </x:c>
      <x:c r="E3019" s="67" t="n">
        <x:v>11135</x:v>
      </x:c>
      <x:c r="F3019" s="68" t="n">
        <x:v>42</x:v>
      </x:c>
      <x:c r="G3019" s="69" t="n">
        <x:f>IF(COUNT(E3019:F3019)=2,E3019*F3019,"")</x:f>
        <x:v>467670</x:v>
      </x:c>
    </x:row>
    <x:row r="3020">
      <x:c r="A3020" s="66" t="n">
        <x:v>20</x:v>
      </x:c>
      <x:c r="B3020" s="44" t="str">
        <x:v>Canola/Rapeseed</x:v>
      </x:c>
      <x:c r="C3020" s="44" t="str">
        <x:v>PV 681 LC</x:v>
      </x:c>
      <x:c r="D3020" s="66" t="n">
        <x:v>2024</x:v>
      </x:c>
      <x:c r="E3020" s="67" t="n">
        <x:v>7179</x:v>
      </x:c>
      <x:c r="F3020" s="68" t="n">
        <x:v>30.2</x:v>
      </x:c>
      <x:c r="G3020" s="69" t="n">
        <x:f>IF(COUNT(E3020:F3020)=2,E3020*F3020,"")</x:f>
        <x:v>216805.8</x:v>
      </x:c>
    </x:row>
    <x:row r="3021">
      <x:c r="A3021" s="66" t="n">
        <x:v>20</x:v>
      </x:c>
      <x:c r="B3021" s="44" t="str">
        <x:v>Canola/Rapeseed</x:v>
      </x:c>
      <x:c r="C3021" s="44" t="str">
        <x:v>PV 681 LC</x:v>
      </x:c>
      <x:c r="D3021" s="66" t="n">
        <x:v>2025</x:v>
      </x:c>
      <x:c r="E3021" s="67" t="n">
        <x:v>2366</x:v>
      </x:c>
      <x:c r="F3021" s="68" t="n">
        <x:v>43.3</x:v>
      </x:c>
      <x:c r="G3021" s="69" t="n">
        <x:f>IF(COUNT(E3021:F3021)=2,E3021*F3021,"")</x:f>
        <x:v>102447.79999999999</x:v>
      </x:c>
    </x:row>
    <x:row r="3022">
      <x:c r="A3022" s="66" t="n">
        <x:v>20</x:v>
      </x:c>
      <x:c r="B3022" s="44" t="str">
        <x:v>Canola/Rapeseed</x:v>
      </x:c>
      <x:c r="C3022" s="44" t="str">
        <x:v>PV 780 TC</x:v>
      </x:c>
      <x:c r="D3022" s="66" t="n">
        <x:v>2021</x:v>
      </x:c>
      <x:c r="E3022" s="67" t="n">
        <x:v>2334</x:v>
      </x:c>
      <x:c r="F3022" s="68" t="n">
        <x:v>22.7</x:v>
      </x:c>
      <x:c r="G3022" s="69" t="n">
        <x:f>IF(COUNT(E3022:F3022)=2,E3022*F3022,"")</x:f>
        <x:v>52981.799999999996</x:v>
      </x:c>
    </x:row>
    <x:row r="3023">
      <x:c r="A3023" s="66" t="n">
        <x:v>20</x:v>
      </x:c>
      <x:c r="B3023" s="44" t="str">
        <x:v>Canola/Rapeseed</x:v>
      </x:c>
      <x:c r="C3023" s="44" t="str">
        <x:v>PV 780 TC</x:v>
      </x:c>
      <x:c r="D3023" s="66" t="n">
        <x:v>2022</x:v>
      </x:c>
      <x:c r="E3023" s="67"/>
      <x:c r="F3023" s="68"/>
      <x:c r="G3023" s="69" t="str">
        <x:f>IF(COUNT(E3023:F3023)=2,E3023*F3023,"")</x:f>
      </x:c>
    </x:row>
    <x:row r="3024">
      <x:c r="A3024" s="66" t="n">
        <x:v>20</x:v>
      </x:c>
      <x:c r="B3024" s="44" t="str">
        <x:v>Canola/Rapeseed</x:v>
      </x:c>
      <x:c r="C3024" s="44" t="str">
        <x:v>PV 780 TC</x:v>
      </x:c>
      <x:c r="D3024" s="66" t="n">
        <x:v>2023</x:v>
      </x:c>
      <x:c r="E3024" s="67" t="n">
        <x:v>1447</x:v>
      </x:c>
      <x:c r="F3024" s="68" t="n">
        <x:v>32.2</x:v>
      </x:c>
      <x:c r="G3024" s="69" t="n">
        <x:f>IF(COUNT(E3024:F3024)=2,E3024*F3024,"")</x:f>
        <x:v>46593.4</x:v>
      </x:c>
    </x:row>
    <x:row r="3025">
      <x:c r="A3025" s="66" t="n">
        <x:v>20</x:v>
      </x:c>
      <x:c r="B3025" s="44" t="str">
        <x:v>Canola/Rapeseed</x:v>
      </x:c>
      <x:c r="C3025" s="44" t="str">
        <x:v>PV 780 TC</x:v>
      </x:c>
      <x:c r="D3025" s="66" t="n">
        <x:v>2024</x:v>
      </x:c>
      <x:c r="E3025" s="67"/>
      <x:c r="F3025" s="68"/>
      <x:c r="G3025" s="69" t="str">
        <x:f>IF(COUNT(E3025:F3025)=2,E3025*F3025,"")</x:f>
      </x:c>
    </x:row>
    <x:row r="3026">
      <x:c r="A3026" s="66" t="n">
        <x:v>20</x:v>
      </x:c>
      <x:c r="B3026" s="44" t="str">
        <x:v>Canola/Rapeseed</x:v>
      </x:c>
      <x:c r="C3026" s="44" t="str">
        <x:v>PV 780 TC</x:v>
      </x:c>
      <x:c r="D3026" s="66" t="n">
        <x:v>2025</x:v>
      </x:c>
      <x:c r="E3026" s="67" t="n">
        <x:v>414</x:v>
      </x:c>
      <x:c r="F3026" s="68" t="n">
        <x:v>44.2</x:v>
      </x:c>
      <x:c r="G3026" s="69" t="n">
        <x:f>IF(COUNT(E3026:F3026)=2,E3026*F3026,"")</x:f>
        <x:v>18298.800000000003</x:v>
      </x:c>
    </x:row>
    <x:row r="3027">
      <x:c r="A3027" s="66" t="n">
        <x:v>20</x:v>
      </x:c>
      <x:c r="B3027" s="44" t="str">
        <x:v>Canola/Rapeseed</x:v>
      </x:c>
      <x:c r="C3027" s="44" t="str">
        <x:v>PV 781 TCM</x:v>
      </x:c>
      <x:c r="D3027" s="66" t="n">
        <x:v>2021</x:v>
      </x:c>
      <x:c r="E3027" s="67"/>
      <x:c r="F3027" s="68"/>
      <x:c r="G3027" s="69" t="str">
        <x:f>IF(COUNT(E3027:F3027)=2,E3027*F3027,"")</x:f>
      </x:c>
    </x:row>
    <x:row r="3028">
      <x:c r="A3028" s="66" t="n">
        <x:v>20</x:v>
      </x:c>
      <x:c r="B3028" s="44" t="str">
        <x:v>Canola/Rapeseed</x:v>
      </x:c>
      <x:c r="C3028" s="44" t="str">
        <x:v>PV 781 TCM</x:v>
      </x:c>
      <x:c r="D3028" s="66" t="n">
        <x:v>2022</x:v>
      </x:c>
      <x:c r="E3028" s="67" t="n">
        <x:v>980</x:v>
      </x:c>
      <x:c r="F3028" s="68" t="n">
        <x:v>43.3</x:v>
      </x:c>
      <x:c r="G3028" s="69" t="n">
        <x:f>IF(COUNT(E3028:F3028)=2,E3028*F3028,"")</x:f>
        <x:v>42434</x:v>
      </x:c>
    </x:row>
    <x:row r="3029">
      <x:c r="A3029" s="66" t="n">
        <x:v>20</x:v>
      </x:c>
      <x:c r="B3029" s="44" t="str">
        <x:v>Canola/Rapeseed</x:v>
      </x:c>
      <x:c r="C3029" s="44" t="str">
        <x:v>PV 781 TCM</x:v>
      </x:c>
      <x:c r="D3029" s="66" t="n">
        <x:v>2023</x:v>
      </x:c>
      <x:c r="E3029" s="67" t="n">
        <x:v>4296</x:v>
      </x:c>
      <x:c r="F3029" s="68" t="n">
        <x:v>37.1</x:v>
      </x:c>
      <x:c r="G3029" s="69" t="n">
        <x:f>IF(COUNT(E3029:F3029)=2,E3029*F3029,"")</x:f>
        <x:v>159381.6</x:v>
      </x:c>
    </x:row>
    <x:row r="3030">
      <x:c r="A3030" s="66" t="n">
        <x:v>20</x:v>
      </x:c>
      <x:c r="B3030" s="44" t="str">
        <x:v>Canola/Rapeseed</x:v>
      </x:c>
      <x:c r="C3030" s="44" t="str">
        <x:v>PV 781 TCM</x:v>
      </x:c>
      <x:c r="D3030" s="66" t="n">
        <x:v>2024</x:v>
      </x:c>
      <x:c r="E3030" s="67" t="n">
        <x:v>4124</x:v>
      </x:c>
      <x:c r="F3030" s="68" t="n">
        <x:v>27.2</x:v>
      </x:c>
      <x:c r="G3030" s="69" t="n">
        <x:f>IF(COUNT(E3030:F3030)=2,E3030*F3030,"")</x:f>
        <x:v>112172.8</x:v>
      </x:c>
    </x:row>
    <x:row r="3031">
      <x:c r="A3031" s="66" t="n">
        <x:v>20</x:v>
      </x:c>
      <x:c r="B3031" s="44" t="str">
        <x:v>Canola/Rapeseed</x:v>
      </x:c>
      <x:c r="C3031" s="44" t="str">
        <x:v>PV 781 TCM</x:v>
      </x:c>
      <x:c r="D3031" s="66" t="n">
        <x:v>2025</x:v>
      </x:c>
      <x:c r="E3031" s="67" t="n">
        <x:v>623</x:v>
      </x:c>
      <x:c r="F3031" s="68" t="n">
        <x:v>27.2</x:v>
      </x:c>
      <x:c r="G3031" s="69" t="n">
        <x:f>IF(COUNT(E3031:F3031)=2,E3031*F3031,"")</x:f>
        <x:v>16945.6</x:v>
      </x:c>
    </x:row>
    <x:row r="3032">
      <x:c r="A3032" s="66" t="n">
        <x:v>20</x:v>
      </x:c>
      <x:c r="B3032" s="44" t="str">
        <x:v>Canola/Rapeseed</x:v>
      </x:c>
      <x:c r="C3032" s="44" t="str">
        <x:v>PV783</x:v>
      </x:c>
      <x:c r="D3032" s="66" t="n">
        <x:v>2021</x:v>
      </x:c>
      <x:c r="E3032" s="67"/>
      <x:c r="F3032" s="68"/>
      <x:c r="G3032" s="69" t="str">
        <x:f>IF(COUNT(E3032:F3032)=2,E3032*F3032,"")</x:f>
      </x:c>
    </x:row>
    <x:row r="3033">
      <x:c r="A3033" s="66" t="n">
        <x:v>20</x:v>
      </x:c>
      <x:c r="B3033" s="44" t="str">
        <x:v>Canola/Rapeseed</x:v>
      </x:c>
      <x:c r="C3033" s="44" t="str">
        <x:v>PV783</x:v>
      </x:c>
      <x:c r="D3033" s="66" t="n">
        <x:v>2022</x:v>
      </x:c>
      <x:c r="E3033" s="67"/>
      <x:c r="F3033" s="68"/>
      <x:c r="G3033" s="69" t="str">
        <x:f>IF(COUNT(E3033:F3033)=2,E3033*F3033,"")</x:f>
      </x:c>
    </x:row>
    <x:row r="3034">
      <x:c r="A3034" s="66" t="n">
        <x:v>20</x:v>
      </x:c>
      <x:c r="B3034" s="44" t="str">
        <x:v>Canola/Rapeseed</x:v>
      </x:c>
      <x:c r="C3034" s="44" t="str">
        <x:v>PV783</x:v>
      </x:c>
      <x:c r="D3034" s="66" t="n">
        <x:v>2023</x:v>
      </x:c>
      <x:c r="E3034" s="67"/>
      <x:c r="F3034" s="68"/>
      <x:c r="G3034" s="69" t="str">
        <x:f>IF(COUNT(E3034:F3034)=2,E3034*F3034,"")</x:f>
      </x:c>
    </x:row>
    <x:row r="3035">
      <x:c r="A3035" s="66" t="n">
        <x:v>20</x:v>
      </x:c>
      <x:c r="B3035" s="44" t="str">
        <x:v>Canola/Rapeseed</x:v>
      </x:c>
      <x:c r="C3035" s="44" t="str">
        <x:v>PV783</x:v>
      </x:c>
      <x:c r="D3035" s="66" t="n">
        <x:v>2024</x:v>
      </x:c>
      <x:c r="E3035" s="67"/>
      <x:c r="F3035" s="68"/>
      <x:c r="G3035" s="69" t="str">
        <x:f>IF(COUNT(E3035:F3035)=2,E3035*F3035,"")</x:f>
      </x:c>
    </x:row>
    <x:row r="3036">
      <x:c r="A3036" s="66" t="n">
        <x:v>20</x:v>
      </x:c>
      <x:c r="B3036" s="44" t="str">
        <x:v>Canola/Rapeseed</x:v>
      </x:c>
      <x:c r="C3036" s="44" t="str">
        <x:v>PV783</x:v>
      </x:c>
      <x:c r="D3036" s="66" t="n">
        <x:v>2025</x:v>
      </x:c>
      <x:c r="E3036" s="67" t="n">
        <x:v>1746</x:v>
      </x:c>
      <x:c r="F3036" s="68" t="n">
        <x:v>41.9</x:v>
      </x:c>
      <x:c r="G3036" s="69" t="n">
        <x:f>IF(COUNT(E3036:F3036)=2,E3036*F3036,"")</x:f>
        <x:v>73157.4</x:v>
      </x:c>
    </x:row>
    <x:row r="3037">
      <x:c r="A3037" s="66" t="n">
        <x:v>20</x:v>
      </x:c>
      <x:c r="B3037" s="44" t="str">
        <x:v>Canola/Rapeseed</x:v>
      </x:c>
      <x:c r="C3037" s="44" t="str">
        <x:v>P1530G</x:v>
      </x:c>
      <x:c r="D3037" s="66" t="n">
        <x:v>2021</x:v>
      </x:c>
      <x:c r="E3037" s="67"/>
      <x:c r="F3037" s="68"/>
      <x:c r="G3037" s="69" t="str">
        <x:f>IF(COUNT(E3037:F3037)=2,E3037*F3037,"")</x:f>
      </x:c>
    </x:row>
    <x:row r="3038">
      <x:c r="A3038" s="66" t="n">
        <x:v>20</x:v>
      </x:c>
      <x:c r="B3038" s="44" t="str">
        <x:v>Canola/Rapeseed</x:v>
      </x:c>
      <x:c r="C3038" s="44" t="str">
        <x:v>P1530G</x:v>
      </x:c>
      <x:c r="D3038" s="66" t="n">
        <x:v>2022</x:v>
      </x:c>
      <x:c r="E3038" s="67"/>
      <x:c r="F3038" s="68"/>
      <x:c r="G3038" s="69" t="str">
        <x:f>IF(COUNT(E3038:F3038)=2,E3038*F3038,"")</x:f>
      </x:c>
    </x:row>
    <x:row r="3039">
      <x:c r="A3039" s="66" t="n">
        <x:v>20</x:v>
      </x:c>
      <x:c r="B3039" s="44" t="str">
        <x:v>Canola/Rapeseed</x:v>
      </x:c>
      <x:c r="C3039" s="44" t="str">
        <x:v>P1530G</x:v>
      </x:c>
      <x:c r="D3039" s="66" t="n">
        <x:v>2023</x:v>
      </x:c>
      <x:c r="E3039" s="67"/>
      <x:c r="F3039" s="68"/>
      <x:c r="G3039" s="69" t="str">
        <x:f>IF(COUNT(E3039:F3039)=2,E3039*F3039,"")</x:f>
      </x:c>
    </x:row>
    <x:row r="3040">
      <x:c r="A3040" s="66" t="n">
        <x:v>20</x:v>
      </x:c>
      <x:c r="B3040" s="44" t="str">
        <x:v>Canola/Rapeseed</x:v>
      </x:c>
      <x:c r="C3040" s="44" t="str">
        <x:v>P1530G</x:v>
      </x:c>
      <x:c r="D3040" s="66" t="n">
        <x:v>2024</x:v>
      </x:c>
      <x:c r="E3040" s="67"/>
      <x:c r="F3040" s="68"/>
      <x:c r="G3040" s="69" t="str">
        <x:f>IF(COUNT(E3040:F3040)=2,E3040*F3040,"")</x:f>
      </x:c>
    </x:row>
    <x:row r="3041">
      <x:c r="A3041" s="66" t="n">
        <x:v>20</x:v>
      </x:c>
      <x:c r="B3041" s="44" t="str">
        <x:v>Canola/Rapeseed</x:v>
      </x:c>
      <x:c r="C3041" s="44" t="str">
        <x:v>P1530G</x:v>
      </x:c>
      <x:c r="D3041" s="66" t="n">
        <x:v>2025</x:v>
      </x:c>
      <x:c r="E3041" s="67" t="n">
        <x:v>1244</x:v>
      </x:c>
      <x:c r="F3041" s="68" t="n">
        <x:v>43.6</x:v>
      </x:c>
      <x:c r="G3041" s="69" t="n">
        <x:f>IF(COUNT(E3041:F3041)=2,E3041*F3041,"")</x:f>
        <x:v>54238.4</x:v>
      </x:c>
    </x:row>
    <x:row r="3042">
      <x:c r="A3042" s="66" t="n">
        <x:v>20</x:v>
      </x:c>
      <x:c r="B3042" s="44" t="str">
        <x:v>Canola/Rapeseed</x:v>
      </x:c>
      <x:c r="C3042" s="44" t="str">
        <x:v>P1540L</x:v>
      </x:c>
      <x:c r="D3042" s="66" t="n">
        <x:v>2021</x:v>
      </x:c>
      <x:c r="E3042" s="67"/>
      <x:c r="F3042" s="68"/>
      <x:c r="G3042" s="69" t="str">
        <x:f>IF(COUNT(E3042:F3042)=2,E3042*F3042,"")</x:f>
      </x:c>
    </x:row>
    <x:row r="3043">
      <x:c r="A3043" s="66" t="n">
        <x:v>20</x:v>
      </x:c>
      <x:c r="B3043" s="44" t="str">
        <x:v>Canola/Rapeseed</x:v>
      </x:c>
      <x:c r="C3043" s="44" t="str">
        <x:v>P1540L</x:v>
      </x:c>
      <x:c r="D3043" s="66" t="n">
        <x:v>2022</x:v>
      </x:c>
      <x:c r="E3043" s="67"/>
      <x:c r="F3043" s="68"/>
      <x:c r="G3043" s="69" t="str">
        <x:f>IF(COUNT(E3043:F3043)=2,E3043*F3043,"")</x:f>
      </x:c>
    </x:row>
    <x:row r="3044">
      <x:c r="A3044" s="66" t="n">
        <x:v>20</x:v>
      </x:c>
      <x:c r="B3044" s="44" t="str">
        <x:v>Canola/Rapeseed</x:v>
      </x:c>
      <x:c r="C3044" s="44" t="str">
        <x:v>P1540L</x:v>
      </x:c>
      <x:c r="D3044" s="66" t="n">
        <x:v>2023</x:v>
      </x:c>
      <x:c r="E3044" s="67"/>
      <x:c r="F3044" s="68"/>
      <x:c r="G3044" s="69" t="str">
        <x:f>IF(COUNT(E3044:F3044)=2,E3044*F3044,"")</x:f>
      </x:c>
    </x:row>
    <x:row r="3045">
      <x:c r="A3045" s="66" t="n">
        <x:v>20</x:v>
      </x:c>
      <x:c r="B3045" s="44" t="str">
        <x:v>Canola/Rapeseed</x:v>
      </x:c>
      <x:c r="C3045" s="44" t="str">
        <x:v>P1540L</x:v>
      </x:c>
      <x:c r="D3045" s="66" t="n">
        <x:v>2024</x:v>
      </x:c>
      <x:c r="E3045" s="67"/>
      <x:c r="F3045" s="68"/>
      <x:c r="G3045" s="69" t="str">
        <x:f>IF(COUNT(E3045:F3045)=2,E3045*F3045,"")</x:f>
      </x:c>
    </x:row>
    <x:row r="3046">
      <x:c r="A3046" s="66" t="n">
        <x:v>20</x:v>
      </x:c>
      <x:c r="B3046" s="44" t="str">
        <x:v>Canola/Rapeseed</x:v>
      </x:c>
      <x:c r="C3046" s="44" t="str">
        <x:v>P1540L</x:v>
      </x:c>
      <x:c r="D3046" s="66" t="n">
        <x:v>2025</x:v>
      </x:c>
      <x:c r="E3046" s="67" t="n">
        <x:v>1919</x:v>
      </x:c>
      <x:c r="F3046" s="68" t="n">
        <x:v>50.2</x:v>
      </x:c>
      <x:c r="G3046" s="69" t="n">
        <x:f>IF(COUNT(E3046:F3046)=2,E3046*F3046,"")</x:f>
        <x:v>96333.8</x:v>
      </x:c>
    </x:row>
    <x:row r="3047">
      <x:c r="A3047" s="66" t="n">
        <x:v>20</x:v>
      </x:c>
      <x:c r="B3047" s="44" t="str">
        <x:v>Canola/Rapeseed</x:v>
      </x:c>
      <x:c r="C3047" s="44" t="str">
        <x:v>P505MSL</x:v>
      </x:c>
      <x:c r="D3047" s="66" t="n">
        <x:v>2021</x:v>
      </x:c>
      <x:c r="E3047" s="67" t="n">
        <x:v>14260</x:v>
      </x:c>
      <x:c r="F3047" s="68" t="n">
        <x:v>27.2</x:v>
      </x:c>
      <x:c r="G3047" s="69" t="n">
        <x:f>IF(COUNT(E3047:F3047)=2,E3047*F3047,"")</x:f>
        <x:v>387872</x:v>
      </x:c>
    </x:row>
    <x:row r="3048">
      <x:c r="A3048" s="66" t="n">
        <x:v>20</x:v>
      </x:c>
      <x:c r="B3048" s="44" t="str">
        <x:v>Canola/Rapeseed</x:v>
      </x:c>
      <x:c r="C3048" s="44" t="str">
        <x:v>P505MSL</x:v>
      </x:c>
      <x:c r="D3048" s="66" t="n">
        <x:v>2022</x:v>
      </x:c>
      <x:c r="E3048" s="67" t="n">
        <x:v>12199</x:v>
      </x:c>
      <x:c r="F3048" s="68" t="n">
        <x:v>48.5</x:v>
      </x:c>
      <x:c r="G3048" s="69" t="n">
        <x:f>IF(COUNT(E3048:F3048)=2,E3048*F3048,"")</x:f>
        <x:v>591651.5</x:v>
      </x:c>
    </x:row>
    <x:row r="3049">
      <x:c r="A3049" s="66" t="n">
        <x:v>20</x:v>
      </x:c>
      <x:c r="B3049" s="44" t="str">
        <x:v>Canola/Rapeseed</x:v>
      </x:c>
      <x:c r="C3049" s="44" t="str">
        <x:v>P505MSL</x:v>
      </x:c>
      <x:c r="D3049" s="66" t="n">
        <x:v>2023</x:v>
      </x:c>
      <x:c r="E3049" s="67" t="n">
        <x:v>20138</x:v>
      </x:c>
      <x:c r="F3049" s="68" t="n">
        <x:v>46</x:v>
      </x:c>
      <x:c r="G3049" s="69" t="n">
        <x:f>IF(COUNT(E3049:F3049)=2,E3049*F3049,"")</x:f>
        <x:v>926348</x:v>
      </x:c>
    </x:row>
    <x:row r="3050">
      <x:c r="A3050" s="66" t="n">
        <x:v>20</x:v>
      </x:c>
      <x:c r="B3050" s="44" t="str">
        <x:v>Canola/Rapeseed</x:v>
      </x:c>
      <x:c r="C3050" s="44" t="str">
        <x:v>P505MSL</x:v>
      </x:c>
      <x:c r="D3050" s="66" t="n">
        <x:v>2024</x:v>
      </x:c>
      <x:c r="E3050" s="67" t="n">
        <x:v>19203</x:v>
      </x:c>
      <x:c r="F3050" s="68" t="n">
        <x:v>29.8</x:v>
      </x:c>
      <x:c r="G3050" s="69" t="n">
        <x:f>IF(COUNT(E3050:F3050)=2,E3050*F3050,"")</x:f>
        <x:v>572249.4</x:v>
      </x:c>
    </x:row>
    <x:row r="3051">
      <x:c r="A3051" s="66" t="n">
        <x:v>20</x:v>
      </x:c>
      <x:c r="B3051" s="44" t="str">
        <x:v>Canola/Rapeseed</x:v>
      </x:c>
      <x:c r="C3051" s="44" t="str">
        <x:v>P505MSL</x:v>
      </x:c>
      <x:c r="D3051" s="66" t="n">
        <x:v>2025</x:v>
      </x:c>
      <x:c r="E3051" s="67" t="n">
        <x:v>14608</x:v>
      </x:c>
      <x:c r="F3051" s="68" t="n">
        <x:v>41.7</x:v>
      </x:c>
      <x:c r="G3051" s="69" t="n">
        <x:f>IF(COUNT(E3051:F3051)=2,E3051*F3051,"")</x:f>
        <x:v>609153.6000000001</x:v>
      </x:c>
    </x:row>
    <x:row r="3052">
      <x:c r="A3052" s="66" t="n">
        <x:v>20</x:v>
      </x:c>
      <x:c r="B3052" s="44" t="str">
        <x:v>Canola/Rapeseed</x:v>
      </x:c>
      <x:c r="C3052" s="44" t="str">
        <x:v>P510G</x:v>
      </x:c>
      <x:c r="D3052" s="66" t="n">
        <x:v>2021</x:v>
      </x:c>
      <x:c r="E3052" s="67"/>
      <x:c r="F3052" s="68"/>
      <x:c r="G3052" s="69" t="str">
        <x:f>IF(COUNT(E3052:F3052)=2,E3052*F3052,"")</x:f>
      </x:c>
    </x:row>
    <x:row r="3053">
      <x:c r="A3053" s="66" t="n">
        <x:v>20</x:v>
      </x:c>
      <x:c r="B3053" s="44" t="str">
        <x:v>Canola/Rapeseed</x:v>
      </x:c>
      <x:c r="C3053" s="44" t="str">
        <x:v>P510G</x:v>
      </x:c>
      <x:c r="D3053" s="66" t="n">
        <x:v>2022</x:v>
      </x:c>
      <x:c r="E3053" s="67"/>
      <x:c r="F3053" s="68"/>
      <x:c r="G3053" s="69" t="str">
        <x:f>IF(COUNT(E3053:F3053)=2,E3053*F3053,"")</x:f>
      </x:c>
    </x:row>
    <x:row r="3054">
      <x:c r="A3054" s="66" t="n">
        <x:v>20</x:v>
      </x:c>
      <x:c r="B3054" s="44" t="str">
        <x:v>Canola/Rapeseed</x:v>
      </x:c>
      <x:c r="C3054" s="44" t="str">
        <x:v>P510G</x:v>
      </x:c>
      <x:c r="D3054" s="66" t="n">
        <x:v>2023</x:v>
      </x:c>
      <x:c r="E3054" s="67" t="n">
        <x:v>1196</x:v>
      </x:c>
      <x:c r="F3054" s="68" t="n">
        <x:v>49</x:v>
      </x:c>
      <x:c r="G3054" s="69" t="n">
        <x:f>IF(COUNT(E3054:F3054)=2,E3054*F3054,"")</x:f>
        <x:v>58604</x:v>
      </x:c>
    </x:row>
    <x:row r="3055">
      <x:c r="A3055" s="66" t="n">
        <x:v>20</x:v>
      </x:c>
      <x:c r="B3055" s="44" t="str">
        <x:v>Canola/Rapeseed</x:v>
      </x:c>
      <x:c r="C3055" s="44" t="str">
        <x:v>P510G</x:v>
      </x:c>
      <x:c r="D3055" s="66" t="n">
        <x:v>2024</x:v>
      </x:c>
      <x:c r="E3055" s="67" t="n">
        <x:v>5064</x:v>
      </x:c>
      <x:c r="F3055" s="68" t="n">
        <x:v>29.4</x:v>
      </x:c>
      <x:c r="G3055" s="69" t="n">
        <x:f>IF(COUNT(E3055:F3055)=2,E3055*F3055,"")</x:f>
        <x:v>148881.6</x:v>
      </x:c>
    </x:row>
    <x:row r="3056">
      <x:c r="A3056" s="66" t="n">
        <x:v>20</x:v>
      </x:c>
      <x:c r="B3056" s="44" t="str">
        <x:v>Canola/Rapeseed</x:v>
      </x:c>
      <x:c r="C3056" s="44" t="str">
        <x:v>P510G</x:v>
      </x:c>
      <x:c r="D3056" s="66" t="n">
        <x:v>2025</x:v>
      </x:c>
      <x:c r="E3056" s="67" t="n">
        <x:v>2125</x:v>
      </x:c>
      <x:c r="F3056" s="68" t="n">
        <x:v>39.2</x:v>
      </x:c>
      <x:c r="G3056" s="69" t="n">
        <x:f>IF(COUNT(E3056:F3056)=2,E3056*F3056,"")</x:f>
        <x:v>83300</x:v>
      </x:c>
    </x:row>
    <x:row r="3057">
      <x:c r="A3057" s="66" t="n">
        <x:v>20</x:v>
      </x:c>
      <x:c r="B3057" s="44" t="str">
        <x:v>Canola/Rapeseed</x:v>
      </x:c>
      <x:c r="C3057" s="44" t="str">
        <x:v>P515G</x:v>
      </x:c>
      <x:c r="D3057" s="66" t="n">
        <x:v>2021</x:v>
      </x:c>
      <x:c r="E3057" s="67"/>
      <x:c r="F3057" s="68"/>
      <x:c r="G3057" s="69" t="str">
        <x:f>IF(COUNT(E3057:F3057)=2,E3057*F3057,"")</x:f>
      </x:c>
    </x:row>
    <x:row r="3058">
      <x:c r="A3058" s="66" t="n">
        <x:v>20</x:v>
      </x:c>
      <x:c r="B3058" s="44" t="str">
        <x:v>Canola/Rapeseed</x:v>
      </x:c>
      <x:c r="C3058" s="44" t="str">
        <x:v>P515G</x:v>
      </x:c>
      <x:c r="D3058" s="66" t="n">
        <x:v>2022</x:v>
      </x:c>
      <x:c r="E3058" s="67"/>
      <x:c r="F3058" s="68"/>
      <x:c r="G3058" s="69" t="str">
        <x:f>IF(COUNT(E3058:F3058)=2,E3058*F3058,"")</x:f>
      </x:c>
    </x:row>
    <x:row r="3059">
      <x:c r="A3059" s="66" t="n">
        <x:v>20</x:v>
      </x:c>
      <x:c r="B3059" s="44" t="str">
        <x:v>Canola/Rapeseed</x:v>
      </x:c>
      <x:c r="C3059" s="44" t="str">
        <x:v>P515G</x:v>
      </x:c>
      <x:c r="D3059" s="66" t="n">
        <x:v>2023</x:v>
      </x:c>
      <x:c r="E3059" s="67" t="n">
        <x:v>1531</x:v>
      </x:c>
      <x:c r="F3059" s="68" t="n">
        <x:v>45.4</x:v>
      </x:c>
      <x:c r="G3059" s="69" t="n">
        <x:f>IF(COUNT(E3059:F3059)=2,E3059*F3059,"")</x:f>
        <x:v>69507.4</x:v>
      </x:c>
    </x:row>
    <x:row r="3060">
      <x:c r="A3060" s="66" t="n">
        <x:v>20</x:v>
      </x:c>
      <x:c r="B3060" s="44" t="str">
        <x:v>Canola/Rapeseed</x:v>
      </x:c>
      <x:c r="C3060" s="44" t="str">
        <x:v>P515G</x:v>
      </x:c>
      <x:c r="D3060" s="66" t="n">
        <x:v>2024</x:v>
      </x:c>
      <x:c r="E3060" s="67" t="n">
        <x:v>9400</x:v>
      </x:c>
      <x:c r="F3060" s="68" t="n">
        <x:v>30</x:v>
      </x:c>
      <x:c r="G3060" s="69" t="n">
        <x:f>IF(COUNT(E3060:F3060)=2,E3060*F3060,"")</x:f>
        <x:v>282000</x:v>
      </x:c>
    </x:row>
    <x:row r="3061">
      <x:c r="A3061" s="66" t="n">
        <x:v>20</x:v>
      </x:c>
      <x:c r="B3061" s="44" t="str">
        <x:v>Canola/Rapeseed</x:v>
      </x:c>
      <x:c r="C3061" s="44" t="str">
        <x:v>P515G</x:v>
      </x:c>
      <x:c r="D3061" s="66" t="n">
        <x:v>2025</x:v>
      </x:c>
      <x:c r="E3061" s="67" t="n">
        <x:v>2792</x:v>
      </x:c>
      <x:c r="F3061" s="68" t="n">
        <x:v>45.9</x:v>
      </x:c>
      <x:c r="G3061" s="69" t="n">
        <x:f>IF(COUNT(E3061:F3061)=2,E3061*F3061,"")</x:f>
        <x:v>128152.8</x:v>
      </x:c>
    </x:row>
    <x:row r="3062">
      <x:c r="A3062" s="66" t="n">
        <x:v>20</x:v>
      </x:c>
      <x:c r="B3062" s="44" t="str">
        <x:v>Canola/Rapeseed</x:v>
      </x:c>
      <x:c r="C3062" s="44" t="str">
        <x:v>P516L</x:v>
      </x:c>
      <x:c r="D3062" s="66" t="n">
        <x:v>2021</x:v>
      </x:c>
      <x:c r="E3062" s="67"/>
      <x:c r="F3062" s="68"/>
      <x:c r="G3062" s="69" t="str">
        <x:f>IF(COUNT(E3062:F3062)=2,E3062*F3062,"")</x:f>
      </x:c>
    </x:row>
    <x:row r="3063">
      <x:c r="A3063" s="66" t="n">
        <x:v>20</x:v>
      </x:c>
      <x:c r="B3063" s="44" t="str">
        <x:v>Canola/Rapeseed</x:v>
      </x:c>
      <x:c r="C3063" s="44" t="str">
        <x:v>P516L</x:v>
      </x:c>
      <x:c r="D3063" s="66" t="n">
        <x:v>2022</x:v>
      </x:c>
      <x:c r="E3063" s="67"/>
      <x:c r="F3063" s="68"/>
      <x:c r="G3063" s="69" t="str">
        <x:f>IF(COUNT(E3063:F3063)=2,E3063*F3063,"")</x:f>
      </x:c>
    </x:row>
    <x:row r="3064">
      <x:c r="A3064" s="66" t="n">
        <x:v>20</x:v>
      </x:c>
      <x:c r="B3064" s="44" t="str">
        <x:v>Canola/Rapeseed</x:v>
      </x:c>
      <x:c r="C3064" s="44" t="str">
        <x:v>P516L</x:v>
      </x:c>
      <x:c r="D3064" s="66" t="n">
        <x:v>2023</x:v>
      </x:c>
      <x:c r="E3064" s="67" t="n">
        <x:v>2942</x:v>
      </x:c>
      <x:c r="F3064" s="68" t="n">
        <x:v>45.9</x:v>
      </x:c>
      <x:c r="G3064" s="69" t="n">
        <x:f>IF(COUNT(E3064:F3064)=2,E3064*F3064,"")</x:f>
        <x:v>135037.8</x:v>
      </x:c>
    </x:row>
    <x:row r="3065">
      <x:c r="A3065" s="66" t="n">
        <x:v>20</x:v>
      </x:c>
      <x:c r="B3065" s="44" t="str">
        <x:v>Canola/Rapeseed</x:v>
      </x:c>
      <x:c r="C3065" s="44" t="str">
        <x:v>P516L</x:v>
      </x:c>
      <x:c r="D3065" s="66" t="n">
        <x:v>2024</x:v>
      </x:c>
      <x:c r="E3065" s="67" t="n">
        <x:v>23233</x:v>
      </x:c>
      <x:c r="F3065" s="68" t="n">
        <x:v>34.3</x:v>
      </x:c>
      <x:c r="G3065" s="69" t="n">
        <x:f>IF(COUNT(E3065:F3065)=2,E3065*F3065,"")</x:f>
        <x:v>796891.8999999999</x:v>
      </x:c>
    </x:row>
    <x:row r="3066">
      <x:c r="A3066" s="66" t="n">
        <x:v>20</x:v>
      </x:c>
      <x:c r="B3066" s="44" t="str">
        <x:v>Canola/Rapeseed</x:v>
      </x:c>
      <x:c r="C3066" s="44" t="str">
        <x:v>P516L</x:v>
      </x:c>
      <x:c r="D3066" s="66" t="n">
        <x:v>2025</x:v>
      </x:c>
      <x:c r="E3066" s="67" t="n">
        <x:v>3953</x:v>
      </x:c>
      <x:c r="F3066" s="68" t="n">
        <x:v>44.3</x:v>
      </x:c>
      <x:c r="G3066" s="69" t="n">
        <x:f>IF(COUNT(E3066:F3066)=2,E3066*F3066,"")</x:f>
        <x:v>175117.9</x:v>
      </x:c>
    </x:row>
    <x:row r="3067">
      <x:c r="A3067" s="66" t="n">
        <x:v>20</x:v>
      </x:c>
      <x:c r="B3067" s="44" t="str">
        <x:v>Canola/Rapeseed</x:v>
      </x:c>
      <x:c r="C3067" s="44" t="str">
        <x:v>P519L</x:v>
      </x:c>
      <x:c r="D3067" s="66" t="n">
        <x:v>2021</x:v>
      </x:c>
      <x:c r="E3067" s="67"/>
      <x:c r="F3067" s="68"/>
      <x:c r="G3067" s="69" t="str">
        <x:f>IF(COUNT(E3067:F3067)=2,E3067*F3067,"")</x:f>
      </x:c>
    </x:row>
    <x:row r="3068">
      <x:c r="A3068" s="66" t="n">
        <x:v>20</x:v>
      </x:c>
      <x:c r="B3068" s="44" t="str">
        <x:v>Canola/Rapeseed</x:v>
      </x:c>
      <x:c r="C3068" s="44" t="str">
        <x:v>P519L</x:v>
      </x:c>
      <x:c r="D3068" s="66" t="n">
        <x:v>2022</x:v>
      </x:c>
      <x:c r="E3068" s="67"/>
      <x:c r="F3068" s="68"/>
      <x:c r="G3068" s="69" t="str">
        <x:f>IF(COUNT(E3068:F3068)=2,E3068*F3068,"")</x:f>
      </x:c>
    </x:row>
    <x:row r="3069">
      <x:c r="A3069" s="66" t="n">
        <x:v>20</x:v>
      </x:c>
      <x:c r="B3069" s="44" t="str">
        <x:v>Canola/Rapeseed</x:v>
      </x:c>
      <x:c r="C3069" s="44" t="str">
        <x:v>P519L</x:v>
      </x:c>
      <x:c r="D3069" s="66" t="n">
        <x:v>2023</x:v>
      </x:c>
      <x:c r="E3069" s="67"/>
      <x:c r="F3069" s="68"/>
      <x:c r="G3069" s="69" t="str">
        <x:f>IF(COUNT(E3069:F3069)=2,E3069*F3069,"")</x:f>
      </x:c>
    </x:row>
    <x:row r="3070">
      <x:c r="A3070" s="66" t="n">
        <x:v>20</x:v>
      </x:c>
      <x:c r="B3070" s="44" t="str">
        <x:v>Canola/Rapeseed</x:v>
      </x:c>
      <x:c r="C3070" s="44" t="str">
        <x:v>P519L</x:v>
      </x:c>
      <x:c r="D3070" s="66" t="n">
        <x:v>2024</x:v>
      </x:c>
      <x:c r="E3070" s="67" t="n">
        <x:v>740</x:v>
      </x:c>
      <x:c r="F3070" s="68" t="n">
        <x:v>37.2</x:v>
      </x:c>
      <x:c r="G3070" s="69" t="n">
        <x:f>IF(COUNT(E3070:F3070)=2,E3070*F3070,"")</x:f>
        <x:v>27528.000000000004</x:v>
      </x:c>
    </x:row>
    <x:row r="3071">
      <x:c r="A3071" s="66" t="n">
        <x:v>20</x:v>
      </x:c>
      <x:c r="B3071" s="44" t="str">
        <x:v>Canola/Rapeseed</x:v>
      </x:c>
      <x:c r="C3071" s="44" t="str">
        <x:v>P519L</x:v>
      </x:c>
      <x:c r="D3071" s="66" t="n">
        <x:v>2025</x:v>
      </x:c>
      <x:c r="E3071" s="67" t="n">
        <x:v>12339</x:v>
      </x:c>
      <x:c r="F3071" s="68" t="n">
        <x:v>46</x:v>
      </x:c>
      <x:c r="G3071" s="69" t="n">
        <x:f>IF(COUNT(E3071:F3071)=2,E3071*F3071,"")</x:f>
        <x:v>567594</x:v>
      </x:c>
    </x:row>
    <x:row r="3072">
      <x:c r="A3072" s="66" t="n">
        <x:v>20</x:v>
      </x:c>
      <x:c r="B3072" s="44" t="str">
        <x:v>Canola/Rapeseed</x:v>
      </x:c>
      <x:c r="C3072" s="44" t="str">
        <x:v>P520L</x:v>
      </x:c>
      <x:c r="D3072" s="66" t="n">
        <x:v>2021</x:v>
      </x:c>
      <x:c r="E3072" s="67"/>
      <x:c r="F3072" s="68"/>
      <x:c r="G3072" s="69" t="str">
        <x:f>IF(COUNT(E3072:F3072)=2,E3072*F3072,"")</x:f>
      </x:c>
    </x:row>
    <x:row r="3073">
      <x:c r="A3073" s="66" t="n">
        <x:v>20</x:v>
      </x:c>
      <x:c r="B3073" s="44" t="str">
        <x:v>Canola/Rapeseed</x:v>
      </x:c>
      <x:c r="C3073" s="44" t="str">
        <x:v>P520L</x:v>
      </x:c>
      <x:c r="D3073" s="66" t="n">
        <x:v>2022</x:v>
      </x:c>
      <x:c r="E3073" s="67"/>
      <x:c r="F3073" s="68"/>
      <x:c r="G3073" s="69" t="str">
        <x:f>IF(COUNT(E3073:F3073)=2,E3073*F3073,"")</x:f>
      </x:c>
    </x:row>
    <x:row r="3074">
      <x:c r="A3074" s="66" t="n">
        <x:v>20</x:v>
      </x:c>
      <x:c r="B3074" s="44" t="str">
        <x:v>Canola/Rapeseed</x:v>
      </x:c>
      <x:c r="C3074" s="44" t="str">
        <x:v>P520L</x:v>
      </x:c>
      <x:c r="D3074" s="66" t="n">
        <x:v>2023</x:v>
      </x:c>
      <x:c r="E3074" s="67"/>
      <x:c r="F3074" s="68"/>
      <x:c r="G3074" s="69" t="str">
        <x:f>IF(COUNT(E3074:F3074)=2,E3074*F3074,"")</x:f>
      </x:c>
    </x:row>
    <x:row r="3075">
      <x:c r="A3075" s="66" t="n">
        <x:v>20</x:v>
      </x:c>
      <x:c r="B3075" s="44" t="str">
        <x:v>Canola/Rapeseed</x:v>
      </x:c>
      <x:c r="C3075" s="44" t="str">
        <x:v>P520L</x:v>
      </x:c>
      <x:c r="D3075" s="66" t="n">
        <x:v>2024</x:v>
      </x:c>
      <x:c r="E3075" s="67" t="n">
        <x:v>1077</x:v>
      </x:c>
      <x:c r="F3075" s="68" t="n">
        <x:v>33.8</x:v>
      </x:c>
      <x:c r="G3075" s="69" t="n">
        <x:f>IF(COUNT(E3075:F3075)=2,E3075*F3075,"")</x:f>
        <x:v>36402.6</x:v>
      </x:c>
    </x:row>
    <x:row r="3076">
      <x:c r="A3076" s="66" t="n">
        <x:v>20</x:v>
      </x:c>
      <x:c r="B3076" s="44" t="str">
        <x:v>Canola/Rapeseed</x:v>
      </x:c>
      <x:c r="C3076" s="44" t="str">
        <x:v>P520L</x:v>
      </x:c>
      <x:c r="D3076" s="66" t="n">
        <x:v>2025</x:v>
      </x:c>
      <x:c r="E3076" s="67" t="n">
        <x:v>25116</x:v>
      </x:c>
      <x:c r="F3076" s="68" t="n">
        <x:v>49.1</x:v>
      </x:c>
      <x:c r="G3076" s="69" t="n">
        <x:f>IF(COUNT(E3076:F3076)=2,E3076*F3076,"")</x:f>
        <x:v>1233195.6</x:v>
      </x:c>
    </x:row>
    <x:row r="3077">
      <x:c r="A3077" s="66" t="n">
        <x:v>20</x:v>
      </x:c>
      <x:c r="B3077" s="44" t="str">
        <x:v>Canola/Rapeseed</x:v>
      </x:c>
      <x:c r="C3077" s="44" t="str">
        <x:v>P612L</x:v>
      </x:c>
      <x:c r="D3077" s="66" t="n">
        <x:v>2021</x:v>
      </x:c>
      <x:c r="E3077" s="67"/>
      <x:c r="F3077" s="68"/>
      <x:c r="G3077" s="69" t="str">
        <x:f>IF(COUNT(E3077:F3077)=2,E3077*F3077,"")</x:f>
      </x:c>
    </x:row>
    <x:row r="3078">
      <x:c r="A3078" s="66" t="n">
        <x:v>20</x:v>
      </x:c>
      <x:c r="B3078" s="44" t="str">
        <x:v>Canola/Rapeseed</x:v>
      </x:c>
      <x:c r="C3078" s="44" t="str">
        <x:v>P612L</x:v>
      </x:c>
      <x:c r="D3078" s="66" t="n">
        <x:v>2022</x:v>
      </x:c>
      <x:c r="E3078" s="67" t="n">
        <x:v>640</x:v>
      </x:c>
      <x:c r="F3078" s="68" t="n">
        <x:v>44.1</x:v>
      </x:c>
      <x:c r="G3078" s="69" t="n">
        <x:f>IF(COUNT(E3078:F3078)=2,E3078*F3078,"")</x:f>
        <x:v>28224</x:v>
      </x:c>
    </x:row>
    <x:row r="3079">
      <x:c r="A3079" s="66" t="n">
        <x:v>20</x:v>
      </x:c>
      <x:c r="B3079" s="44" t="str">
        <x:v>Canola/Rapeseed</x:v>
      </x:c>
      <x:c r="C3079" s="44" t="str">
        <x:v>P612L</x:v>
      </x:c>
      <x:c r="D3079" s="66" t="n">
        <x:v>2023</x:v>
      </x:c>
      <x:c r="E3079" s="67" t="n">
        <x:v>10234</x:v>
      </x:c>
      <x:c r="F3079" s="68" t="n">
        <x:v>41.9</x:v>
      </x:c>
      <x:c r="G3079" s="69" t="n">
        <x:f>IF(COUNT(E3079:F3079)=2,E3079*F3079,"")</x:f>
        <x:v>428804.6</x:v>
      </x:c>
    </x:row>
    <x:row r="3080">
      <x:c r="A3080" s="66" t="n">
        <x:v>20</x:v>
      </x:c>
      <x:c r="B3080" s="44" t="str">
        <x:v>Canola/Rapeseed</x:v>
      </x:c>
      <x:c r="C3080" s="44" t="str">
        <x:v>P612L</x:v>
      </x:c>
      <x:c r="D3080" s="66" t="n">
        <x:v>2024</x:v>
      </x:c>
      <x:c r="E3080" s="67" t="n">
        <x:v>7863</x:v>
      </x:c>
      <x:c r="F3080" s="68" t="n">
        <x:v>28</x:v>
      </x:c>
      <x:c r="G3080" s="69" t="n">
        <x:f>IF(COUNT(E3080:F3080)=2,E3080*F3080,"")</x:f>
        <x:v>220164</x:v>
      </x:c>
    </x:row>
    <x:row r="3081">
      <x:c r="A3081" s="66" t="n">
        <x:v>20</x:v>
      </x:c>
      <x:c r="B3081" s="44" t="str">
        <x:v>Canola/Rapeseed</x:v>
      </x:c>
      <x:c r="C3081" s="44" t="str">
        <x:v>P612L</x:v>
      </x:c>
      <x:c r="D3081" s="66" t="n">
        <x:v>2025</x:v>
      </x:c>
      <x:c r="E3081" s="67" t="n">
        <x:v>8622</x:v>
      </x:c>
      <x:c r="F3081" s="68" t="n">
        <x:v>53.9</x:v>
      </x:c>
      <x:c r="G3081" s="69" t="n">
        <x:f>IF(COUNT(E3081:F3081)=2,E3081*F3081,"")</x:f>
        <x:v>464725.8</x:v>
      </x:c>
    </x:row>
    <x:row r="3082">
      <x:c r="A3082" s="66" t="n">
        <x:v>20</x:v>
      </x:c>
      <x:c r="B3082" s="44" t="str">
        <x:v>Canola/Rapeseed</x:v>
      </x:c>
      <x:c r="C3082" s="44" t="str">
        <x:v>P617SL</x:v>
      </x:c>
      <x:c r="D3082" s="66" t="n">
        <x:v>2021</x:v>
      </x:c>
      <x:c r="E3082" s="67"/>
      <x:c r="F3082" s="68"/>
      <x:c r="G3082" s="69" t="str">
        <x:f>IF(COUNT(E3082:F3082)=2,E3082*F3082,"")</x:f>
      </x:c>
    </x:row>
    <x:row r="3083">
      <x:c r="A3083" s="66" t="n">
        <x:v>20</x:v>
      </x:c>
      <x:c r="B3083" s="44" t="str">
        <x:v>Canola/Rapeseed</x:v>
      </x:c>
      <x:c r="C3083" s="44" t="str">
        <x:v>P617SL</x:v>
      </x:c>
      <x:c r="D3083" s="66" t="n">
        <x:v>2022</x:v>
      </x:c>
      <x:c r="E3083" s="67"/>
      <x:c r="F3083" s="68"/>
      <x:c r="G3083" s="69" t="str">
        <x:f>IF(COUNT(E3083:F3083)=2,E3083*F3083,"")</x:f>
      </x:c>
    </x:row>
    <x:row r="3084">
      <x:c r="A3084" s="66" t="n">
        <x:v>20</x:v>
      </x:c>
      <x:c r="B3084" s="44" t="str">
        <x:v>Canola/Rapeseed</x:v>
      </x:c>
      <x:c r="C3084" s="44" t="str">
        <x:v>P617SL</x:v>
      </x:c>
      <x:c r="D3084" s="66" t="n">
        <x:v>2023</x:v>
      </x:c>
      <x:c r="E3084" s="67"/>
      <x:c r="F3084" s="68"/>
      <x:c r="G3084" s="69" t="str">
        <x:f>IF(COUNT(E3084:F3084)=2,E3084*F3084,"")</x:f>
      </x:c>
    </x:row>
    <x:row r="3085">
      <x:c r="A3085" s="66" t="n">
        <x:v>20</x:v>
      </x:c>
      <x:c r="B3085" s="44" t="str">
        <x:v>Canola/Rapeseed</x:v>
      </x:c>
      <x:c r="C3085" s="44" t="str">
        <x:v>P617SL</x:v>
      </x:c>
      <x:c r="D3085" s="66" t="n">
        <x:v>2024</x:v>
      </x:c>
      <x:c r="E3085" s="67"/>
      <x:c r="F3085" s="68"/>
      <x:c r="G3085" s="69" t="str">
        <x:f>IF(COUNT(E3085:F3085)=2,E3085*F3085,"")</x:f>
      </x:c>
    </x:row>
    <x:row r="3086">
      <x:c r="A3086" s="66" t="n">
        <x:v>20</x:v>
      </x:c>
      <x:c r="B3086" s="44" t="str">
        <x:v>Canola/Rapeseed</x:v>
      </x:c>
      <x:c r="C3086" s="44" t="str">
        <x:v>P617SL</x:v>
      </x:c>
      <x:c r="D3086" s="66" t="n">
        <x:v>2025</x:v>
      </x:c>
      <x:c r="E3086" s="67" t="n">
        <x:v>2551</x:v>
      </x:c>
      <x:c r="F3086" s="68" t="n">
        <x:v>33.7</x:v>
      </x:c>
      <x:c r="G3086" s="69" t="n">
        <x:f>IF(COUNT(E3086:F3086)=2,E3086*F3086,"")</x:f>
        <x:v>85968.70000000001</x:v>
      </x:c>
    </x:row>
    <x:row r="3087">
      <x:c r="A3087" s="66" t="n">
        <x:v>20</x:v>
      </x:c>
      <x:c r="B3087" s="44" t="str">
        <x:v>Canola/Rapeseed</x:v>
      </x:c>
      <x:c r="C3087" s="44" t="str">
        <x:v>401 HYOLA</x:v>
      </x:c>
      <x:c r="D3087" s="66" t="n">
        <x:v>2021</x:v>
      </x:c>
      <x:c r="E3087" s="67"/>
      <x:c r="F3087" s="68"/>
      <x:c r="G3087" s="69" t="str">
        <x:f>IF(COUNT(E3087:F3087)=2,E3087*F3087,"")</x:f>
      </x:c>
    </x:row>
    <x:row r="3088">
      <x:c r="A3088" s="66" t="n">
        <x:v>20</x:v>
      </x:c>
      <x:c r="B3088" s="44" t="str">
        <x:v>Canola/Rapeseed</x:v>
      </x:c>
      <x:c r="C3088" s="44" t="str">
        <x:v>401 HYOLA</x:v>
      </x:c>
      <x:c r="D3088" s="66" t="n">
        <x:v>2022</x:v>
      </x:c>
      <x:c r="E3088" s="67"/>
      <x:c r="F3088" s="68"/>
      <x:c r="G3088" s="69" t="str">
        <x:f>IF(COUNT(E3088:F3088)=2,E3088*F3088,"")</x:f>
      </x:c>
    </x:row>
    <x:row r="3089">
      <x:c r="A3089" s="66" t="n">
        <x:v>20</x:v>
      </x:c>
      <x:c r="B3089" s="44" t="str">
        <x:v>Canola/Rapeseed</x:v>
      </x:c>
      <x:c r="C3089" s="44" t="str">
        <x:v>401 HYOLA</x:v>
      </x:c>
      <x:c r="D3089" s="66" t="n">
        <x:v>2023</x:v>
      </x:c>
      <x:c r="E3089" s="67"/>
      <x:c r="F3089" s="68"/>
      <x:c r="G3089" s="69" t="str">
        <x:f>IF(COUNT(E3089:F3089)=2,E3089*F3089,"")</x:f>
      </x:c>
    </x:row>
    <x:row r="3090">
      <x:c r="A3090" s="66" t="n">
        <x:v>20</x:v>
      </x:c>
      <x:c r="B3090" s="44" t="str">
        <x:v>Canola/Rapeseed</x:v>
      </x:c>
      <x:c r="C3090" s="44" t="str">
        <x:v>401 HYOLA</x:v>
      </x:c>
      <x:c r="D3090" s="66" t="n">
        <x:v>2024</x:v>
      </x:c>
      <x:c r="E3090" s="67"/>
      <x:c r="F3090" s="68"/>
      <x:c r="G3090" s="69" t="str">
        <x:f>IF(COUNT(E3090:F3090)=2,E3090*F3090,"")</x:f>
      </x:c>
    </x:row>
    <x:row r="3091">
      <x:c r="A3091" s="66" t="n">
        <x:v>20</x:v>
      </x:c>
      <x:c r="B3091" s="44" t="str">
        <x:v>Canola/Rapeseed</x:v>
      </x:c>
      <x:c r="C3091" s="44" t="str">
        <x:v>401 HYOLA</x:v>
      </x:c>
      <x:c r="D3091" s="66" t="n">
        <x:v>2025</x:v>
      </x:c>
      <x:c r="E3091" s="67" t="n">
        <x:v>1429</x:v>
      </x:c>
      <x:c r="F3091" s="68" t="n">
        <x:v>51.5</x:v>
      </x:c>
      <x:c r="G3091" s="69" t="n">
        <x:f>IF(COUNT(E3091:F3091)=2,E3091*F3091,"")</x:f>
        <x:v>73593.5</x:v>
      </x:c>
    </x:row>
    <x:row r="3092">
      <x:c r="A3092" s="66" t="n">
        <x:v>20</x:v>
      </x:c>
      <x:c r="B3092" s="44" t="str">
        <x:v>Canola/Rapeseed</x:v>
      </x:c>
      <x:c r="C3092" s="44" t="str">
        <x:v>45H42</x:v>
      </x:c>
      <x:c r="D3092" s="66" t="n">
        <x:v>2021</x:v>
      </x:c>
      <x:c r="E3092" s="67" t="n">
        <x:v>9386</x:v>
      </x:c>
      <x:c r="F3092" s="68" t="n">
        <x:v>30.5</x:v>
      </x:c>
      <x:c r="G3092" s="69" t="n">
        <x:f>IF(COUNT(E3092:F3092)=2,E3092*F3092,"")</x:f>
        <x:v>286273</x:v>
      </x:c>
    </x:row>
    <x:row r="3093">
      <x:c r="A3093" s="66" t="n">
        <x:v>20</x:v>
      </x:c>
      <x:c r="B3093" s="44" t="str">
        <x:v>Canola/Rapeseed</x:v>
      </x:c>
      <x:c r="C3093" s="44" t="str">
        <x:v>45H42</x:v>
      </x:c>
      <x:c r="D3093" s="66" t="n">
        <x:v>2022</x:v>
      </x:c>
      <x:c r="E3093" s="67" t="n">
        <x:v>12634</x:v>
      </x:c>
      <x:c r="F3093" s="68" t="n">
        <x:v>41.7</x:v>
      </x:c>
      <x:c r="G3093" s="69" t="n">
        <x:f>IF(COUNT(E3093:F3093)=2,E3093*F3093,"")</x:f>
        <x:v>526837.8</x:v>
      </x:c>
    </x:row>
    <x:row r="3094">
      <x:c r="A3094" s="66" t="n">
        <x:v>20</x:v>
      </x:c>
      <x:c r="B3094" s="44" t="str">
        <x:v>Canola/Rapeseed</x:v>
      </x:c>
      <x:c r="C3094" s="44" t="str">
        <x:v>45H42</x:v>
      </x:c>
      <x:c r="D3094" s="66" t="n">
        <x:v>2023</x:v>
      </x:c>
      <x:c r="E3094" s="67" t="n">
        <x:v>12937</x:v>
      </x:c>
      <x:c r="F3094" s="68" t="n">
        <x:v>46.2</x:v>
      </x:c>
      <x:c r="G3094" s="69" t="n">
        <x:f>IF(COUNT(E3094:F3094)=2,E3094*F3094,"")</x:f>
        <x:v>597689.4</x:v>
      </x:c>
    </x:row>
    <x:row r="3095">
      <x:c r="A3095" s="66" t="n">
        <x:v>20</x:v>
      </x:c>
      <x:c r="B3095" s="44" t="str">
        <x:v>Canola/Rapeseed</x:v>
      </x:c>
      <x:c r="C3095" s="44" t="str">
        <x:v>45H42</x:v>
      </x:c>
      <x:c r="D3095" s="66" t="n">
        <x:v>2024</x:v>
      </x:c>
      <x:c r="E3095" s="67" t="n">
        <x:v>9920</x:v>
      </x:c>
      <x:c r="F3095" s="68" t="n">
        <x:v>33.9</x:v>
      </x:c>
      <x:c r="G3095" s="69" t="n">
        <x:f>IF(COUNT(E3095:F3095)=2,E3095*F3095,"")</x:f>
        <x:v>336288</x:v>
      </x:c>
    </x:row>
    <x:row r="3096">
      <x:c r="A3096" s="66" t="n">
        <x:v>20</x:v>
      </x:c>
      <x:c r="B3096" s="44" t="str">
        <x:v>Canola/Rapeseed</x:v>
      </x:c>
      <x:c r="C3096" s="44" t="str">
        <x:v>45H42</x:v>
      </x:c>
      <x:c r="D3096" s="66" t="n">
        <x:v>2025</x:v>
      </x:c>
      <x:c r="E3096" s="67" t="n">
        <x:v>2851</x:v>
      </x:c>
      <x:c r="F3096" s="68" t="n">
        <x:v>48.9</x:v>
      </x:c>
      <x:c r="G3096" s="69" t="n">
        <x:f>IF(COUNT(E3096:F3096)=2,E3096*F3096,"")</x:f>
        <x:v>139413.9</x:v>
      </x:c>
    </x:row>
    <x:row r="3097">
      <x:c r="A3097" s="66" t="n">
        <x:v>21</x:v>
      </x:c>
      <x:c r="B3097" s="44" t="str">
        <x:v>Canola/Rapeseed</x:v>
      </x:c>
      <x:c r="C3097" s="44" t="str">
        <x:v>BY 5125CL</x:v>
      </x:c>
      <x:c r="D3097" s="66" t="n">
        <x:v>2021</x:v>
      </x:c>
      <x:c r="E3097" s="67" t="n">
        <x:v>2663</x:v>
      </x:c>
      <x:c r="F3097" s="68" t="n">
        <x:v>15.2</x:v>
      </x:c>
      <x:c r="G3097" s="69" t="n">
        <x:f>IF(COUNT(E3097:F3097)=2,E3097*F3097,"")</x:f>
        <x:v>40477.6</x:v>
      </x:c>
    </x:row>
    <x:row r="3098">
      <x:c r="A3098" s="66" t="n">
        <x:v>21</x:v>
      </x:c>
      <x:c r="B3098" s="44" t="str">
        <x:v>Canola/Rapeseed</x:v>
      </x:c>
      <x:c r="C3098" s="44" t="str">
        <x:v>BY 5125CL</x:v>
      </x:c>
      <x:c r="D3098" s="66" t="n">
        <x:v>2022</x:v>
      </x:c>
      <x:c r="E3098" s="67" t="n">
        <x:v>1023</x:v>
      </x:c>
      <x:c r="F3098" s="68" t="n">
        <x:v>44.2</x:v>
      </x:c>
      <x:c r="G3098" s="69" t="n">
        <x:f>IF(COUNT(E3098:F3098)=2,E3098*F3098,"")</x:f>
        <x:v>45216.600000000006</x:v>
      </x:c>
    </x:row>
    <x:row r="3099">
      <x:c r="A3099" s="66" t="n">
        <x:v>21</x:v>
      </x:c>
      <x:c r="B3099" s="44" t="str">
        <x:v>Canola/Rapeseed</x:v>
      </x:c>
      <x:c r="C3099" s="44" t="str">
        <x:v>BY 5125CL</x:v>
      </x:c>
      <x:c r="D3099" s="66" t="n">
        <x:v>2023</x:v>
      </x:c>
      <x:c r="E3099" s="67" t="n">
        <x:v>1085</x:v>
      </x:c>
      <x:c r="F3099" s="68" t="n">
        <x:v>49.1</x:v>
      </x:c>
      <x:c r="G3099" s="69" t="n">
        <x:f>IF(COUNT(E3099:F3099)=2,E3099*F3099,"")</x:f>
        <x:v>53273.5</x:v>
      </x:c>
    </x:row>
    <x:row r="3100">
      <x:c r="A3100" s="66" t="n">
        <x:v>21</x:v>
      </x:c>
      <x:c r="B3100" s="44" t="str">
        <x:v>Canola/Rapeseed</x:v>
      </x:c>
      <x:c r="C3100" s="44" t="str">
        <x:v>BY 5125CL</x:v>
      </x:c>
      <x:c r="D3100" s="66" t="n">
        <x:v>2024</x:v>
      </x:c>
      <x:c r="E3100" s="67"/>
      <x:c r="F3100" s="68"/>
      <x:c r="G3100" s="69" t="str">
        <x:f>IF(COUNT(E3100:F3100)=2,E3100*F3100,"")</x:f>
      </x:c>
    </x:row>
    <x:row r="3101">
      <x:c r="A3101" s="66" t="n">
        <x:v>21</x:v>
      </x:c>
      <x:c r="B3101" s="44" t="str">
        <x:v>Canola/Rapeseed</x:v>
      </x:c>
      <x:c r="C3101" s="44" t="str">
        <x:v>BY 5125CL</x:v>
      </x:c>
      <x:c r="D3101" s="66" t="n">
        <x:v>2025</x:v>
      </x:c>
      <x:c r="E3101" s="67" t="n">
        <x:v>3675</x:v>
      </x:c>
      <x:c r="F3101" s="68" t="n">
        <x:v>34.7</x:v>
      </x:c>
      <x:c r="G3101" s="69" t="n">
        <x:f>IF(COUNT(E3101:F3101)=2,E3101*F3101,"")</x:f>
        <x:v>127522.50000000001</x:v>
      </x:c>
    </x:row>
    <x:row r="3102">
      <x:c r="A3102" s="66" t="n">
        <x:v>21</x:v>
      </x:c>
      <x:c r="B3102" s="44" t="str">
        <x:v>Canola/Rapeseed</x:v>
      </x:c>
      <x:c r="C3102" s="44" t="str">
        <x:v>BY 6211TF</x:v>
      </x:c>
      <x:c r="D3102" s="66" t="n">
        <x:v>2021</x:v>
      </x:c>
      <x:c r="E3102" s="67"/>
      <x:c r="F3102" s="68"/>
      <x:c r="G3102" s="69" t="str">
        <x:f>IF(COUNT(E3102:F3102)=2,E3102*F3102,"")</x:f>
      </x:c>
    </x:row>
    <x:row r="3103">
      <x:c r="A3103" s="66" t="n">
        <x:v>21</x:v>
      </x:c>
      <x:c r="B3103" s="44" t="str">
        <x:v>Canola/Rapeseed</x:v>
      </x:c>
      <x:c r="C3103" s="44" t="str">
        <x:v>BY 6211TF</x:v>
      </x:c>
      <x:c r="D3103" s="66" t="n">
        <x:v>2022</x:v>
      </x:c>
      <x:c r="E3103" s="67"/>
      <x:c r="F3103" s="68"/>
      <x:c r="G3103" s="69" t="str">
        <x:f>IF(COUNT(E3103:F3103)=2,E3103*F3103,"")</x:f>
      </x:c>
    </x:row>
    <x:row r="3104">
      <x:c r="A3104" s="66" t="n">
        <x:v>21</x:v>
      </x:c>
      <x:c r="B3104" s="44" t="str">
        <x:v>Canola/Rapeseed</x:v>
      </x:c>
      <x:c r="C3104" s="44" t="str">
        <x:v>BY 6211TF</x:v>
      </x:c>
      <x:c r="D3104" s="66" t="n">
        <x:v>2023</x:v>
      </x:c>
      <x:c r="E3104" s="67" t="n">
        <x:v>5038</x:v>
      </x:c>
      <x:c r="F3104" s="68" t="n">
        <x:v>48.1</x:v>
      </x:c>
      <x:c r="G3104" s="69" t="n">
        <x:f>IF(COUNT(E3104:F3104)=2,E3104*F3104,"")</x:f>
        <x:v>242327.80000000002</x:v>
      </x:c>
    </x:row>
    <x:row r="3105">
      <x:c r="A3105" s="66" t="n">
        <x:v>21</x:v>
      </x:c>
      <x:c r="B3105" s="44" t="str">
        <x:v>Canola/Rapeseed</x:v>
      </x:c>
      <x:c r="C3105" s="44" t="str">
        <x:v>BY 6211TF</x:v>
      </x:c>
      <x:c r="D3105" s="66" t="n">
        <x:v>2024</x:v>
      </x:c>
      <x:c r="E3105" s="67" t="n">
        <x:v>5055</x:v>
      </x:c>
      <x:c r="F3105" s="68" t="n">
        <x:v>33.2</x:v>
      </x:c>
      <x:c r="G3105" s="69" t="n">
        <x:f>IF(COUNT(E3105:F3105)=2,E3105*F3105,"")</x:f>
        <x:v>167826</x:v>
      </x:c>
    </x:row>
    <x:row r="3106">
      <x:c r="A3106" s="66" t="n">
        <x:v>21</x:v>
      </x:c>
      <x:c r="B3106" s="44" t="str">
        <x:v>Canola/Rapeseed</x:v>
      </x:c>
      <x:c r="C3106" s="44" t="str">
        <x:v>BY 6211TF</x:v>
      </x:c>
      <x:c r="D3106" s="66" t="n">
        <x:v>2025</x:v>
      </x:c>
      <x:c r="E3106" s="67" t="n">
        <x:v>3118</x:v>
      </x:c>
      <x:c r="F3106" s="68" t="n">
        <x:v>43</x:v>
      </x:c>
      <x:c r="G3106" s="69" t="n">
        <x:f>IF(COUNT(E3106:F3106)=2,E3106*F3106,"")</x:f>
        <x:v>134074</x:v>
      </x:c>
    </x:row>
    <x:row r="3107">
      <x:c r="A3107" s="66" t="n">
        <x:v>21</x:v>
      </x:c>
      <x:c r="B3107" s="44" t="str">
        <x:v>Canola/Rapeseed</x:v>
      </x:c>
      <x:c r="C3107" s="44" t="str">
        <x:v>BY 6214TF</x:v>
      </x:c>
      <x:c r="D3107" s="66" t="n">
        <x:v>2021</x:v>
      </x:c>
      <x:c r="E3107" s="67"/>
      <x:c r="F3107" s="68"/>
      <x:c r="G3107" s="69" t="str">
        <x:f>IF(COUNT(E3107:F3107)=2,E3107*F3107,"")</x:f>
      </x:c>
    </x:row>
    <x:row r="3108">
      <x:c r="A3108" s="66" t="n">
        <x:v>21</x:v>
      </x:c>
      <x:c r="B3108" s="44" t="str">
        <x:v>Canola/Rapeseed</x:v>
      </x:c>
      <x:c r="C3108" s="44" t="str">
        <x:v>BY 6214TF</x:v>
      </x:c>
      <x:c r="D3108" s="66" t="n">
        <x:v>2022</x:v>
      </x:c>
      <x:c r="E3108" s="67"/>
      <x:c r="F3108" s="68"/>
      <x:c r="G3108" s="69" t="str">
        <x:f>IF(COUNT(E3108:F3108)=2,E3108*F3108,"")</x:f>
      </x:c>
    </x:row>
    <x:row r="3109">
      <x:c r="A3109" s="66" t="n">
        <x:v>21</x:v>
      </x:c>
      <x:c r="B3109" s="44" t="str">
        <x:v>Canola/Rapeseed</x:v>
      </x:c>
      <x:c r="C3109" s="44" t="str">
        <x:v>BY 6214TF</x:v>
      </x:c>
      <x:c r="D3109" s="66" t="n">
        <x:v>2023</x:v>
      </x:c>
      <x:c r="E3109" s="67"/>
      <x:c r="F3109" s="68"/>
      <x:c r="G3109" s="69" t="str">
        <x:f>IF(COUNT(E3109:F3109)=2,E3109*F3109,"")</x:f>
      </x:c>
    </x:row>
    <x:row r="3110">
      <x:c r="A3110" s="66" t="n">
        <x:v>21</x:v>
      </x:c>
      <x:c r="B3110" s="44" t="str">
        <x:v>Canola/Rapeseed</x:v>
      </x:c>
      <x:c r="C3110" s="44" t="str">
        <x:v>BY 6214TF</x:v>
      </x:c>
      <x:c r="D3110" s="66" t="n">
        <x:v>2024</x:v>
      </x:c>
      <x:c r="E3110" s="67" t="n">
        <x:v>1673</x:v>
      </x:c>
      <x:c r="F3110" s="68" t="n">
        <x:v>32.9</x:v>
      </x:c>
      <x:c r="G3110" s="69" t="n">
        <x:f>IF(COUNT(E3110:F3110)=2,E3110*F3110,"")</x:f>
        <x:v>55041.7</x:v>
      </x:c>
    </x:row>
    <x:row r="3111">
      <x:c r="A3111" s="66" t="n">
        <x:v>21</x:v>
      </x:c>
      <x:c r="B3111" s="44" t="str">
        <x:v>Canola/Rapeseed</x:v>
      </x:c>
      <x:c r="C3111" s="44" t="str">
        <x:v>BY 6214TF</x:v>
      </x:c>
      <x:c r="D3111" s="66" t="n">
        <x:v>2025</x:v>
      </x:c>
      <x:c r="E3111" s="67" t="n">
        <x:v>547</x:v>
      </x:c>
      <x:c r="F3111" s="68" t="n">
        <x:v>38.7</x:v>
      </x:c>
      <x:c r="G3111" s="69" t="n">
        <x:f>IF(COUNT(E3111:F3111)=2,E3111*F3111,"")</x:f>
        <x:v>21168.9</x:v>
      </x:c>
    </x:row>
    <x:row r="3112">
      <x:c r="A3112" s="66" t="n">
        <x:v>21</x:v>
      </x:c>
      <x:c r="B3112" s="44" t="str">
        <x:v>Canola/Rapeseed</x:v>
      </x:c>
      <x:c r="C3112" s="44" t="str">
        <x:v>BY 6216TF</x:v>
      </x:c>
      <x:c r="D3112" s="66" t="n">
        <x:v>2021</x:v>
      </x:c>
      <x:c r="E3112" s="67"/>
      <x:c r="F3112" s="68"/>
      <x:c r="G3112" s="69" t="str">
        <x:f>IF(COUNT(E3112:F3112)=2,E3112*F3112,"")</x:f>
      </x:c>
    </x:row>
    <x:row r="3113">
      <x:c r="A3113" s="66" t="n">
        <x:v>21</x:v>
      </x:c>
      <x:c r="B3113" s="44" t="str">
        <x:v>Canola/Rapeseed</x:v>
      </x:c>
      <x:c r="C3113" s="44" t="str">
        <x:v>BY 6216TF</x:v>
      </x:c>
      <x:c r="D3113" s="66" t="n">
        <x:v>2022</x:v>
      </x:c>
      <x:c r="E3113" s="67"/>
      <x:c r="F3113" s="68"/>
      <x:c r="G3113" s="69" t="str">
        <x:f>IF(COUNT(E3113:F3113)=2,E3113*F3113,"")</x:f>
      </x:c>
    </x:row>
    <x:row r="3114">
      <x:c r="A3114" s="66" t="n">
        <x:v>21</x:v>
      </x:c>
      <x:c r="B3114" s="44" t="str">
        <x:v>Canola/Rapeseed</x:v>
      </x:c>
      <x:c r="C3114" s="44" t="str">
        <x:v>BY 6216TF</x:v>
      </x:c>
      <x:c r="D3114" s="66" t="n">
        <x:v>2023</x:v>
      </x:c>
      <x:c r="E3114" s="67"/>
      <x:c r="F3114" s="68"/>
      <x:c r="G3114" s="69" t="str">
        <x:f>IF(COUNT(E3114:F3114)=2,E3114*F3114,"")</x:f>
      </x:c>
    </x:row>
    <x:row r="3115">
      <x:c r="A3115" s="66" t="n">
        <x:v>21</x:v>
      </x:c>
      <x:c r="B3115" s="44" t="str">
        <x:v>Canola/Rapeseed</x:v>
      </x:c>
      <x:c r="C3115" s="44" t="str">
        <x:v>BY 6216TF</x:v>
      </x:c>
      <x:c r="D3115" s="66" t="n">
        <x:v>2024</x:v>
      </x:c>
      <x:c r="E3115" s="67" t="n">
        <x:v>922</x:v>
      </x:c>
      <x:c r="F3115" s="68" t="n">
        <x:v>38</x:v>
      </x:c>
      <x:c r="G3115" s="69" t="n">
        <x:f>IF(COUNT(E3115:F3115)=2,E3115*F3115,"")</x:f>
        <x:v>35036</x:v>
      </x:c>
    </x:row>
    <x:row r="3116">
      <x:c r="A3116" s="66" t="n">
        <x:v>21</x:v>
      </x:c>
      <x:c r="B3116" s="44" t="str">
        <x:v>Canola/Rapeseed</x:v>
      </x:c>
      <x:c r="C3116" s="44" t="str">
        <x:v>BY 6216TF</x:v>
      </x:c>
      <x:c r="D3116" s="66" t="n">
        <x:v>2025</x:v>
      </x:c>
      <x:c r="E3116" s="67" t="n">
        <x:v>1592</x:v>
      </x:c>
      <x:c r="F3116" s="68" t="n">
        <x:v>39.5</x:v>
      </x:c>
      <x:c r="G3116" s="69" t="n">
        <x:f>IF(COUNT(E3116:F3116)=2,E3116*F3116,"")</x:f>
        <x:v>62884</x:v>
      </x:c>
    </x:row>
    <x:row r="3117">
      <x:c r="A3117" s="66" t="n">
        <x:v>21</x:v>
      </x:c>
      <x:c r="B3117" s="44" t="str">
        <x:v>Canola/Rapeseed</x:v>
      </x:c>
      <x:c r="C3117" s="44" t="str">
        <x:v>BY 6217TF</x:v>
      </x:c>
      <x:c r="D3117" s="66" t="n">
        <x:v>2021</x:v>
      </x:c>
      <x:c r="E3117" s="67"/>
      <x:c r="F3117" s="68"/>
      <x:c r="G3117" s="69" t="str">
        <x:f>IF(COUNT(E3117:F3117)=2,E3117*F3117,"")</x:f>
      </x:c>
    </x:row>
    <x:row r="3118">
      <x:c r="A3118" s="66" t="n">
        <x:v>21</x:v>
      </x:c>
      <x:c r="B3118" s="44" t="str">
        <x:v>Canola/Rapeseed</x:v>
      </x:c>
      <x:c r="C3118" s="44" t="str">
        <x:v>BY 6217TF</x:v>
      </x:c>
      <x:c r="D3118" s="66" t="n">
        <x:v>2022</x:v>
      </x:c>
      <x:c r="E3118" s="67"/>
      <x:c r="F3118" s="68"/>
      <x:c r="G3118" s="69" t="str">
        <x:f>IF(COUNT(E3118:F3118)=2,E3118*F3118,"")</x:f>
      </x:c>
    </x:row>
    <x:row r="3119">
      <x:c r="A3119" s="66" t="n">
        <x:v>21</x:v>
      </x:c>
      <x:c r="B3119" s="44" t="str">
        <x:v>Canola/Rapeseed</x:v>
      </x:c>
      <x:c r="C3119" s="44" t="str">
        <x:v>BY 6217TF</x:v>
      </x:c>
      <x:c r="D3119" s="66" t="n">
        <x:v>2023</x:v>
      </x:c>
      <x:c r="E3119" s="67" t="n">
        <x:v>1324</x:v>
      </x:c>
      <x:c r="F3119" s="68" t="n">
        <x:v>40.7</x:v>
      </x:c>
      <x:c r="G3119" s="69" t="n">
        <x:f>IF(COUNT(E3119:F3119)=2,E3119*F3119,"")</x:f>
        <x:v>53886.8</x:v>
      </x:c>
    </x:row>
    <x:row r="3120">
      <x:c r="A3120" s="66" t="n">
        <x:v>21</x:v>
      </x:c>
      <x:c r="B3120" s="44" t="str">
        <x:v>Canola/Rapeseed</x:v>
      </x:c>
      <x:c r="C3120" s="44" t="str">
        <x:v>BY 6217TF</x:v>
      </x:c>
      <x:c r="D3120" s="66" t="n">
        <x:v>2024</x:v>
      </x:c>
      <x:c r="E3120" s="67" t="n">
        <x:v>1126</x:v>
      </x:c>
      <x:c r="F3120" s="68" t="n">
        <x:v>39.5</x:v>
      </x:c>
      <x:c r="G3120" s="69" t="n">
        <x:f>IF(COUNT(E3120:F3120)=2,E3120*F3120,"")</x:f>
        <x:v>44477</x:v>
      </x:c>
    </x:row>
    <x:row r="3121">
      <x:c r="A3121" s="66" t="n">
        <x:v>21</x:v>
      </x:c>
      <x:c r="B3121" s="44" t="str">
        <x:v>Canola/Rapeseed</x:v>
      </x:c>
      <x:c r="C3121" s="44" t="str">
        <x:v>BY 6217TF</x:v>
      </x:c>
      <x:c r="D3121" s="66" t="n">
        <x:v>2025</x:v>
      </x:c>
      <x:c r="E3121" s="67" t="n">
        <x:v>3193</x:v>
      </x:c>
      <x:c r="F3121" s="68" t="n">
        <x:v>29.8</x:v>
      </x:c>
      <x:c r="G3121" s="69" t="n">
        <x:f>IF(COUNT(E3121:F3121)=2,E3121*F3121,"")</x:f>
        <x:v>95151.40000000001</x:v>
      </x:c>
    </x:row>
    <x:row r="3122">
      <x:c r="A3122" s="66" t="n">
        <x:v>21</x:v>
      </x:c>
      <x:c r="B3122" s="44" t="str">
        <x:v>Canola/Rapeseed</x:v>
      </x:c>
      <x:c r="C3122" s="44" t="str">
        <x:v>BY 7204LL</x:v>
      </x:c>
      <x:c r="D3122" s="66" t="n">
        <x:v>2021</x:v>
      </x:c>
      <x:c r="E3122" s="67"/>
      <x:c r="F3122" s="68"/>
      <x:c r="G3122" s="69" t="str">
        <x:f>IF(COUNT(E3122:F3122)=2,E3122*F3122,"")</x:f>
      </x:c>
    </x:row>
    <x:row r="3123">
      <x:c r="A3123" s="66" t="n">
        <x:v>21</x:v>
      </x:c>
      <x:c r="B3123" s="44" t="str">
        <x:v>Canola/Rapeseed</x:v>
      </x:c>
      <x:c r="C3123" s="44" t="str">
        <x:v>BY 7204LL</x:v>
      </x:c>
      <x:c r="D3123" s="66" t="n">
        <x:v>2022</x:v>
      </x:c>
      <x:c r="E3123" s="67"/>
      <x:c r="F3123" s="68"/>
      <x:c r="G3123" s="69" t="str">
        <x:f>IF(COUNT(E3123:F3123)=2,E3123*F3123,"")</x:f>
      </x:c>
    </x:row>
    <x:row r="3124">
      <x:c r="A3124" s="66" t="n">
        <x:v>21</x:v>
      </x:c>
      <x:c r="B3124" s="44" t="str">
        <x:v>Canola/Rapeseed</x:v>
      </x:c>
      <x:c r="C3124" s="44" t="str">
        <x:v>BY 7204LL</x:v>
      </x:c>
      <x:c r="D3124" s="66" t="n">
        <x:v>2023</x:v>
      </x:c>
      <x:c r="E3124" s="67"/>
      <x:c r="F3124" s="68"/>
      <x:c r="G3124" s="69" t="str">
        <x:f>IF(COUNT(E3124:F3124)=2,E3124*F3124,"")</x:f>
      </x:c>
    </x:row>
    <x:row r="3125">
      <x:c r="A3125" s="66" t="n">
        <x:v>21</x:v>
      </x:c>
      <x:c r="B3125" s="44" t="str">
        <x:v>Canola/Rapeseed</x:v>
      </x:c>
      <x:c r="C3125" s="44" t="str">
        <x:v>BY 7204LL</x:v>
      </x:c>
      <x:c r="D3125" s="66" t="n">
        <x:v>2024</x:v>
      </x:c>
      <x:c r="E3125" s="67" t="n">
        <x:v>1706</x:v>
      </x:c>
      <x:c r="F3125" s="68" t="n">
        <x:v>35.6</x:v>
      </x:c>
      <x:c r="G3125" s="69" t="n">
        <x:f>IF(COUNT(E3125:F3125)=2,E3125*F3125,"")</x:f>
        <x:v>60733.600000000006</x:v>
      </x:c>
    </x:row>
    <x:row r="3126">
      <x:c r="A3126" s="66" t="n">
        <x:v>21</x:v>
      </x:c>
      <x:c r="B3126" s="44" t="str">
        <x:v>Canola/Rapeseed</x:v>
      </x:c>
      <x:c r="C3126" s="44" t="str">
        <x:v>BY 7204LL</x:v>
      </x:c>
      <x:c r="D3126" s="66" t="n">
        <x:v>2025</x:v>
      </x:c>
      <x:c r="E3126" s="67" t="n">
        <x:v>10348</x:v>
      </x:c>
      <x:c r="F3126" s="68" t="n">
        <x:v>44.3</x:v>
      </x:c>
      <x:c r="G3126" s="69" t="n">
        <x:f>IF(COUNT(E3126:F3126)=2,E3126*F3126,"")</x:f>
        <x:v>458416.39999999997</x:v>
      </x:c>
    </x:row>
    <x:row r="3127">
      <x:c r="A3127" s="66" t="n">
        <x:v>21</x:v>
      </x:c>
      <x:c r="B3127" s="44" t="str">
        <x:v>Canola/Rapeseed</x:v>
      </x:c>
      <x:c r="C3127" s="44" t="str">
        <x:v>B3019</x:v>
      </x:c>
      <x:c r="D3127" s="66" t="n">
        <x:v>2021</x:v>
      </x:c>
      <x:c r="E3127" s="67"/>
      <x:c r="F3127" s="68"/>
      <x:c r="G3127" s="69" t="str">
        <x:f>IF(COUNT(E3127:F3127)=2,E3127*F3127,"")</x:f>
      </x:c>
    </x:row>
    <x:row r="3128">
      <x:c r="A3128" s="66" t="n">
        <x:v>21</x:v>
      </x:c>
      <x:c r="B3128" s="44" t="str">
        <x:v>Canola/Rapeseed</x:v>
      </x:c>
      <x:c r="C3128" s="44" t="str">
        <x:v>B3019</x:v>
      </x:c>
      <x:c r="D3128" s="66" t="n">
        <x:v>2022</x:v>
      </x:c>
      <x:c r="E3128" s="67"/>
      <x:c r="F3128" s="68"/>
      <x:c r="G3128" s="69" t="str">
        <x:f>IF(COUNT(E3128:F3128)=2,E3128*F3128,"")</x:f>
      </x:c>
    </x:row>
    <x:row r="3129">
      <x:c r="A3129" s="66" t="n">
        <x:v>21</x:v>
      </x:c>
      <x:c r="B3129" s="44" t="str">
        <x:v>Canola/Rapeseed</x:v>
      </x:c>
      <x:c r="C3129" s="44" t="str">
        <x:v>B3019</x:v>
      </x:c>
      <x:c r="D3129" s="66" t="n">
        <x:v>2023</x:v>
      </x:c>
      <x:c r="E3129" s="67"/>
      <x:c r="F3129" s="68"/>
      <x:c r="G3129" s="69" t="str">
        <x:f>IF(COUNT(E3129:F3129)=2,E3129*F3129,"")</x:f>
      </x:c>
    </x:row>
    <x:row r="3130">
      <x:c r="A3130" s="66" t="n">
        <x:v>21</x:v>
      </x:c>
      <x:c r="B3130" s="44" t="str">
        <x:v>Canola/Rapeseed</x:v>
      </x:c>
      <x:c r="C3130" s="44" t="str">
        <x:v>B3019</x:v>
      </x:c>
      <x:c r="D3130" s="66" t="n">
        <x:v>2024</x:v>
      </x:c>
      <x:c r="E3130" s="67"/>
      <x:c r="F3130" s="68"/>
      <x:c r="G3130" s="69" t="str">
        <x:f>IF(COUNT(E3130:F3130)=2,E3130*F3130,"")</x:f>
      </x:c>
    </x:row>
    <x:row r="3131">
      <x:c r="A3131" s="66" t="n">
        <x:v>21</x:v>
      </x:c>
      <x:c r="B3131" s="44" t="str">
        <x:v>Canola/Rapeseed</x:v>
      </x:c>
      <x:c r="C3131" s="44" t="str">
        <x:v>B3019</x:v>
      </x:c>
      <x:c r="D3131" s="66" t="n">
        <x:v>2025</x:v>
      </x:c>
      <x:c r="E3131" s="67" t="n">
        <x:v>1691</x:v>
      </x:c>
      <x:c r="F3131" s="68" t="n">
        <x:v>46.4</x:v>
      </x:c>
      <x:c r="G3131" s="69" t="n">
        <x:f>IF(COUNT(E3131:F3131)=2,E3131*F3131,"")</x:f>
        <x:v>78462.4</x:v>
      </x:c>
    </x:row>
    <x:row r="3132">
      <x:c r="A3132" s="66" t="n">
        <x:v>21</x:v>
      </x:c>
      <x:c r="B3132" s="44" t="str">
        <x:v>Canola/Rapeseed</x:v>
      </x:c>
      <x:c r="C3132" s="44" t="str">
        <x:v>B3020</x:v>
      </x:c>
      <x:c r="D3132" s="66" t="n">
        <x:v>2021</x:v>
      </x:c>
      <x:c r="E3132" s="67"/>
      <x:c r="F3132" s="68"/>
      <x:c r="G3132" s="69" t="str">
        <x:f>IF(COUNT(E3132:F3132)=2,E3132*F3132,"")</x:f>
      </x:c>
    </x:row>
    <x:row r="3133">
      <x:c r="A3133" s="66" t="n">
        <x:v>21</x:v>
      </x:c>
      <x:c r="B3133" s="44" t="str">
        <x:v>Canola/Rapeseed</x:v>
      </x:c>
      <x:c r="C3133" s="44" t="str">
        <x:v>B3020</x:v>
      </x:c>
      <x:c r="D3133" s="66" t="n">
        <x:v>2022</x:v>
      </x:c>
      <x:c r="E3133" s="67"/>
      <x:c r="F3133" s="68"/>
      <x:c r="G3133" s="69" t="str">
        <x:f>IF(COUNT(E3133:F3133)=2,E3133*F3133,"")</x:f>
      </x:c>
    </x:row>
    <x:row r="3134">
      <x:c r="A3134" s="66" t="n">
        <x:v>21</x:v>
      </x:c>
      <x:c r="B3134" s="44" t="str">
        <x:v>Canola/Rapeseed</x:v>
      </x:c>
      <x:c r="C3134" s="44" t="str">
        <x:v>B3020</x:v>
      </x:c>
      <x:c r="D3134" s="66" t="n">
        <x:v>2023</x:v>
      </x:c>
      <x:c r="E3134" s="67"/>
      <x:c r="F3134" s="68"/>
      <x:c r="G3134" s="69" t="str">
        <x:f>IF(COUNT(E3134:F3134)=2,E3134*F3134,"")</x:f>
      </x:c>
    </x:row>
    <x:row r="3135">
      <x:c r="A3135" s="66" t="n">
        <x:v>21</x:v>
      </x:c>
      <x:c r="B3135" s="44" t="str">
        <x:v>Canola/Rapeseed</x:v>
      </x:c>
      <x:c r="C3135" s="44" t="str">
        <x:v>B3020</x:v>
      </x:c>
      <x:c r="D3135" s="66" t="n">
        <x:v>2024</x:v>
      </x:c>
      <x:c r="E3135" s="67"/>
      <x:c r="F3135" s="68"/>
      <x:c r="G3135" s="69" t="str">
        <x:f>IF(COUNT(E3135:F3135)=2,E3135*F3135,"")</x:f>
      </x:c>
    </x:row>
    <x:row r="3136">
      <x:c r="A3136" s="66" t="n">
        <x:v>21</x:v>
      </x:c>
      <x:c r="B3136" s="44" t="str">
        <x:v>Canola/Rapeseed</x:v>
      </x:c>
      <x:c r="C3136" s="44" t="str">
        <x:v>B3020</x:v>
      </x:c>
      <x:c r="D3136" s="66" t="n">
        <x:v>2025</x:v>
      </x:c>
      <x:c r="E3136" s="67" t="n">
        <x:v>1449</x:v>
      </x:c>
      <x:c r="F3136" s="68" t="n">
        <x:v>47.6</x:v>
      </x:c>
      <x:c r="G3136" s="69" t="n">
        <x:f>IF(COUNT(E3136:F3136)=2,E3136*F3136,"")</x:f>
        <x:v>68972.40000000001</x:v>
      </x:c>
    </x:row>
    <x:row r="3137">
      <x:c r="A3137" s="66" t="n">
        <x:v>21</x:v>
      </x:c>
      <x:c r="B3137" s="44" t="str">
        <x:v>Canola/Rapeseed</x:v>
      </x:c>
      <x:c r="C3137" s="44" t="str">
        <x:v>B4015</x:v>
      </x:c>
      <x:c r="D3137" s="66" t="n">
        <x:v>2021</x:v>
      </x:c>
      <x:c r="E3137" s="67"/>
      <x:c r="F3137" s="68"/>
      <x:c r="G3137" s="69" t="str">
        <x:f>IF(COUNT(E3137:F3137)=2,E3137*F3137,"")</x:f>
      </x:c>
    </x:row>
    <x:row r="3138">
      <x:c r="A3138" s="66" t="n">
        <x:v>21</x:v>
      </x:c>
      <x:c r="B3138" s="44" t="str">
        <x:v>Canola/Rapeseed</x:v>
      </x:c>
      <x:c r="C3138" s="44" t="str">
        <x:v>B4015</x:v>
      </x:c>
      <x:c r="D3138" s="66" t="n">
        <x:v>2022</x:v>
      </x:c>
      <x:c r="E3138" s="67"/>
      <x:c r="F3138" s="68"/>
      <x:c r="G3138" s="69" t="str">
        <x:f>IF(COUNT(E3138:F3138)=2,E3138*F3138,"")</x:f>
      </x:c>
    </x:row>
    <x:row r="3139">
      <x:c r="A3139" s="66" t="n">
        <x:v>21</x:v>
      </x:c>
      <x:c r="B3139" s="44" t="str">
        <x:v>Canola/Rapeseed</x:v>
      </x:c>
      <x:c r="C3139" s="44" t="str">
        <x:v>B4015</x:v>
      </x:c>
      <x:c r="D3139" s="66" t="n">
        <x:v>2023</x:v>
      </x:c>
      <x:c r="E3139" s="67"/>
      <x:c r="F3139" s="68"/>
      <x:c r="G3139" s="69" t="str">
        <x:f>IF(COUNT(E3139:F3139)=2,E3139*F3139,"")</x:f>
      </x:c>
    </x:row>
    <x:row r="3140">
      <x:c r="A3140" s="66" t="n">
        <x:v>21</x:v>
      </x:c>
      <x:c r="B3140" s="44" t="str">
        <x:v>Canola/Rapeseed</x:v>
      </x:c>
      <x:c r="C3140" s="44" t="str">
        <x:v>B4015</x:v>
      </x:c>
      <x:c r="D3140" s="66" t="n">
        <x:v>2024</x:v>
      </x:c>
      <x:c r="E3140" s="67" t="n">
        <x:v>1223</x:v>
      </x:c>
      <x:c r="F3140" s="68" t="n">
        <x:v>34.2</x:v>
      </x:c>
      <x:c r="G3140" s="69" t="n">
        <x:f>IF(COUNT(E3140:F3140)=2,E3140*F3140,"")</x:f>
        <x:v>41826.600000000006</x:v>
      </x:c>
    </x:row>
    <x:row r="3141">
      <x:c r="A3141" s="66" t="n">
        <x:v>21</x:v>
      </x:c>
      <x:c r="B3141" s="44" t="str">
        <x:v>Canola/Rapeseed</x:v>
      </x:c>
      <x:c r="C3141" s="44" t="str">
        <x:v>B4015</x:v>
      </x:c>
      <x:c r="D3141" s="66" t="n">
        <x:v>2025</x:v>
      </x:c>
      <x:c r="E3141" s="67" t="n">
        <x:v>4464</x:v>
      </x:c>
      <x:c r="F3141" s="68" t="n">
        <x:v>39.1</x:v>
      </x:c>
      <x:c r="G3141" s="69" t="n">
        <x:f>IF(COUNT(E3141:F3141)=2,E3141*F3141,"")</x:f>
        <x:v>174542.4</x:v>
      </x:c>
    </x:row>
    <x:row r="3142">
      <x:c r="A3142" s="66" t="n">
        <x:v>21</x:v>
      </x:c>
      <x:c r="B3142" s="44" t="str">
        <x:v>Canola/Rapeseed</x:v>
      </x:c>
      <x:c r="C3142" s="44" t="str">
        <x:v>CS2700 CL</x:v>
      </x:c>
      <x:c r="D3142" s="66" t="n">
        <x:v>2021</x:v>
      </x:c>
      <x:c r="E3142" s="67"/>
      <x:c r="F3142" s="68"/>
      <x:c r="G3142" s="69" t="str">
        <x:f>IF(COUNT(E3142:F3142)=2,E3142*F3142,"")</x:f>
      </x:c>
    </x:row>
    <x:row r="3143">
      <x:c r="A3143" s="66" t="n">
        <x:v>21</x:v>
      </x:c>
      <x:c r="B3143" s="44" t="str">
        <x:v>Canola/Rapeseed</x:v>
      </x:c>
      <x:c r="C3143" s="44" t="str">
        <x:v>CS2700 CL</x:v>
      </x:c>
      <x:c r="D3143" s="66" t="n">
        <x:v>2022</x:v>
      </x:c>
      <x:c r="E3143" s="67"/>
      <x:c r="F3143" s="68"/>
      <x:c r="G3143" s="69" t="str">
        <x:f>IF(COUNT(E3143:F3143)=2,E3143*F3143,"")</x:f>
      </x:c>
    </x:row>
    <x:row r="3144">
      <x:c r="A3144" s="66" t="n">
        <x:v>21</x:v>
      </x:c>
      <x:c r="B3144" s="44" t="str">
        <x:v>Canola/Rapeseed</x:v>
      </x:c>
      <x:c r="C3144" s="44" t="str">
        <x:v>CS2700 CL</x:v>
      </x:c>
      <x:c r="D3144" s="66" t="n">
        <x:v>2023</x:v>
      </x:c>
      <x:c r="E3144" s="67"/>
      <x:c r="F3144" s="68"/>
      <x:c r="G3144" s="69" t="str">
        <x:f>IF(COUNT(E3144:F3144)=2,E3144*F3144,"")</x:f>
      </x:c>
    </x:row>
    <x:row r="3145">
      <x:c r="A3145" s="66" t="n">
        <x:v>21</x:v>
      </x:c>
      <x:c r="B3145" s="44" t="str">
        <x:v>Canola/Rapeseed</x:v>
      </x:c>
      <x:c r="C3145" s="44" t="str">
        <x:v>CS2700 CL</x:v>
      </x:c>
      <x:c r="D3145" s="66" t="n">
        <x:v>2024</x:v>
      </x:c>
      <x:c r="E3145" s="67" t="n">
        <x:v>610</x:v>
      </x:c>
      <x:c r="F3145" s="68" t="n">
        <x:v>44.7</x:v>
      </x:c>
      <x:c r="G3145" s="69" t="n">
        <x:f>IF(COUNT(E3145:F3145)=2,E3145*F3145,"")</x:f>
        <x:v>27267</x:v>
      </x:c>
    </x:row>
    <x:row r="3146">
      <x:c r="A3146" s="66" t="n">
        <x:v>21</x:v>
      </x:c>
      <x:c r="B3146" s="44" t="str">
        <x:v>Canola/Rapeseed</x:v>
      </x:c>
      <x:c r="C3146" s="44" t="str">
        <x:v>CS2700 CL</x:v>
      </x:c>
      <x:c r="D3146" s="66" t="n">
        <x:v>2025</x:v>
      </x:c>
      <x:c r="E3146" s="67" t="n">
        <x:v>491</x:v>
      </x:c>
      <x:c r="F3146" s="68" t="n">
        <x:v>32.2</x:v>
      </x:c>
      <x:c r="G3146" s="69" t="n">
        <x:f>IF(COUNT(E3146:F3146)=2,E3146*F3146,"")</x:f>
        <x:v>15810.2</x:v>
      </x:c>
    </x:row>
    <x:row r="3147">
      <x:c r="A3147" s="66" t="n">
        <x:v>21</x:v>
      </x:c>
      <x:c r="B3147" s="44" t="str">
        <x:v>Canola/Rapeseed</x:v>
      </x:c>
      <x:c r="C3147" s="44" t="str">
        <x:v>CS3000 TF</x:v>
      </x:c>
      <x:c r="D3147" s="66" t="n">
        <x:v>2021</x:v>
      </x:c>
      <x:c r="E3147" s="67"/>
      <x:c r="F3147" s="68"/>
      <x:c r="G3147" s="69" t="str">
        <x:f>IF(COUNT(E3147:F3147)=2,E3147*F3147,"")</x:f>
      </x:c>
    </x:row>
    <x:row r="3148">
      <x:c r="A3148" s="66" t="n">
        <x:v>21</x:v>
      </x:c>
      <x:c r="B3148" s="44" t="str">
        <x:v>Canola/Rapeseed</x:v>
      </x:c>
      <x:c r="C3148" s="44" t="str">
        <x:v>CS3000 TF</x:v>
      </x:c>
      <x:c r="D3148" s="66" t="n">
        <x:v>2022</x:v>
      </x:c>
      <x:c r="E3148" s="67"/>
      <x:c r="F3148" s="68"/>
      <x:c r="G3148" s="69" t="str">
        <x:f>IF(COUNT(E3148:F3148)=2,E3148*F3148,"")</x:f>
      </x:c>
    </x:row>
    <x:row r="3149">
      <x:c r="A3149" s="66" t="n">
        <x:v>21</x:v>
      </x:c>
      <x:c r="B3149" s="44" t="str">
        <x:v>Canola/Rapeseed</x:v>
      </x:c>
      <x:c r="C3149" s="44" t="str">
        <x:v>CS3000 TF</x:v>
      </x:c>
      <x:c r="D3149" s="66" t="n">
        <x:v>2023</x:v>
      </x:c>
      <x:c r="E3149" s="67" t="n">
        <x:v>6628</x:v>
      </x:c>
      <x:c r="F3149" s="68" t="n">
        <x:v>52.6</x:v>
      </x:c>
      <x:c r="G3149" s="69" t="n">
        <x:f>IF(COUNT(E3149:F3149)=2,E3149*F3149,"")</x:f>
        <x:v>348632.8</x:v>
      </x:c>
    </x:row>
    <x:row r="3150">
      <x:c r="A3150" s="66" t="n">
        <x:v>21</x:v>
      </x:c>
      <x:c r="B3150" s="44" t="str">
        <x:v>Canola/Rapeseed</x:v>
      </x:c>
      <x:c r="C3150" s="44" t="str">
        <x:v>CS3000 TF</x:v>
      </x:c>
      <x:c r="D3150" s="66" t="n">
        <x:v>2024</x:v>
      </x:c>
      <x:c r="E3150" s="67" t="n">
        <x:v>2551</x:v>
      </x:c>
      <x:c r="F3150" s="68" t="n">
        <x:v>27.1</x:v>
      </x:c>
      <x:c r="G3150" s="69" t="n">
        <x:f>IF(COUNT(E3150:F3150)=2,E3150*F3150,"")</x:f>
        <x:v>69132.1</x:v>
      </x:c>
    </x:row>
    <x:row r="3151">
      <x:c r="A3151" s="66" t="n">
        <x:v>21</x:v>
      </x:c>
      <x:c r="B3151" s="44" t="str">
        <x:v>Canola/Rapeseed</x:v>
      </x:c>
      <x:c r="C3151" s="44" t="str">
        <x:v>CS3000 TF</x:v>
      </x:c>
      <x:c r="D3151" s="66" t="n">
        <x:v>2025</x:v>
      </x:c>
      <x:c r="E3151" s="67" t="n">
        <x:v>529</x:v>
      </x:c>
      <x:c r="F3151" s="68" t="n">
        <x:v>44.3</x:v>
      </x:c>
      <x:c r="G3151" s="69" t="n">
        <x:f>IF(COUNT(E3151:F3151)=2,E3151*F3151,"")</x:f>
        <x:v>23434.699999999997</x:v>
      </x:c>
    </x:row>
    <x:row r="3152">
      <x:c r="A3152" s="66" t="n">
        <x:v>21</x:v>
      </x:c>
      <x:c r="B3152" s="44" t="str">
        <x:v>Canola/Rapeseed</x:v>
      </x:c>
      <x:c r="C3152" s="44" t="str">
        <x:v>CS3200 TF</x:v>
      </x:c>
      <x:c r="D3152" s="66" t="n">
        <x:v>2021</x:v>
      </x:c>
      <x:c r="E3152" s="67"/>
      <x:c r="F3152" s="68"/>
      <x:c r="G3152" s="69" t="str">
        <x:f>IF(COUNT(E3152:F3152)=2,E3152*F3152,"")</x:f>
      </x:c>
    </x:row>
    <x:row r="3153">
      <x:c r="A3153" s="66" t="n">
        <x:v>21</x:v>
      </x:c>
      <x:c r="B3153" s="44" t="str">
        <x:v>Canola/Rapeseed</x:v>
      </x:c>
      <x:c r="C3153" s="44" t="str">
        <x:v>CS3200 TF</x:v>
      </x:c>
      <x:c r="D3153" s="66" t="n">
        <x:v>2022</x:v>
      </x:c>
      <x:c r="E3153" s="67"/>
      <x:c r="F3153" s="68"/>
      <x:c r="G3153" s="69" t="str">
        <x:f>IF(COUNT(E3153:F3153)=2,E3153*F3153,"")</x:f>
      </x:c>
    </x:row>
    <x:row r="3154">
      <x:c r="A3154" s="66" t="n">
        <x:v>21</x:v>
      </x:c>
      <x:c r="B3154" s="44" t="str">
        <x:v>Canola/Rapeseed</x:v>
      </x:c>
      <x:c r="C3154" s="44" t="str">
        <x:v>CS3200 TF</x:v>
      </x:c>
      <x:c r="D3154" s="66" t="n">
        <x:v>2023</x:v>
      </x:c>
      <x:c r="E3154" s="67"/>
      <x:c r="F3154" s="68"/>
      <x:c r="G3154" s="69" t="str">
        <x:f>IF(COUNT(E3154:F3154)=2,E3154*F3154,"")</x:f>
      </x:c>
    </x:row>
    <x:row r="3155">
      <x:c r="A3155" s="66" t="n">
        <x:v>21</x:v>
      </x:c>
      <x:c r="B3155" s="44" t="str">
        <x:v>Canola/Rapeseed</x:v>
      </x:c>
      <x:c r="C3155" s="44" t="str">
        <x:v>CS3200 TF</x:v>
      </x:c>
      <x:c r="D3155" s="66" t="n">
        <x:v>2024</x:v>
      </x:c>
      <x:c r="E3155" s="67" t="n">
        <x:v>1238</x:v>
      </x:c>
      <x:c r="F3155" s="68" t="n">
        <x:v>36.2</x:v>
      </x:c>
      <x:c r="G3155" s="69" t="n">
        <x:f>IF(COUNT(E3155:F3155)=2,E3155*F3155,"")</x:f>
        <x:v>44815.600000000006</x:v>
      </x:c>
    </x:row>
    <x:row r="3156">
      <x:c r="A3156" s="66" t="n">
        <x:v>21</x:v>
      </x:c>
      <x:c r="B3156" s="44" t="str">
        <x:v>Canola/Rapeseed</x:v>
      </x:c>
      <x:c r="C3156" s="44" t="str">
        <x:v>CS3200 TF</x:v>
      </x:c>
      <x:c r="D3156" s="66" t="n">
        <x:v>2025</x:v>
      </x:c>
      <x:c r="E3156" s="67" t="n">
        <x:v>2541</x:v>
      </x:c>
      <x:c r="F3156" s="68" t="n">
        <x:v>45</x:v>
      </x:c>
      <x:c r="G3156" s="69" t="n">
        <x:f>IF(COUNT(E3156:F3156)=2,E3156*F3156,"")</x:f>
        <x:v>114345</x:v>
      </x:c>
    </x:row>
    <x:row r="3157">
      <x:c r="A3157" s="66" t="n">
        <x:v>21</x:v>
      </x:c>
      <x:c r="B3157" s="44" t="str">
        <x:v>Canola/Rapeseed</x:v>
      </x:c>
      <x:c r="C3157" s="44" t="str">
        <x:v>CS3300 TF</x:v>
      </x:c>
      <x:c r="D3157" s="66" t="n">
        <x:v>2021</x:v>
      </x:c>
      <x:c r="E3157" s="67"/>
      <x:c r="F3157" s="68"/>
      <x:c r="G3157" s="69" t="str">
        <x:f>IF(COUNT(E3157:F3157)=2,E3157*F3157,"")</x:f>
      </x:c>
    </x:row>
    <x:row r="3158">
      <x:c r="A3158" s="66" t="n">
        <x:v>21</x:v>
      </x:c>
      <x:c r="B3158" s="44" t="str">
        <x:v>Canola/Rapeseed</x:v>
      </x:c>
      <x:c r="C3158" s="44" t="str">
        <x:v>CS3300 TF</x:v>
      </x:c>
      <x:c r="D3158" s="66" t="n">
        <x:v>2022</x:v>
      </x:c>
      <x:c r="E3158" s="67"/>
      <x:c r="F3158" s="68"/>
      <x:c r="G3158" s="69" t="str">
        <x:f>IF(COUNT(E3158:F3158)=2,E3158*F3158,"")</x:f>
      </x:c>
    </x:row>
    <x:row r="3159">
      <x:c r="A3159" s="66" t="n">
        <x:v>21</x:v>
      </x:c>
      <x:c r="B3159" s="44" t="str">
        <x:v>Canola/Rapeseed</x:v>
      </x:c>
      <x:c r="C3159" s="44" t="str">
        <x:v>CS3300 TF</x:v>
      </x:c>
      <x:c r="D3159" s="66" t="n">
        <x:v>2023</x:v>
      </x:c>
      <x:c r="E3159" s="67"/>
      <x:c r="F3159" s="68"/>
      <x:c r="G3159" s="69" t="str">
        <x:f>IF(COUNT(E3159:F3159)=2,E3159*F3159,"")</x:f>
      </x:c>
    </x:row>
    <x:row r="3160">
      <x:c r="A3160" s="66" t="n">
        <x:v>21</x:v>
      </x:c>
      <x:c r="B3160" s="44" t="str">
        <x:v>Canola/Rapeseed</x:v>
      </x:c>
      <x:c r="C3160" s="44" t="str">
        <x:v>CS3300 TF</x:v>
      </x:c>
      <x:c r="D3160" s="66" t="n">
        <x:v>2024</x:v>
      </x:c>
      <x:c r="E3160" s="67"/>
      <x:c r="F3160" s="68"/>
      <x:c r="G3160" s="69" t="str">
        <x:f>IF(COUNT(E3160:F3160)=2,E3160*F3160,"")</x:f>
      </x:c>
    </x:row>
    <x:row r="3161">
      <x:c r="A3161" s="66" t="n">
        <x:v>21</x:v>
      </x:c>
      <x:c r="B3161" s="44" t="str">
        <x:v>Canola/Rapeseed</x:v>
      </x:c>
      <x:c r="C3161" s="44" t="str">
        <x:v>CS3300 TF</x:v>
      </x:c>
      <x:c r="D3161" s="66" t="n">
        <x:v>2025</x:v>
      </x:c>
      <x:c r="E3161" s="67" t="n">
        <x:v>2740</x:v>
      </x:c>
      <x:c r="F3161" s="68" t="n">
        <x:v>49.2</x:v>
      </x:c>
      <x:c r="G3161" s="69" t="n">
        <x:f>IF(COUNT(E3161:F3161)=2,E3161*F3161,"")</x:f>
        <x:v>134808</x:v>
      </x:c>
    </x:row>
    <x:row r="3162">
      <x:c r="A3162" s="66" t="n">
        <x:v>21</x:v>
      </x:c>
      <x:c r="B3162" s="44" t="str">
        <x:v>Canola/Rapeseed</x:v>
      </x:c>
      <x:c r="C3162" s="44" t="str">
        <x:v>CS4000 LL</x:v>
      </x:c>
      <x:c r="D3162" s="66" t="n">
        <x:v>2021</x:v>
      </x:c>
      <x:c r="E3162" s="67"/>
      <x:c r="F3162" s="68"/>
      <x:c r="G3162" s="69" t="str">
        <x:f>IF(COUNT(E3162:F3162)=2,E3162*F3162,"")</x:f>
      </x:c>
    </x:row>
    <x:row r="3163">
      <x:c r="A3163" s="66" t="n">
        <x:v>21</x:v>
      </x:c>
      <x:c r="B3163" s="44" t="str">
        <x:v>Canola/Rapeseed</x:v>
      </x:c>
      <x:c r="C3163" s="44" t="str">
        <x:v>CS4000 LL</x:v>
      </x:c>
      <x:c r="D3163" s="66" t="n">
        <x:v>2022</x:v>
      </x:c>
      <x:c r="E3163" s="67" t="n">
        <x:v>5623</x:v>
      </x:c>
      <x:c r="F3163" s="68" t="n">
        <x:v>45.4</x:v>
      </x:c>
      <x:c r="G3163" s="69" t="n">
        <x:f>IF(COUNT(E3163:F3163)=2,E3163*F3163,"")</x:f>
        <x:v>255284.19999999998</x:v>
      </x:c>
    </x:row>
    <x:row r="3164">
      <x:c r="A3164" s="66" t="n">
        <x:v>21</x:v>
      </x:c>
      <x:c r="B3164" s="44" t="str">
        <x:v>Canola/Rapeseed</x:v>
      </x:c>
      <x:c r="C3164" s="44" t="str">
        <x:v>CS4000 LL</x:v>
      </x:c>
      <x:c r="D3164" s="66" t="n">
        <x:v>2023</x:v>
      </x:c>
      <x:c r="E3164" s="67" t="n">
        <x:v>16538</x:v>
      </x:c>
      <x:c r="F3164" s="68" t="n">
        <x:v>54.1</x:v>
      </x:c>
      <x:c r="G3164" s="69" t="n">
        <x:f>IF(COUNT(E3164:F3164)=2,E3164*F3164,"")</x:f>
        <x:v>894705.8</x:v>
      </x:c>
    </x:row>
    <x:row r="3165">
      <x:c r="A3165" s="66" t="n">
        <x:v>21</x:v>
      </x:c>
      <x:c r="B3165" s="44" t="str">
        <x:v>Canola/Rapeseed</x:v>
      </x:c>
      <x:c r="C3165" s="44" t="str">
        <x:v>CS4000 LL</x:v>
      </x:c>
      <x:c r="D3165" s="66" t="n">
        <x:v>2024</x:v>
      </x:c>
      <x:c r="E3165" s="67" t="n">
        <x:v>8156</x:v>
      </x:c>
      <x:c r="F3165" s="68" t="n">
        <x:v>36.6</x:v>
      </x:c>
      <x:c r="G3165" s="69" t="n">
        <x:f>IF(COUNT(E3165:F3165)=2,E3165*F3165,"")</x:f>
        <x:v>298509.60000000003</x:v>
      </x:c>
    </x:row>
    <x:row r="3166">
      <x:c r="A3166" s="66" t="n">
        <x:v>21</x:v>
      </x:c>
      <x:c r="B3166" s="44" t="str">
        <x:v>Canola/Rapeseed</x:v>
      </x:c>
      <x:c r="C3166" s="44" t="str">
        <x:v>CS4000 LL</x:v>
      </x:c>
      <x:c r="D3166" s="66" t="n">
        <x:v>2025</x:v>
      </x:c>
      <x:c r="E3166" s="67" t="n">
        <x:v>8975</x:v>
      </x:c>
      <x:c r="F3166" s="68" t="n">
        <x:v>45.2</x:v>
      </x:c>
      <x:c r="G3166" s="69" t="n">
        <x:f>IF(COUNT(E3166:F3166)=2,E3166*F3166,"")</x:f>
        <x:v>405670</x:v>
      </x:c>
    </x:row>
    <x:row r="3167">
      <x:c r="A3167" s="66" t="n">
        <x:v>21</x:v>
      </x:c>
      <x:c r="B3167" s="44" t="str">
        <x:v>Canola/Rapeseed</x:v>
      </x:c>
      <x:c r="C3167" s="44" t="str">
        <x:v>CS4100 LL</x:v>
      </x:c>
      <x:c r="D3167" s="66" t="n">
        <x:v>2021</x:v>
      </x:c>
      <x:c r="E3167" s="67"/>
      <x:c r="F3167" s="68"/>
      <x:c r="G3167" s="69" t="str">
        <x:f>IF(COUNT(E3167:F3167)=2,E3167*F3167,"")</x:f>
      </x:c>
    </x:row>
    <x:row r="3168">
      <x:c r="A3168" s="66" t="n">
        <x:v>21</x:v>
      </x:c>
      <x:c r="B3168" s="44" t="str">
        <x:v>Canola/Rapeseed</x:v>
      </x:c>
      <x:c r="C3168" s="44" t="str">
        <x:v>CS4100 LL</x:v>
      </x:c>
      <x:c r="D3168" s="66" t="n">
        <x:v>2022</x:v>
      </x:c>
      <x:c r="E3168" s="67"/>
      <x:c r="F3168" s="68"/>
      <x:c r="G3168" s="69" t="str">
        <x:f>IF(COUNT(E3168:F3168)=2,E3168*F3168,"")</x:f>
      </x:c>
    </x:row>
    <x:row r="3169">
      <x:c r="A3169" s="66" t="n">
        <x:v>21</x:v>
      </x:c>
      <x:c r="B3169" s="44" t="str">
        <x:v>Canola/Rapeseed</x:v>
      </x:c>
      <x:c r="C3169" s="44" t="str">
        <x:v>CS4100 LL</x:v>
      </x:c>
      <x:c r="D3169" s="66" t="n">
        <x:v>2023</x:v>
      </x:c>
      <x:c r="E3169" s="67"/>
      <x:c r="F3169" s="68"/>
      <x:c r="G3169" s="69" t="str">
        <x:f>IF(COUNT(E3169:F3169)=2,E3169*F3169,"")</x:f>
      </x:c>
    </x:row>
    <x:row r="3170">
      <x:c r="A3170" s="66" t="n">
        <x:v>21</x:v>
      </x:c>
      <x:c r="B3170" s="44" t="str">
        <x:v>Canola/Rapeseed</x:v>
      </x:c>
      <x:c r="C3170" s="44" t="str">
        <x:v>CS4100 LL</x:v>
      </x:c>
      <x:c r="D3170" s="66" t="n">
        <x:v>2024</x:v>
      </x:c>
      <x:c r="E3170" s="67"/>
      <x:c r="F3170" s="68"/>
      <x:c r="G3170" s="69" t="str">
        <x:f>IF(COUNT(E3170:F3170)=2,E3170*F3170,"")</x:f>
      </x:c>
    </x:row>
    <x:row r="3171">
      <x:c r="A3171" s="66" t="n">
        <x:v>21</x:v>
      </x:c>
      <x:c r="B3171" s="44" t="str">
        <x:v>Canola/Rapeseed</x:v>
      </x:c>
      <x:c r="C3171" s="44" t="str">
        <x:v>CS4100 LL</x:v>
      </x:c>
      <x:c r="D3171" s="66" t="n">
        <x:v>2025</x:v>
      </x:c>
      <x:c r="E3171" s="67" t="n">
        <x:v>4140</x:v>
      </x:c>
      <x:c r="F3171" s="68" t="n">
        <x:v>38.7</x:v>
      </x:c>
      <x:c r="G3171" s="69" t="n">
        <x:f>IF(COUNT(E3171:F3171)=2,E3171*F3171,"")</x:f>
        <x:v>160218</x:v>
      </x:c>
    </x:row>
    <x:row r="3172">
      <x:c r="A3172" s="66" t="n">
        <x:v>21</x:v>
      </x:c>
      <x:c r="B3172" s="44" t="str">
        <x:v>Canola/Rapeseed</x:v>
      </x:c>
      <x:c r="C3172" s="44" t="str">
        <x:v>DK 801 LL</x:v>
      </x:c>
      <x:c r="D3172" s="66" t="n">
        <x:v>2021</x:v>
      </x:c>
      <x:c r="E3172" s="67"/>
      <x:c r="F3172" s="68"/>
      <x:c r="G3172" s="69" t="str">
        <x:f>IF(COUNT(E3172:F3172)=2,E3172*F3172,"")</x:f>
      </x:c>
    </x:row>
    <x:row r="3173">
      <x:c r="A3173" s="66" t="n">
        <x:v>21</x:v>
      </x:c>
      <x:c r="B3173" s="44" t="str">
        <x:v>Canola/Rapeseed</x:v>
      </x:c>
      <x:c r="C3173" s="44" t="str">
        <x:v>DK 801 LL</x:v>
      </x:c>
      <x:c r="D3173" s="66" t="n">
        <x:v>2022</x:v>
      </x:c>
      <x:c r="E3173" s="67"/>
      <x:c r="F3173" s="68"/>
      <x:c r="G3173" s="69" t="str">
        <x:f>IF(COUNT(E3173:F3173)=2,E3173*F3173,"")</x:f>
      </x:c>
    </x:row>
    <x:row r="3174">
      <x:c r="A3174" s="66" t="n">
        <x:v>21</x:v>
      </x:c>
      <x:c r="B3174" s="44" t="str">
        <x:v>Canola/Rapeseed</x:v>
      </x:c>
      <x:c r="C3174" s="44" t="str">
        <x:v>DK 801 LL</x:v>
      </x:c>
      <x:c r="D3174" s="66" t="n">
        <x:v>2023</x:v>
      </x:c>
      <x:c r="E3174" s="67"/>
      <x:c r="F3174" s="68"/>
      <x:c r="G3174" s="69" t="str">
        <x:f>IF(COUNT(E3174:F3174)=2,E3174*F3174,"")</x:f>
      </x:c>
    </x:row>
    <x:row r="3175">
      <x:c r="A3175" s="66" t="n">
        <x:v>21</x:v>
      </x:c>
      <x:c r="B3175" s="44" t="str">
        <x:v>Canola/Rapeseed</x:v>
      </x:c>
      <x:c r="C3175" s="44" t="str">
        <x:v>DK 801 LL</x:v>
      </x:c>
      <x:c r="D3175" s="66" t="n">
        <x:v>2024</x:v>
      </x:c>
      <x:c r="E3175" s="67" t="n">
        <x:v>2326</x:v>
      </x:c>
      <x:c r="F3175" s="68" t="n">
        <x:v>33.8</x:v>
      </x:c>
      <x:c r="G3175" s="69" t="n">
        <x:f>IF(COUNT(E3175:F3175)=2,E3175*F3175,"")</x:f>
        <x:v>78618.79999999999</x:v>
      </x:c>
    </x:row>
    <x:row r="3176">
      <x:c r="A3176" s="66" t="n">
        <x:v>21</x:v>
      </x:c>
      <x:c r="B3176" s="44" t="str">
        <x:v>Canola/Rapeseed</x:v>
      </x:c>
      <x:c r="C3176" s="44" t="str">
        <x:v>DK 801 LL</x:v>
      </x:c>
      <x:c r="D3176" s="66" t="n">
        <x:v>2025</x:v>
      </x:c>
      <x:c r="E3176" s="67" t="n">
        <x:v>735</x:v>
      </x:c>
      <x:c r="F3176" s="68" t="n">
        <x:v>55.1</x:v>
      </x:c>
      <x:c r="G3176" s="69" t="n">
        <x:f>IF(COUNT(E3176:F3176)=2,E3176*F3176,"")</x:f>
        <x:v>40498.5</x:v>
      </x:c>
    </x:row>
    <x:row r="3177">
      <x:c r="A3177" s="66" t="n">
        <x:v>21</x:v>
      </x:c>
      <x:c r="B3177" s="44" t="str">
        <x:v>Canola/Rapeseed</x:v>
      </x:c>
      <x:c r="C3177" s="44" t="str">
        <x:v>DK401TK</x:v>
      </x:c>
      <x:c r="D3177" s="66" t="n">
        <x:v>2021</x:v>
      </x:c>
      <x:c r="E3177" s="67"/>
      <x:c r="F3177" s="68"/>
      <x:c r="G3177" s="69" t="str">
        <x:f>IF(COUNT(E3177:F3177)=2,E3177*F3177,"")</x:f>
      </x:c>
    </x:row>
    <x:row r="3178">
      <x:c r="A3178" s="66" t="n">
        <x:v>21</x:v>
      </x:c>
      <x:c r="B3178" s="44" t="str">
        <x:v>Canola/Rapeseed</x:v>
      </x:c>
      <x:c r="C3178" s="44" t="str">
        <x:v>DK401TK</x:v>
      </x:c>
      <x:c r="D3178" s="66" t="n">
        <x:v>2022</x:v>
      </x:c>
      <x:c r="E3178" s="67"/>
      <x:c r="F3178" s="68"/>
      <x:c r="G3178" s="69" t="str">
        <x:f>IF(COUNT(E3178:F3178)=2,E3178*F3178,"")</x:f>
      </x:c>
    </x:row>
    <x:row r="3179">
      <x:c r="A3179" s="66" t="n">
        <x:v>21</x:v>
      </x:c>
      <x:c r="B3179" s="44" t="str">
        <x:v>Canola/Rapeseed</x:v>
      </x:c>
      <x:c r="C3179" s="44" t="str">
        <x:v>DK401TK</x:v>
      </x:c>
      <x:c r="D3179" s="66" t="n">
        <x:v>2023</x:v>
      </x:c>
      <x:c r="E3179" s="67"/>
      <x:c r="F3179" s="68"/>
      <x:c r="G3179" s="69" t="str">
        <x:f>IF(COUNT(E3179:F3179)=2,E3179*F3179,"")</x:f>
      </x:c>
    </x:row>
    <x:row r="3180">
      <x:c r="A3180" s="66" t="n">
        <x:v>21</x:v>
      </x:c>
      <x:c r="B3180" s="44" t="str">
        <x:v>Canola/Rapeseed</x:v>
      </x:c>
      <x:c r="C3180" s="44" t="str">
        <x:v>DK401TK</x:v>
      </x:c>
      <x:c r="D3180" s="66" t="n">
        <x:v>2024</x:v>
      </x:c>
      <x:c r="E3180" s="67"/>
      <x:c r="F3180" s="68"/>
      <x:c r="G3180" s="69" t="str">
        <x:f>IF(COUNT(E3180:F3180)=2,E3180*F3180,"")</x:f>
      </x:c>
    </x:row>
    <x:row r="3181">
      <x:c r="A3181" s="66" t="n">
        <x:v>21</x:v>
      </x:c>
      <x:c r="B3181" s="44" t="str">
        <x:v>Canola/Rapeseed</x:v>
      </x:c>
      <x:c r="C3181" s="44" t="str">
        <x:v>DK401TK</x:v>
      </x:c>
      <x:c r="D3181" s="66" t="n">
        <x:v>2025</x:v>
      </x:c>
      <x:c r="E3181" s="67" t="n">
        <x:v>1322</x:v>
      </x:c>
      <x:c r="F3181" s="68" t="n">
        <x:v>47.5</x:v>
      </x:c>
      <x:c r="G3181" s="69" t="n">
        <x:f>IF(COUNT(E3181:F3181)=2,E3181*F3181,"")</x:f>
        <x:v>62795</x:v>
      </x:c>
    </x:row>
    <x:row r="3182">
      <x:c r="A3182" s="66" t="n">
        <x:v>21</x:v>
      </x:c>
      <x:c r="B3182" s="44" t="str">
        <x:v>Canola/Rapeseed</x:v>
      </x:c>
      <x:c r="C3182" s="44" t="str">
        <x:v>DK401TL</x:v>
      </x:c>
      <x:c r="D3182" s="66" t="n">
        <x:v>2021</x:v>
      </x:c>
      <x:c r="E3182" s="67"/>
      <x:c r="F3182" s="68"/>
      <x:c r="G3182" s="69" t="str">
        <x:f>IF(COUNT(E3182:F3182)=2,E3182*F3182,"")</x:f>
      </x:c>
    </x:row>
    <x:row r="3183">
      <x:c r="A3183" s="66" t="n">
        <x:v>21</x:v>
      </x:c>
      <x:c r="B3183" s="44" t="str">
        <x:v>Canola/Rapeseed</x:v>
      </x:c>
      <x:c r="C3183" s="44" t="str">
        <x:v>DK401TL</x:v>
      </x:c>
      <x:c r="D3183" s="66" t="n">
        <x:v>2022</x:v>
      </x:c>
      <x:c r="E3183" s="67"/>
      <x:c r="F3183" s="68"/>
      <x:c r="G3183" s="69" t="str">
        <x:f>IF(COUNT(E3183:F3183)=2,E3183*F3183,"")</x:f>
      </x:c>
    </x:row>
    <x:row r="3184">
      <x:c r="A3184" s="66" t="n">
        <x:v>21</x:v>
      </x:c>
      <x:c r="B3184" s="44" t="str">
        <x:v>Canola/Rapeseed</x:v>
      </x:c>
      <x:c r="C3184" s="44" t="str">
        <x:v>DK401TL</x:v>
      </x:c>
      <x:c r="D3184" s="66" t="n">
        <x:v>2023</x:v>
      </x:c>
      <x:c r="E3184" s="67"/>
      <x:c r="F3184" s="68"/>
      <x:c r="G3184" s="69" t="str">
        <x:f>IF(COUNT(E3184:F3184)=2,E3184*F3184,"")</x:f>
      </x:c>
    </x:row>
    <x:row r="3185">
      <x:c r="A3185" s="66" t="n">
        <x:v>21</x:v>
      </x:c>
      <x:c r="B3185" s="44" t="str">
        <x:v>Canola/Rapeseed</x:v>
      </x:c>
      <x:c r="C3185" s="44" t="str">
        <x:v>DK401TL</x:v>
      </x:c>
      <x:c r="D3185" s="66" t="n">
        <x:v>2024</x:v>
      </x:c>
      <x:c r="E3185" s="67"/>
      <x:c r="F3185" s="68"/>
      <x:c r="G3185" s="69" t="str">
        <x:f>IF(COUNT(E3185:F3185)=2,E3185*F3185,"")</x:f>
      </x:c>
    </x:row>
    <x:row r="3186">
      <x:c r="A3186" s="66" t="n">
        <x:v>21</x:v>
      </x:c>
      <x:c r="B3186" s="44" t="str">
        <x:v>Canola/Rapeseed</x:v>
      </x:c>
      <x:c r="C3186" s="44" t="str">
        <x:v>DK401TL</x:v>
      </x:c>
      <x:c r="D3186" s="66" t="n">
        <x:v>2025</x:v>
      </x:c>
      <x:c r="E3186" s="67" t="n">
        <x:v>1765</x:v>
      </x:c>
      <x:c r="F3186" s="68" t="n">
        <x:v>48.6</x:v>
      </x:c>
      <x:c r="G3186" s="69" t="n">
        <x:f>IF(COUNT(E3186:F3186)=2,E3186*F3186,"")</x:f>
        <x:v>85779</x:v>
      </x:c>
    </x:row>
    <x:row r="3187">
      <x:c r="A3187" s="66" t="n">
        <x:v>21</x:v>
      </x:c>
      <x:c r="B3187" s="44" t="str">
        <x:v>Canola/Rapeseed</x:v>
      </x:c>
      <x:c r="C3187" s="44" t="str">
        <x:v>DK800LL</x:v>
      </x:c>
      <x:c r="D3187" s="66" t="n">
        <x:v>2021</x:v>
      </x:c>
      <x:c r="E3187" s="67"/>
      <x:c r="F3187" s="68"/>
      <x:c r="G3187" s="69" t="str">
        <x:f>IF(COUNT(E3187:F3187)=2,E3187*F3187,"")</x:f>
      </x:c>
    </x:row>
    <x:row r="3188">
      <x:c r="A3188" s="66" t="n">
        <x:v>21</x:v>
      </x:c>
      <x:c r="B3188" s="44" t="str">
        <x:v>Canola/Rapeseed</x:v>
      </x:c>
      <x:c r="C3188" s="44" t="str">
        <x:v>DK800LL</x:v>
      </x:c>
      <x:c r="D3188" s="66" t="n">
        <x:v>2022</x:v>
      </x:c>
      <x:c r="E3188" s="67"/>
      <x:c r="F3188" s="68"/>
      <x:c r="G3188" s="69" t="str">
        <x:f>IF(COUNT(E3188:F3188)=2,E3188*F3188,"")</x:f>
      </x:c>
    </x:row>
    <x:row r="3189">
      <x:c r="A3189" s="66" t="n">
        <x:v>21</x:v>
      </x:c>
      <x:c r="B3189" s="44" t="str">
        <x:v>Canola/Rapeseed</x:v>
      </x:c>
      <x:c r="C3189" s="44" t="str">
        <x:v>DK800LL</x:v>
      </x:c>
      <x:c r="D3189" s="66" t="n">
        <x:v>2023</x:v>
      </x:c>
      <x:c r="E3189" s="67"/>
      <x:c r="F3189" s="68"/>
      <x:c r="G3189" s="69" t="str">
        <x:f>IF(COUNT(E3189:F3189)=2,E3189*F3189,"")</x:f>
      </x:c>
    </x:row>
    <x:row r="3190">
      <x:c r="A3190" s="66" t="n">
        <x:v>21</x:v>
      </x:c>
      <x:c r="B3190" s="44" t="str">
        <x:v>Canola/Rapeseed</x:v>
      </x:c>
      <x:c r="C3190" s="44" t="str">
        <x:v>DK800LL</x:v>
      </x:c>
      <x:c r="D3190" s="66" t="n">
        <x:v>2024</x:v>
      </x:c>
      <x:c r="E3190" s="67" t="n">
        <x:v>925</x:v>
      </x:c>
      <x:c r="F3190" s="68" t="n">
        <x:v>38</x:v>
      </x:c>
      <x:c r="G3190" s="69" t="n">
        <x:f>IF(COUNT(E3190:F3190)=2,E3190*F3190,"")</x:f>
        <x:v>35150</x:v>
      </x:c>
    </x:row>
    <x:row r="3191">
      <x:c r="A3191" s="66" t="n">
        <x:v>21</x:v>
      </x:c>
      <x:c r="B3191" s="44" t="str">
        <x:v>Canola/Rapeseed</x:v>
      </x:c>
      <x:c r="C3191" s="44" t="str">
        <x:v>DK800LL</x:v>
      </x:c>
      <x:c r="D3191" s="66" t="n">
        <x:v>2025</x:v>
      </x:c>
      <x:c r="E3191" s="67" t="n">
        <x:v>1516</x:v>
      </x:c>
      <x:c r="F3191" s="68" t="n">
        <x:v>42.3</x:v>
      </x:c>
      <x:c r="G3191" s="69" t="n">
        <x:f>IF(COUNT(E3191:F3191)=2,E3191*F3191,"")</x:f>
        <x:v>64126.799999999996</x:v>
      </x:c>
    </x:row>
    <x:row r="3192">
      <x:c r="A3192" s="66" t="n">
        <x:v>21</x:v>
      </x:c>
      <x:c r="B3192" s="44" t="str">
        <x:v>Canola/Rapeseed</x:v>
      </x:c>
      <x:c r="C3192" s="44" t="str">
        <x:v>DK900TF</x:v>
      </x:c>
      <x:c r="D3192" s="66" t="n">
        <x:v>2021</x:v>
      </x:c>
      <x:c r="E3192" s="67"/>
      <x:c r="F3192" s="68"/>
      <x:c r="G3192" s="69" t="str">
        <x:f>IF(COUNT(E3192:F3192)=2,E3192*F3192,"")</x:f>
      </x:c>
    </x:row>
    <x:row r="3193">
      <x:c r="A3193" s="66" t="n">
        <x:v>21</x:v>
      </x:c>
      <x:c r="B3193" s="44" t="str">
        <x:v>Canola/Rapeseed</x:v>
      </x:c>
      <x:c r="C3193" s="44" t="str">
        <x:v>DK900TF</x:v>
      </x:c>
      <x:c r="D3193" s="66" t="n">
        <x:v>2022</x:v>
      </x:c>
      <x:c r="E3193" s="67"/>
      <x:c r="F3193" s="68"/>
      <x:c r="G3193" s="69" t="str">
        <x:f>IF(COUNT(E3193:F3193)=2,E3193*F3193,"")</x:f>
      </x:c>
    </x:row>
    <x:row r="3194">
      <x:c r="A3194" s="66" t="n">
        <x:v>21</x:v>
      </x:c>
      <x:c r="B3194" s="44" t="str">
        <x:v>Canola/Rapeseed</x:v>
      </x:c>
      <x:c r="C3194" s="44" t="str">
        <x:v>DK900TF</x:v>
      </x:c>
      <x:c r="D3194" s="66" t="n">
        <x:v>2023</x:v>
      </x:c>
      <x:c r="E3194" s="67" t="n">
        <x:v>5341</x:v>
      </x:c>
      <x:c r="F3194" s="68" t="n">
        <x:v>47.7</x:v>
      </x:c>
      <x:c r="G3194" s="69" t="n">
        <x:f>IF(COUNT(E3194:F3194)=2,E3194*F3194,"")</x:f>
        <x:v>254765.7</x:v>
      </x:c>
    </x:row>
    <x:row r="3195">
      <x:c r="A3195" s="66" t="n">
        <x:v>21</x:v>
      </x:c>
      <x:c r="B3195" s="44" t="str">
        <x:v>Canola/Rapeseed</x:v>
      </x:c>
      <x:c r="C3195" s="44" t="str">
        <x:v>DK900TF</x:v>
      </x:c>
      <x:c r="D3195" s="66" t="n">
        <x:v>2024</x:v>
      </x:c>
      <x:c r="E3195" s="67" t="n">
        <x:v>20019</x:v>
      </x:c>
      <x:c r="F3195" s="68" t="n">
        <x:v>38.3</x:v>
      </x:c>
      <x:c r="G3195" s="69" t="n">
        <x:f>IF(COUNT(E3195:F3195)=2,E3195*F3195,"")</x:f>
        <x:v>766727.7</x:v>
      </x:c>
    </x:row>
    <x:row r="3196">
      <x:c r="A3196" s="66" t="n">
        <x:v>21</x:v>
      </x:c>
      <x:c r="B3196" s="44" t="str">
        <x:v>Canola/Rapeseed</x:v>
      </x:c>
      <x:c r="C3196" s="44" t="str">
        <x:v>DK900TF</x:v>
      </x:c>
      <x:c r="D3196" s="66" t="n">
        <x:v>2025</x:v>
      </x:c>
      <x:c r="E3196" s="67" t="n">
        <x:v>20047</x:v>
      </x:c>
      <x:c r="F3196" s="68" t="n">
        <x:v>45</x:v>
      </x:c>
      <x:c r="G3196" s="69" t="n">
        <x:f>IF(COUNT(E3196:F3196)=2,E3196*F3196,"")</x:f>
        <x:v>902115</x:v>
      </x:c>
    </x:row>
    <x:row r="3197">
      <x:c r="A3197" s="66" t="n">
        <x:v>21</x:v>
      </x:c>
      <x:c r="B3197" s="44" t="str">
        <x:v>Canola/Rapeseed</x:v>
      </x:c>
      <x:c r="C3197" s="44" t="str">
        <x:v>DK902TF</x:v>
      </x:c>
      <x:c r="D3197" s="66" t="n">
        <x:v>2021</x:v>
      </x:c>
      <x:c r="E3197" s="67"/>
      <x:c r="F3197" s="68"/>
      <x:c r="G3197" s="69" t="str">
        <x:f>IF(COUNT(E3197:F3197)=2,E3197*F3197,"")</x:f>
      </x:c>
    </x:row>
    <x:row r="3198">
      <x:c r="A3198" s="66" t="n">
        <x:v>21</x:v>
      </x:c>
      <x:c r="B3198" s="44" t="str">
        <x:v>Canola/Rapeseed</x:v>
      </x:c>
      <x:c r="C3198" s="44" t="str">
        <x:v>DK902TF</x:v>
      </x:c>
      <x:c r="D3198" s="66" t="n">
        <x:v>2022</x:v>
      </x:c>
      <x:c r="E3198" s="67"/>
      <x:c r="F3198" s="68"/>
      <x:c r="G3198" s="69" t="str">
        <x:f>IF(COUNT(E3198:F3198)=2,E3198*F3198,"")</x:f>
      </x:c>
    </x:row>
    <x:row r="3199">
      <x:c r="A3199" s="66" t="n">
        <x:v>21</x:v>
      </x:c>
      <x:c r="B3199" s="44" t="str">
        <x:v>Canola/Rapeseed</x:v>
      </x:c>
      <x:c r="C3199" s="44" t="str">
        <x:v>DK902TF</x:v>
      </x:c>
      <x:c r="D3199" s="66" t="n">
        <x:v>2023</x:v>
      </x:c>
      <x:c r="E3199" s="67" t="n">
        <x:v>5217</x:v>
      </x:c>
      <x:c r="F3199" s="68" t="n">
        <x:v>55.1</x:v>
      </x:c>
      <x:c r="G3199" s="69" t="n">
        <x:f>IF(COUNT(E3199:F3199)=2,E3199*F3199,"")</x:f>
        <x:v>287456.7</x:v>
      </x:c>
    </x:row>
    <x:row r="3200">
      <x:c r="A3200" s="66" t="n">
        <x:v>21</x:v>
      </x:c>
      <x:c r="B3200" s="44" t="str">
        <x:v>Canola/Rapeseed</x:v>
      </x:c>
      <x:c r="C3200" s="44" t="str">
        <x:v>DK902TF</x:v>
      </x:c>
      <x:c r="D3200" s="66" t="n">
        <x:v>2024</x:v>
      </x:c>
      <x:c r="E3200" s="67" t="n">
        <x:v>15858</x:v>
      </x:c>
      <x:c r="F3200" s="68" t="n">
        <x:v>37.7</x:v>
      </x:c>
      <x:c r="G3200" s="69" t="n">
        <x:f>IF(COUNT(E3200:F3200)=2,E3200*F3200,"")</x:f>
        <x:v>597846.6000000001</x:v>
      </x:c>
    </x:row>
    <x:row r="3201">
      <x:c r="A3201" s="66" t="n">
        <x:v>21</x:v>
      </x:c>
      <x:c r="B3201" s="44" t="str">
        <x:v>Canola/Rapeseed</x:v>
      </x:c>
      <x:c r="C3201" s="44" t="str">
        <x:v>DK902TF</x:v>
      </x:c>
      <x:c r="D3201" s="66" t="n">
        <x:v>2025</x:v>
      </x:c>
      <x:c r="E3201" s="67" t="n">
        <x:v>8670</x:v>
      </x:c>
      <x:c r="F3201" s="68" t="n">
        <x:v>44.4</x:v>
      </x:c>
      <x:c r="G3201" s="69" t="n">
        <x:f>IF(COUNT(E3201:F3201)=2,E3201*F3201,"")</x:f>
        <x:v>384948</x:v>
      </x:c>
    </x:row>
    <x:row r="3202">
      <x:c r="A3202" s="66" t="n">
        <x:v>21</x:v>
      </x:c>
      <x:c r="B3202" s="44" t="str">
        <x:v>Canola/Rapeseed</x:v>
      </x:c>
      <x:c r="C3202" s="44" t="str">
        <x:v>LR354PC</x:v>
      </x:c>
      <x:c r="D3202" s="66" t="n">
        <x:v>2021</x:v>
      </x:c>
      <x:c r="E3202" s="67"/>
      <x:c r="F3202" s="68"/>
      <x:c r="G3202" s="69" t="str">
        <x:f>IF(COUNT(E3202:F3202)=2,E3202*F3202,"")</x:f>
      </x:c>
    </x:row>
    <x:row r="3203">
      <x:c r="A3203" s="66" t="n">
        <x:v>21</x:v>
      </x:c>
      <x:c r="B3203" s="44" t="str">
        <x:v>Canola/Rapeseed</x:v>
      </x:c>
      <x:c r="C3203" s="44" t="str">
        <x:v>LR354PC</x:v>
      </x:c>
      <x:c r="D3203" s="66" t="n">
        <x:v>2022</x:v>
      </x:c>
      <x:c r="E3203" s="67"/>
      <x:c r="F3203" s="68"/>
      <x:c r="G3203" s="69" t="str">
        <x:f>IF(COUNT(E3203:F3203)=2,E3203*F3203,"")</x:f>
      </x:c>
    </x:row>
    <x:row r="3204">
      <x:c r="A3204" s="66" t="n">
        <x:v>21</x:v>
      </x:c>
      <x:c r="B3204" s="44" t="str">
        <x:v>Canola/Rapeseed</x:v>
      </x:c>
      <x:c r="C3204" s="44" t="str">
        <x:v>LR354PC</x:v>
      </x:c>
      <x:c r="D3204" s="66" t="n">
        <x:v>2023</x:v>
      </x:c>
      <x:c r="E3204" s="67"/>
      <x:c r="F3204" s="68"/>
      <x:c r="G3204" s="69" t="str">
        <x:f>IF(COUNT(E3204:F3204)=2,E3204*F3204,"")</x:f>
      </x:c>
    </x:row>
    <x:row r="3205">
      <x:c r="A3205" s="66" t="n">
        <x:v>21</x:v>
      </x:c>
      <x:c r="B3205" s="44" t="str">
        <x:v>Canola/Rapeseed</x:v>
      </x:c>
      <x:c r="C3205" s="44" t="str">
        <x:v>LR354PC</x:v>
      </x:c>
      <x:c r="D3205" s="66" t="n">
        <x:v>2024</x:v>
      </x:c>
      <x:c r="E3205" s="67" t="n">
        <x:v>803</x:v>
      </x:c>
      <x:c r="F3205" s="68" t="n">
        <x:v>38.9</x:v>
      </x:c>
      <x:c r="G3205" s="69" t="n">
        <x:f>IF(COUNT(E3205:F3205)=2,E3205*F3205,"")</x:f>
        <x:v>31236.699999999997</x:v>
      </x:c>
    </x:row>
    <x:row r="3206">
      <x:c r="A3206" s="66" t="n">
        <x:v>21</x:v>
      </x:c>
      <x:c r="B3206" s="44" t="str">
        <x:v>Canola/Rapeseed</x:v>
      </x:c>
      <x:c r="C3206" s="44" t="str">
        <x:v>LR354PC</x:v>
      </x:c>
      <x:c r="D3206" s="66" t="n">
        <x:v>2025</x:v>
      </x:c>
      <x:c r="E3206" s="67" t="n">
        <x:v>2659</x:v>
      </x:c>
      <x:c r="F3206" s="68" t="n">
        <x:v>47.4</x:v>
      </x:c>
      <x:c r="G3206" s="69" t="n">
        <x:f>IF(COUNT(E3206:F3206)=2,E3206*F3206,"")</x:f>
        <x:v>126036.59999999999</x:v>
      </x:c>
    </x:row>
    <x:row r="3207">
      <x:c r="A3207" s="66" t="n">
        <x:v>21</x:v>
      </x:c>
      <x:c r="B3207" s="44" t="str">
        <x:v>Canola/Rapeseed</x:v>
      </x:c>
      <x:c r="C3207" s="44" t="str">
        <x:v>L230</x:v>
      </x:c>
      <x:c r="D3207" s="66" t="n">
        <x:v>2021</x:v>
      </x:c>
      <x:c r="E3207" s="67" t="n">
        <x:v>13523</x:v>
      </x:c>
      <x:c r="F3207" s="68" t="n">
        <x:v>32.5</x:v>
      </x:c>
      <x:c r="G3207" s="69" t="n">
        <x:f>IF(COUNT(E3207:F3207)=2,E3207*F3207,"")</x:f>
        <x:v>439497.5</x:v>
      </x:c>
    </x:row>
    <x:row r="3208">
      <x:c r="A3208" s="66" t="n">
        <x:v>21</x:v>
      </x:c>
      <x:c r="B3208" s="44" t="str">
        <x:v>Canola/Rapeseed</x:v>
      </x:c>
      <x:c r="C3208" s="44" t="str">
        <x:v>L230</x:v>
      </x:c>
      <x:c r="D3208" s="66" t="n">
        <x:v>2022</x:v>
      </x:c>
      <x:c r="E3208" s="67" t="n">
        <x:v>660</x:v>
      </x:c>
      <x:c r="F3208" s="68" t="n">
        <x:v>43.4</x:v>
      </x:c>
      <x:c r="G3208" s="69" t="n">
        <x:f>IF(COUNT(E3208:F3208)=2,E3208*F3208,"")</x:f>
        <x:v>28644</x:v>
      </x:c>
    </x:row>
    <x:row r="3209">
      <x:c r="A3209" s="66" t="n">
        <x:v>21</x:v>
      </x:c>
      <x:c r="B3209" s="44" t="str">
        <x:v>Canola/Rapeseed</x:v>
      </x:c>
      <x:c r="C3209" s="44" t="str">
        <x:v>L230</x:v>
      </x:c>
      <x:c r="D3209" s="66" t="n">
        <x:v>2023</x:v>
      </x:c>
      <x:c r="E3209" s="67"/>
      <x:c r="F3209" s="68"/>
      <x:c r="G3209" s="69" t="str">
        <x:f>IF(COUNT(E3209:F3209)=2,E3209*F3209,"")</x:f>
      </x:c>
    </x:row>
    <x:row r="3210">
      <x:c r="A3210" s="66" t="n">
        <x:v>21</x:v>
      </x:c>
      <x:c r="B3210" s="44" t="str">
        <x:v>Canola/Rapeseed</x:v>
      </x:c>
      <x:c r="C3210" s="44" t="str">
        <x:v>L230</x:v>
      </x:c>
      <x:c r="D3210" s="66" t="n">
        <x:v>2024</x:v>
      </x:c>
      <x:c r="E3210" s="67"/>
      <x:c r="F3210" s="68"/>
      <x:c r="G3210" s="69" t="str">
        <x:f>IF(COUNT(E3210:F3210)=2,E3210*F3210,"")</x:f>
      </x:c>
    </x:row>
    <x:row r="3211">
      <x:c r="A3211" s="66" t="n">
        <x:v>21</x:v>
      </x:c>
      <x:c r="B3211" s="44" t="str">
        <x:v>Canola/Rapeseed</x:v>
      </x:c>
      <x:c r="C3211" s="44" t="str">
        <x:v>L230</x:v>
      </x:c>
      <x:c r="D3211" s="66" t="n">
        <x:v>2025</x:v>
      </x:c>
      <x:c r="E3211" s="67" t="n">
        <x:v>1585</x:v>
      </x:c>
      <x:c r="F3211" s="68" t="n">
        <x:v>47.3</x:v>
      </x:c>
      <x:c r="G3211" s="69" t="n">
        <x:f>IF(COUNT(E3211:F3211)=2,E3211*F3211,"")</x:f>
        <x:v>74970.5</x:v>
      </x:c>
    </x:row>
    <x:row r="3212">
      <x:c r="A3212" s="66" t="n">
        <x:v>21</x:v>
      </x:c>
      <x:c r="B3212" s="44" t="str">
        <x:v>Canola/Rapeseed</x:v>
      </x:c>
      <x:c r="C3212" s="44" t="str">
        <x:v>L233P</x:v>
      </x:c>
      <x:c r="D3212" s="66" t="n">
        <x:v>2021</x:v>
      </x:c>
      <x:c r="E3212" s="67" t="n">
        <x:v>51201</x:v>
      </x:c>
      <x:c r="F3212" s="68" t="n">
        <x:v>28.3</x:v>
      </x:c>
      <x:c r="G3212" s="69" t="n">
        <x:f>IF(COUNT(E3212:F3212)=2,E3212*F3212,"")</x:f>
        <x:v>1448988.3</x:v>
      </x:c>
    </x:row>
    <x:row r="3213">
      <x:c r="A3213" s="66" t="n">
        <x:v>21</x:v>
      </x:c>
      <x:c r="B3213" s="44" t="str">
        <x:v>Canola/Rapeseed</x:v>
      </x:c>
      <x:c r="C3213" s="44" t="str">
        <x:v>L233P</x:v>
      </x:c>
      <x:c r="D3213" s="66" t="n">
        <x:v>2022</x:v>
      </x:c>
      <x:c r="E3213" s="67" t="n">
        <x:v>37302</x:v>
      </x:c>
      <x:c r="F3213" s="68" t="n">
        <x:v>48.2</x:v>
      </x:c>
      <x:c r="G3213" s="69" t="n">
        <x:f>IF(COUNT(E3213:F3213)=2,E3213*F3213,"")</x:f>
        <x:v>1797956.4000000001</x:v>
      </x:c>
    </x:row>
    <x:row r="3214">
      <x:c r="A3214" s="66" t="n">
        <x:v>21</x:v>
      </x:c>
      <x:c r="B3214" s="44" t="str">
        <x:v>Canola/Rapeseed</x:v>
      </x:c>
      <x:c r="C3214" s="44" t="str">
        <x:v>L233P</x:v>
      </x:c>
      <x:c r="D3214" s="66" t="n">
        <x:v>2023</x:v>
      </x:c>
      <x:c r="E3214" s="67" t="n">
        <x:v>21929</x:v>
      </x:c>
      <x:c r="F3214" s="68" t="n">
        <x:v>52.3</x:v>
      </x:c>
      <x:c r="G3214" s="69" t="n">
        <x:f>IF(COUNT(E3214:F3214)=2,E3214*F3214,"")</x:f>
        <x:v>1146886.7</x:v>
      </x:c>
    </x:row>
    <x:row r="3215">
      <x:c r="A3215" s="66" t="n">
        <x:v>21</x:v>
      </x:c>
      <x:c r="B3215" s="44" t="str">
        <x:v>Canola/Rapeseed</x:v>
      </x:c>
      <x:c r="C3215" s="44" t="str">
        <x:v>L233P</x:v>
      </x:c>
      <x:c r="D3215" s="66" t="n">
        <x:v>2024</x:v>
      </x:c>
      <x:c r="E3215" s="67" t="n">
        <x:v>19390</x:v>
      </x:c>
      <x:c r="F3215" s="68" t="n">
        <x:v>38.4</x:v>
      </x:c>
      <x:c r="G3215" s="69" t="n">
        <x:f>IF(COUNT(E3215:F3215)=2,E3215*F3215,"")</x:f>
        <x:v>744576</x:v>
      </x:c>
    </x:row>
    <x:row r="3216">
      <x:c r="A3216" s="66" t="n">
        <x:v>21</x:v>
      </x:c>
      <x:c r="B3216" s="44" t="str">
        <x:v>Canola/Rapeseed</x:v>
      </x:c>
      <x:c r="C3216" s="44" t="str">
        <x:v>L233P</x:v>
      </x:c>
      <x:c r="D3216" s="66" t="n">
        <x:v>2025</x:v>
      </x:c>
      <x:c r="E3216" s="67" t="n">
        <x:v>6604</x:v>
      </x:c>
      <x:c r="F3216" s="68" t="n">
        <x:v>40.6</x:v>
      </x:c>
      <x:c r="G3216" s="69" t="n">
        <x:f>IF(COUNT(E3216:F3216)=2,E3216*F3216,"")</x:f>
        <x:v>268122.4</x:v>
      </x:c>
    </x:row>
    <x:row r="3217">
      <x:c r="A3217" s="66" t="n">
        <x:v>21</x:v>
      </x:c>
      <x:c r="B3217" s="44" t="str">
        <x:v>Canola/Rapeseed</x:v>
      </x:c>
      <x:c r="C3217" s="44" t="str">
        <x:v>L234PC</x:v>
      </x:c>
      <x:c r="D3217" s="66" t="n">
        <x:v>2021</x:v>
      </x:c>
      <x:c r="E3217" s="67" t="n">
        <x:v>12175</x:v>
      </x:c>
      <x:c r="F3217" s="68" t="n">
        <x:v>28</x:v>
      </x:c>
      <x:c r="G3217" s="69" t="n">
        <x:f>IF(COUNT(E3217:F3217)=2,E3217*F3217,"")</x:f>
        <x:v>340900</x:v>
      </x:c>
    </x:row>
    <x:row r="3218">
      <x:c r="A3218" s="66" t="n">
        <x:v>21</x:v>
      </x:c>
      <x:c r="B3218" s="44" t="str">
        <x:v>Canola/Rapeseed</x:v>
      </x:c>
      <x:c r="C3218" s="44" t="str">
        <x:v>L234PC</x:v>
      </x:c>
      <x:c r="D3218" s="66" t="n">
        <x:v>2022</x:v>
      </x:c>
      <x:c r="E3218" s="67" t="n">
        <x:v>9061</x:v>
      </x:c>
      <x:c r="F3218" s="68" t="n">
        <x:v>47.4</x:v>
      </x:c>
      <x:c r="G3218" s="69" t="n">
        <x:f>IF(COUNT(E3218:F3218)=2,E3218*F3218,"")</x:f>
        <x:v>429491.39999999997</x:v>
      </x:c>
    </x:row>
    <x:row r="3219">
      <x:c r="A3219" s="66" t="n">
        <x:v>21</x:v>
      </x:c>
      <x:c r="B3219" s="44" t="str">
        <x:v>Canola/Rapeseed</x:v>
      </x:c>
      <x:c r="C3219" s="44" t="str">
        <x:v>L234PC</x:v>
      </x:c>
      <x:c r="D3219" s="66" t="n">
        <x:v>2023</x:v>
      </x:c>
      <x:c r="E3219" s="67" t="n">
        <x:v>620</x:v>
      </x:c>
      <x:c r="F3219" s="68" t="n">
        <x:v>47.4</x:v>
      </x:c>
      <x:c r="G3219" s="69" t="n">
        <x:f>IF(COUNT(E3219:F3219)=2,E3219*F3219,"")</x:f>
        <x:v>29388</x:v>
      </x:c>
    </x:row>
    <x:row r="3220">
      <x:c r="A3220" s="66" t="n">
        <x:v>21</x:v>
      </x:c>
      <x:c r="B3220" s="44" t="str">
        <x:v>Canola/Rapeseed</x:v>
      </x:c>
      <x:c r="C3220" s="44" t="str">
        <x:v>L234PC</x:v>
      </x:c>
      <x:c r="D3220" s="66" t="n">
        <x:v>2024</x:v>
      </x:c>
      <x:c r="E3220" s="67" t="n">
        <x:v>3292</x:v>
      </x:c>
      <x:c r="F3220" s="68" t="n">
        <x:v>40.7</x:v>
      </x:c>
      <x:c r="G3220" s="69" t="n">
        <x:f>IF(COUNT(E3220:F3220)=2,E3220*F3220,"")</x:f>
        <x:v>133984.40000000002</x:v>
      </x:c>
    </x:row>
    <x:row r="3221">
      <x:c r="A3221" s="66" t="n">
        <x:v>21</x:v>
      </x:c>
      <x:c r="B3221" s="44" t="str">
        <x:v>Canola/Rapeseed</x:v>
      </x:c>
      <x:c r="C3221" s="44" t="str">
        <x:v>L234PC</x:v>
      </x:c>
      <x:c r="D3221" s="66" t="n">
        <x:v>2025</x:v>
      </x:c>
      <x:c r="E3221" s="67" t="n">
        <x:v>619</x:v>
      </x:c>
      <x:c r="F3221" s="68" t="n">
        <x:v>39</x:v>
      </x:c>
      <x:c r="G3221" s="69" t="n">
        <x:f>IF(COUNT(E3221:F3221)=2,E3221*F3221,"")</x:f>
        <x:v>24141</x:v>
      </x:c>
    </x:row>
    <x:row r="3222">
      <x:c r="A3222" s="66" t="n">
        <x:v>21</x:v>
      </x:c>
      <x:c r="B3222" s="44" t="str">
        <x:v>Canola/Rapeseed</x:v>
      </x:c>
      <x:c r="C3222" s="44" t="str">
        <x:v>L330PC</x:v>
      </x:c>
      <x:c r="D3222" s="66" t="n">
        <x:v>2021</x:v>
      </x:c>
      <x:c r="E3222" s="67"/>
      <x:c r="F3222" s="68"/>
      <x:c r="G3222" s="69" t="str">
        <x:f>IF(COUNT(E3222:F3222)=2,E3222*F3222,"")</x:f>
      </x:c>
    </x:row>
    <x:row r="3223">
      <x:c r="A3223" s="66" t="n">
        <x:v>21</x:v>
      </x:c>
      <x:c r="B3223" s="44" t="str">
        <x:v>Canola/Rapeseed</x:v>
      </x:c>
      <x:c r="C3223" s="44" t="str">
        <x:v>L330PC</x:v>
      </x:c>
      <x:c r="D3223" s="66" t="n">
        <x:v>2022</x:v>
      </x:c>
      <x:c r="E3223" s="67"/>
      <x:c r="F3223" s="68"/>
      <x:c r="G3223" s="69" t="str">
        <x:f>IF(COUNT(E3223:F3223)=2,E3223*F3223,"")</x:f>
      </x:c>
    </x:row>
    <x:row r="3224">
      <x:c r="A3224" s="66" t="n">
        <x:v>21</x:v>
      </x:c>
      <x:c r="B3224" s="44" t="str">
        <x:v>Canola/Rapeseed</x:v>
      </x:c>
      <x:c r="C3224" s="44" t="str">
        <x:v>L330PC</x:v>
      </x:c>
      <x:c r="D3224" s="66" t="n">
        <x:v>2023</x:v>
      </x:c>
      <x:c r="E3224" s="67"/>
      <x:c r="F3224" s="68"/>
      <x:c r="G3224" s="69" t="str">
        <x:f>IF(COUNT(E3224:F3224)=2,E3224*F3224,"")</x:f>
      </x:c>
    </x:row>
    <x:row r="3225">
      <x:c r="A3225" s="66" t="n">
        <x:v>21</x:v>
      </x:c>
      <x:c r="B3225" s="44" t="str">
        <x:v>Canola/Rapeseed</x:v>
      </x:c>
      <x:c r="C3225" s="44" t="str">
        <x:v>L330PC</x:v>
      </x:c>
      <x:c r="D3225" s="66" t="n">
        <x:v>2024</x:v>
      </x:c>
      <x:c r="E3225" s="67"/>
      <x:c r="F3225" s="68"/>
      <x:c r="G3225" s="69" t="str">
        <x:f>IF(COUNT(E3225:F3225)=2,E3225*F3225,"")</x:f>
      </x:c>
    </x:row>
    <x:row r="3226">
      <x:c r="A3226" s="66" t="n">
        <x:v>21</x:v>
      </x:c>
      <x:c r="B3226" s="44" t="str">
        <x:v>Canola/Rapeseed</x:v>
      </x:c>
      <x:c r="C3226" s="44" t="str">
        <x:v>L330PC</x:v>
      </x:c>
      <x:c r="D3226" s="66" t="n">
        <x:v>2025</x:v>
      </x:c>
      <x:c r="E3226" s="67" t="n">
        <x:v>19854</x:v>
      </x:c>
      <x:c r="F3226" s="68" t="n">
        <x:v>48.5</x:v>
      </x:c>
      <x:c r="G3226" s="69" t="n">
        <x:f>IF(COUNT(E3226:F3226)=2,E3226*F3226,"")</x:f>
        <x:v>962919</x:v>
      </x:c>
    </x:row>
    <x:row r="3227">
      <x:c r="A3227" s="66" t="n">
        <x:v>21</x:v>
      </x:c>
      <x:c r="B3227" s="44" t="str">
        <x:v>Canola/Rapeseed</x:v>
      </x:c>
      <x:c r="C3227" s="44" t="str">
        <x:v>L333PC</x:v>
      </x:c>
      <x:c r="D3227" s="66" t="n">
        <x:v>2021</x:v>
      </x:c>
      <x:c r="E3227" s="67"/>
      <x:c r="F3227" s="68"/>
      <x:c r="G3227" s="69" t="str">
        <x:f>IF(COUNT(E3227:F3227)=2,E3227*F3227,"")</x:f>
      </x:c>
    </x:row>
    <x:row r="3228">
      <x:c r="A3228" s="66" t="n">
        <x:v>21</x:v>
      </x:c>
      <x:c r="B3228" s="44" t="str">
        <x:v>Canola/Rapeseed</x:v>
      </x:c>
      <x:c r="C3228" s="44" t="str">
        <x:v>L333PC</x:v>
      </x:c>
      <x:c r="D3228" s="66" t="n">
        <x:v>2022</x:v>
      </x:c>
      <x:c r="E3228" s="67"/>
      <x:c r="F3228" s="68"/>
      <x:c r="G3228" s="69" t="str">
        <x:f>IF(COUNT(E3228:F3228)=2,E3228*F3228,"")</x:f>
      </x:c>
    </x:row>
    <x:row r="3229">
      <x:c r="A3229" s="66" t="n">
        <x:v>21</x:v>
      </x:c>
      <x:c r="B3229" s="44" t="str">
        <x:v>Canola/Rapeseed</x:v>
      </x:c>
      <x:c r="C3229" s="44" t="str">
        <x:v>L333PC</x:v>
      </x:c>
      <x:c r="D3229" s="66" t="n">
        <x:v>2023</x:v>
      </x:c>
      <x:c r="E3229" s="67"/>
      <x:c r="F3229" s="68"/>
      <x:c r="G3229" s="69" t="str">
        <x:f>IF(COUNT(E3229:F3229)=2,E3229*F3229,"")</x:f>
      </x:c>
    </x:row>
    <x:row r="3230">
      <x:c r="A3230" s="66" t="n">
        <x:v>21</x:v>
      </x:c>
      <x:c r="B3230" s="44" t="str">
        <x:v>Canola/Rapeseed</x:v>
      </x:c>
      <x:c r="C3230" s="44" t="str">
        <x:v>L333PC</x:v>
      </x:c>
      <x:c r="D3230" s="66" t="n">
        <x:v>2024</x:v>
      </x:c>
      <x:c r="E3230" s="67"/>
      <x:c r="F3230" s="68"/>
      <x:c r="G3230" s="69" t="str">
        <x:f>IF(COUNT(E3230:F3230)=2,E3230*F3230,"")</x:f>
      </x:c>
    </x:row>
    <x:row r="3231">
      <x:c r="A3231" s="66" t="n">
        <x:v>21</x:v>
      </x:c>
      <x:c r="B3231" s="44" t="str">
        <x:v>Canola/Rapeseed</x:v>
      </x:c>
      <x:c r="C3231" s="44" t="str">
        <x:v>L333PC</x:v>
      </x:c>
      <x:c r="D3231" s="66" t="n">
        <x:v>2025</x:v>
      </x:c>
      <x:c r="E3231" s="67" t="n">
        <x:v>7600</x:v>
      </x:c>
      <x:c r="F3231" s="68" t="n">
        <x:v>51.2</x:v>
      </x:c>
      <x:c r="G3231" s="69" t="n">
        <x:f>IF(COUNT(E3231:F3231)=2,E3231*F3231,"")</x:f>
        <x:v>389120</x:v>
      </x:c>
    </x:row>
    <x:row r="3232">
      <x:c r="A3232" s="66" t="n">
        <x:v>21</x:v>
      </x:c>
      <x:c r="B3232" s="44" t="str">
        <x:v>Canola/Rapeseed</x:v>
      </x:c>
      <x:c r="C3232" s="44" t="str">
        <x:v>L340PC</x:v>
      </x:c>
      <x:c r="D3232" s="66" t="n">
        <x:v>2021</x:v>
      </x:c>
      <x:c r="E3232" s="67" t="n">
        <x:v>22305</x:v>
      </x:c>
      <x:c r="F3232" s="68" t="n">
        <x:v>27.7</x:v>
      </x:c>
      <x:c r="G3232" s="69" t="n">
        <x:f>IF(COUNT(E3232:F3232)=2,E3232*F3232,"")</x:f>
        <x:v>617848.5</x:v>
      </x:c>
    </x:row>
    <x:row r="3233">
      <x:c r="A3233" s="66" t="n">
        <x:v>21</x:v>
      </x:c>
      <x:c r="B3233" s="44" t="str">
        <x:v>Canola/Rapeseed</x:v>
      </x:c>
      <x:c r="C3233" s="44" t="str">
        <x:v>L340PC</x:v>
      </x:c>
      <x:c r="D3233" s="66" t="n">
        <x:v>2022</x:v>
      </x:c>
      <x:c r="E3233" s="67" t="n">
        <x:v>55305</x:v>
      </x:c>
      <x:c r="F3233" s="68" t="n">
        <x:v>54.4</x:v>
      </x:c>
      <x:c r="G3233" s="69" t="n">
        <x:f>IF(COUNT(E3233:F3233)=2,E3233*F3233,"")</x:f>
        <x:v>3008592</x:v>
      </x:c>
    </x:row>
    <x:row r="3234">
      <x:c r="A3234" s="66" t="n">
        <x:v>21</x:v>
      </x:c>
      <x:c r="B3234" s="44" t="str">
        <x:v>Canola/Rapeseed</x:v>
      </x:c>
      <x:c r="C3234" s="44" t="str">
        <x:v>L340PC</x:v>
      </x:c>
      <x:c r="D3234" s="66" t="n">
        <x:v>2023</x:v>
      </x:c>
      <x:c r="E3234" s="67" t="n">
        <x:v>90139</x:v>
      </x:c>
      <x:c r="F3234" s="68" t="n">
        <x:v>53.4</x:v>
      </x:c>
      <x:c r="G3234" s="69" t="n">
        <x:f>IF(COUNT(E3234:F3234)=2,E3234*F3234,"")</x:f>
        <x:v>4813422.6</x:v>
      </x:c>
    </x:row>
    <x:row r="3235">
      <x:c r="A3235" s="66" t="n">
        <x:v>21</x:v>
      </x:c>
      <x:c r="B3235" s="44" t="str">
        <x:v>Canola/Rapeseed</x:v>
      </x:c>
      <x:c r="C3235" s="44" t="str">
        <x:v>L340PC</x:v>
      </x:c>
      <x:c r="D3235" s="66" t="n">
        <x:v>2024</x:v>
      </x:c>
      <x:c r="E3235" s="67" t="n">
        <x:v>118418</x:v>
      </x:c>
      <x:c r="F3235" s="68" t="n">
        <x:v>40.5</x:v>
      </x:c>
      <x:c r="G3235" s="69" t="n">
        <x:f>IF(COUNT(E3235:F3235)=2,E3235*F3235,"")</x:f>
        <x:v>4795929</x:v>
      </x:c>
    </x:row>
    <x:row r="3236">
      <x:c r="A3236" s="66" t="n">
        <x:v>21</x:v>
      </x:c>
      <x:c r="B3236" s="44" t="str">
        <x:v>Canola/Rapeseed</x:v>
      </x:c>
      <x:c r="C3236" s="44" t="str">
        <x:v>L340PC</x:v>
      </x:c>
      <x:c r="D3236" s="66" t="n">
        <x:v>2025</x:v>
      </x:c>
      <x:c r="E3236" s="67" t="n">
        <x:v>117059</x:v>
      </x:c>
      <x:c r="F3236" s="68" t="n">
        <x:v>48.8</x:v>
      </x:c>
      <x:c r="G3236" s="69" t="n">
        <x:f>IF(COUNT(E3236:F3236)=2,E3236*F3236,"")</x:f>
        <x:v>5712479.199999999</x:v>
      </x:c>
    </x:row>
    <x:row r="3237">
      <x:c r="A3237" s="66" t="n">
        <x:v>21</x:v>
      </x:c>
      <x:c r="B3237" s="44" t="str">
        <x:v>Canola/Rapeseed</x:v>
      </x:c>
      <x:c r="C3237" s="44" t="str">
        <x:v>L343PC</x:v>
      </x:c>
      <x:c r="D3237" s="66" t="n">
        <x:v>2021</x:v>
      </x:c>
      <x:c r="E3237" s="67"/>
      <x:c r="F3237" s="68"/>
      <x:c r="G3237" s="69" t="str">
        <x:f>IF(COUNT(E3237:F3237)=2,E3237*F3237,"")</x:f>
      </x:c>
    </x:row>
    <x:row r="3238">
      <x:c r="A3238" s="66" t="n">
        <x:v>21</x:v>
      </x:c>
      <x:c r="B3238" s="44" t="str">
        <x:v>Canola/Rapeseed</x:v>
      </x:c>
      <x:c r="C3238" s="44" t="str">
        <x:v>L343PC</x:v>
      </x:c>
      <x:c r="D3238" s="66" t="n">
        <x:v>2022</x:v>
      </x:c>
      <x:c r="E3238" s="67" t="n">
        <x:v>6948</x:v>
      </x:c>
      <x:c r="F3238" s="68" t="n">
        <x:v>51.2</x:v>
      </x:c>
      <x:c r="G3238" s="69" t="n">
        <x:f>IF(COUNT(E3238:F3238)=2,E3238*F3238,"")</x:f>
        <x:v>355737.60000000003</x:v>
      </x:c>
    </x:row>
    <x:row r="3239">
      <x:c r="A3239" s="66" t="n">
        <x:v>21</x:v>
      </x:c>
      <x:c r="B3239" s="44" t="str">
        <x:v>Canola/Rapeseed</x:v>
      </x:c>
      <x:c r="C3239" s="44" t="str">
        <x:v>L343PC</x:v>
      </x:c>
      <x:c r="D3239" s="66" t="n">
        <x:v>2023</x:v>
      </x:c>
      <x:c r="E3239" s="67" t="n">
        <x:v>8956</x:v>
      </x:c>
      <x:c r="F3239" s="68" t="n">
        <x:v>58.6</x:v>
      </x:c>
      <x:c r="G3239" s="69" t="n">
        <x:f>IF(COUNT(E3239:F3239)=2,E3239*F3239,"")</x:f>
        <x:v>524821.6</x:v>
      </x:c>
    </x:row>
    <x:row r="3240">
      <x:c r="A3240" s="66" t="n">
        <x:v>21</x:v>
      </x:c>
      <x:c r="B3240" s="44" t="str">
        <x:v>Canola/Rapeseed</x:v>
      </x:c>
      <x:c r="C3240" s="44" t="str">
        <x:v>L343PC</x:v>
      </x:c>
      <x:c r="D3240" s="66" t="n">
        <x:v>2024</x:v>
      </x:c>
      <x:c r="E3240" s="67" t="n">
        <x:v>13884</x:v>
      </x:c>
      <x:c r="F3240" s="68" t="n">
        <x:v>40.1</x:v>
      </x:c>
      <x:c r="G3240" s="69" t="n">
        <x:f>IF(COUNT(E3240:F3240)=2,E3240*F3240,"")</x:f>
        <x:v>556748.4</x:v>
      </x:c>
    </x:row>
    <x:row r="3241">
      <x:c r="A3241" s="66" t="n">
        <x:v>21</x:v>
      </x:c>
      <x:c r="B3241" s="44" t="str">
        <x:v>Canola/Rapeseed</x:v>
      </x:c>
      <x:c r="C3241" s="44" t="str">
        <x:v>L343PC</x:v>
      </x:c>
      <x:c r="D3241" s="66" t="n">
        <x:v>2025</x:v>
      </x:c>
      <x:c r="E3241" s="67" t="n">
        <x:v>10607</x:v>
      </x:c>
      <x:c r="F3241" s="68" t="n">
        <x:v>52</x:v>
      </x:c>
      <x:c r="G3241" s="69" t="n">
        <x:f>IF(COUNT(E3241:F3241)=2,E3241*F3241,"")</x:f>
        <x:v>551564</x:v>
      </x:c>
    </x:row>
    <x:row r="3242">
      <x:c r="A3242" s="66" t="n">
        <x:v>21</x:v>
      </x:c>
      <x:c r="B3242" s="44" t="str">
        <x:v>Canola/Rapeseed</x:v>
      </x:c>
      <x:c r="C3242" s="44" t="str">
        <x:v>L345PC</x:v>
      </x:c>
      <x:c r="D3242" s="66" t="n">
        <x:v>2021</x:v>
      </x:c>
      <x:c r="E3242" s="67" t="n">
        <x:v>46772</x:v>
      </x:c>
      <x:c r="F3242" s="68" t="n">
        <x:v>28.3</x:v>
      </x:c>
      <x:c r="G3242" s="69" t="n">
        <x:f>IF(COUNT(E3242:F3242)=2,E3242*F3242,"")</x:f>
        <x:v>1323647.6</x:v>
      </x:c>
    </x:row>
    <x:row r="3243">
      <x:c r="A3243" s="66" t="n">
        <x:v>21</x:v>
      </x:c>
      <x:c r="B3243" s="44" t="str">
        <x:v>Canola/Rapeseed</x:v>
      </x:c>
      <x:c r="C3243" s="44" t="str">
        <x:v>L345PC</x:v>
      </x:c>
      <x:c r="D3243" s="66" t="n">
        <x:v>2022</x:v>
      </x:c>
      <x:c r="E3243" s="67" t="n">
        <x:v>41404</x:v>
      </x:c>
      <x:c r="F3243" s="68" t="n">
        <x:v>50.4</x:v>
      </x:c>
      <x:c r="G3243" s="69" t="n">
        <x:f>IF(COUNT(E3243:F3243)=2,E3243*F3243,"")</x:f>
        <x:v>2086761.5999999999</x:v>
      </x:c>
    </x:row>
    <x:row r="3244">
      <x:c r="A3244" s="66" t="n">
        <x:v>21</x:v>
      </x:c>
      <x:c r="B3244" s="44" t="str">
        <x:v>Canola/Rapeseed</x:v>
      </x:c>
      <x:c r="C3244" s="44" t="str">
        <x:v>L345PC</x:v>
      </x:c>
      <x:c r="D3244" s="66" t="n">
        <x:v>2023</x:v>
      </x:c>
      <x:c r="E3244" s="67" t="n">
        <x:v>31003</x:v>
      </x:c>
      <x:c r="F3244" s="68" t="n">
        <x:v>53</x:v>
      </x:c>
      <x:c r="G3244" s="69" t="n">
        <x:f>IF(COUNT(E3244:F3244)=2,E3244*F3244,"")</x:f>
        <x:v>1643159</x:v>
      </x:c>
    </x:row>
    <x:row r="3245">
      <x:c r="A3245" s="66" t="n">
        <x:v>21</x:v>
      </x:c>
      <x:c r="B3245" s="44" t="str">
        <x:v>Canola/Rapeseed</x:v>
      </x:c>
      <x:c r="C3245" s="44" t="str">
        <x:v>L345PC</x:v>
      </x:c>
      <x:c r="D3245" s="66" t="n">
        <x:v>2024</x:v>
      </x:c>
      <x:c r="E3245" s="67" t="n">
        <x:v>21696</x:v>
      </x:c>
      <x:c r="F3245" s="68" t="n">
        <x:v>39.5</x:v>
      </x:c>
      <x:c r="G3245" s="69" t="n">
        <x:f>IF(COUNT(E3245:F3245)=2,E3245*F3245,"")</x:f>
        <x:v>856992</x:v>
      </x:c>
    </x:row>
    <x:row r="3246">
      <x:c r="A3246" s="66" t="n">
        <x:v>21</x:v>
      </x:c>
      <x:c r="B3246" s="44" t="str">
        <x:v>Canola/Rapeseed</x:v>
      </x:c>
      <x:c r="C3246" s="44" t="str">
        <x:v>L345PC</x:v>
      </x:c>
      <x:c r="D3246" s="66" t="n">
        <x:v>2025</x:v>
      </x:c>
      <x:c r="E3246" s="67" t="n">
        <x:v>11600</x:v>
      </x:c>
      <x:c r="F3246" s="68" t="n">
        <x:v>50</x:v>
      </x:c>
      <x:c r="G3246" s="69" t="n">
        <x:f>IF(COUNT(E3246:F3246)=2,E3246*F3246,"")</x:f>
        <x:v>580000</x:v>
      </x:c>
    </x:row>
    <x:row r="3247">
      <x:c r="A3247" s="66" t="n">
        <x:v>21</x:v>
      </x:c>
      <x:c r="B3247" s="44" t="str">
        <x:v>Canola/Rapeseed</x:v>
      </x:c>
      <x:c r="C3247" s="44" t="str">
        <x:v>L350PC</x:v>
      </x:c>
      <x:c r="D3247" s="66" t="n">
        <x:v>2021</x:v>
      </x:c>
      <x:c r="E3247" s="67"/>
      <x:c r="F3247" s="68"/>
      <x:c r="G3247" s="69" t="str">
        <x:f>IF(COUNT(E3247:F3247)=2,E3247*F3247,"")</x:f>
      </x:c>
    </x:row>
    <x:row r="3248">
      <x:c r="A3248" s="66" t="n">
        <x:v>21</x:v>
      </x:c>
      <x:c r="B3248" s="44" t="str">
        <x:v>Canola/Rapeseed</x:v>
      </x:c>
      <x:c r="C3248" s="44" t="str">
        <x:v>L350PC</x:v>
      </x:c>
      <x:c r="D3248" s="66" t="n">
        <x:v>2022</x:v>
      </x:c>
      <x:c r="E3248" s="67"/>
      <x:c r="F3248" s="68"/>
      <x:c r="G3248" s="69" t="str">
        <x:f>IF(COUNT(E3248:F3248)=2,E3248*F3248,"")</x:f>
      </x:c>
    </x:row>
    <x:row r="3249">
      <x:c r="A3249" s="66" t="n">
        <x:v>21</x:v>
      </x:c>
      <x:c r="B3249" s="44" t="str">
        <x:v>Canola/Rapeseed</x:v>
      </x:c>
      <x:c r="C3249" s="44" t="str">
        <x:v>L350PC</x:v>
      </x:c>
      <x:c r="D3249" s="66" t="n">
        <x:v>2023</x:v>
      </x:c>
      <x:c r="E3249" s="67" t="n">
        <x:v>12193</x:v>
      </x:c>
      <x:c r="F3249" s="68" t="n">
        <x:v>48.8</x:v>
      </x:c>
      <x:c r="G3249" s="69" t="n">
        <x:f>IF(COUNT(E3249:F3249)=2,E3249*F3249,"")</x:f>
        <x:v>595018.4</x:v>
      </x:c>
    </x:row>
    <x:row r="3250">
      <x:c r="A3250" s="66" t="n">
        <x:v>21</x:v>
      </x:c>
      <x:c r="B3250" s="44" t="str">
        <x:v>Canola/Rapeseed</x:v>
      </x:c>
      <x:c r="C3250" s="44" t="str">
        <x:v>L350PC</x:v>
      </x:c>
      <x:c r="D3250" s="66" t="n">
        <x:v>2024</x:v>
      </x:c>
      <x:c r="E3250" s="67" t="n">
        <x:v>4262</x:v>
      </x:c>
      <x:c r="F3250" s="68" t="n">
        <x:v>40.7</x:v>
      </x:c>
      <x:c r="G3250" s="69" t="n">
        <x:f>IF(COUNT(E3250:F3250)=2,E3250*F3250,"")</x:f>
        <x:v>173463.40000000002</x:v>
      </x:c>
    </x:row>
    <x:row r="3251">
      <x:c r="A3251" s="66" t="n">
        <x:v>21</x:v>
      </x:c>
      <x:c r="B3251" s="44" t="str">
        <x:v>Canola/Rapeseed</x:v>
      </x:c>
      <x:c r="C3251" s="44" t="str">
        <x:v>L350PC</x:v>
      </x:c>
      <x:c r="D3251" s="66" t="n">
        <x:v>2025</x:v>
      </x:c>
      <x:c r="E3251" s="67" t="n">
        <x:v>5733</x:v>
      </x:c>
      <x:c r="F3251" s="68" t="n">
        <x:v>57.1</x:v>
      </x:c>
      <x:c r="G3251" s="69" t="n">
        <x:f>IF(COUNT(E3251:F3251)=2,E3251*F3251,"")</x:f>
        <x:v>327354.3</x:v>
      </x:c>
    </x:row>
    <x:row r="3252">
      <x:c r="A3252" s="66" t="n">
        <x:v>21</x:v>
      </x:c>
      <x:c r="B3252" s="44" t="str">
        <x:v>Canola/Rapeseed</x:v>
      </x:c>
      <x:c r="C3252" s="44" t="str">
        <x:v>L356PC</x:v>
      </x:c>
      <x:c r="D3252" s="66" t="n">
        <x:v>2021</x:v>
      </x:c>
      <x:c r="E3252" s="67"/>
      <x:c r="F3252" s="68"/>
      <x:c r="G3252" s="69" t="str">
        <x:f>IF(COUNT(E3252:F3252)=2,E3252*F3252,"")</x:f>
      </x:c>
    </x:row>
    <x:row r="3253">
      <x:c r="A3253" s="66" t="n">
        <x:v>21</x:v>
      </x:c>
      <x:c r="B3253" s="44" t="str">
        <x:v>Canola/Rapeseed</x:v>
      </x:c>
      <x:c r="C3253" s="44" t="str">
        <x:v>L356PC</x:v>
      </x:c>
      <x:c r="D3253" s="66" t="n">
        <x:v>2022</x:v>
      </x:c>
      <x:c r="E3253" s="67" t="n">
        <x:v>7899</x:v>
      </x:c>
      <x:c r="F3253" s="68" t="n">
        <x:v>51.4</x:v>
      </x:c>
      <x:c r="G3253" s="69" t="n">
        <x:f>IF(COUNT(E3253:F3253)=2,E3253*F3253,"")</x:f>
        <x:v>406008.6</x:v>
      </x:c>
    </x:row>
    <x:row r="3254">
      <x:c r="A3254" s="66" t="n">
        <x:v>21</x:v>
      </x:c>
      <x:c r="B3254" s="44" t="str">
        <x:v>Canola/Rapeseed</x:v>
      </x:c>
      <x:c r="C3254" s="44" t="str">
        <x:v>L356PC</x:v>
      </x:c>
      <x:c r="D3254" s="66" t="n">
        <x:v>2023</x:v>
      </x:c>
      <x:c r="E3254" s="67" t="n">
        <x:v>23711</x:v>
      </x:c>
      <x:c r="F3254" s="68" t="n">
        <x:v>49.9</x:v>
      </x:c>
      <x:c r="G3254" s="69" t="n">
        <x:f>IF(COUNT(E3254:F3254)=2,E3254*F3254,"")</x:f>
        <x:v>1183178.9</x:v>
      </x:c>
    </x:row>
    <x:row r="3255">
      <x:c r="A3255" s="66" t="n">
        <x:v>21</x:v>
      </x:c>
      <x:c r="B3255" s="44" t="str">
        <x:v>Canola/Rapeseed</x:v>
      </x:c>
      <x:c r="C3255" s="44" t="str">
        <x:v>L356PC</x:v>
      </x:c>
      <x:c r="D3255" s="66" t="n">
        <x:v>2024</x:v>
      </x:c>
      <x:c r="E3255" s="67" t="n">
        <x:v>34491</x:v>
      </x:c>
      <x:c r="F3255" s="68" t="n">
        <x:v>40.2</x:v>
      </x:c>
      <x:c r="G3255" s="69" t="n">
        <x:f>IF(COUNT(E3255:F3255)=2,E3255*F3255,"")</x:f>
        <x:v>1386538.2000000002</x:v>
      </x:c>
    </x:row>
    <x:row r="3256">
      <x:c r="A3256" s="66" t="n">
        <x:v>21</x:v>
      </x:c>
      <x:c r="B3256" s="44" t="str">
        <x:v>Canola/Rapeseed</x:v>
      </x:c>
      <x:c r="C3256" s="44" t="str">
        <x:v>L356PC</x:v>
      </x:c>
      <x:c r="D3256" s="66" t="n">
        <x:v>2025</x:v>
      </x:c>
      <x:c r="E3256" s="67" t="n">
        <x:v>25663</x:v>
      </x:c>
      <x:c r="F3256" s="68" t="n">
        <x:v>49</x:v>
      </x:c>
      <x:c r="G3256" s="69" t="n">
        <x:f>IF(COUNT(E3256:F3256)=2,E3256*F3256,"")</x:f>
        <x:v>1257487</x:v>
      </x:c>
    </x:row>
    <x:row r="3257">
      <x:c r="A3257" s="66" t="n">
        <x:v>21</x:v>
      </x:c>
      <x:c r="B3257" s="44" t="str">
        <x:v>Canola/Rapeseed</x:v>
      </x:c>
      <x:c r="C3257" s="44" t="str">
        <x:v>NC527CRTF</x:v>
      </x:c>
      <x:c r="D3257" s="66" t="n">
        <x:v>2021</x:v>
      </x:c>
      <x:c r="E3257" s="67"/>
      <x:c r="F3257" s="68"/>
      <x:c r="G3257" s="69" t="str">
        <x:f>IF(COUNT(E3257:F3257)=2,E3257*F3257,"")</x:f>
      </x:c>
    </x:row>
    <x:row r="3258">
      <x:c r="A3258" s="66" t="n">
        <x:v>21</x:v>
      </x:c>
      <x:c r="B3258" s="44" t="str">
        <x:v>Canola/Rapeseed</x:v>
      </x:c>
      <x:c r="C3258" s="44" t="str">
        <x:v>NC527CRTF</x:v>
      </x:c>
      <x:c r="D3258" s="66" t="n">
        <x:v>2022</x:v>
      </x:c>
      <x:c r="E3258" s="67"/>
      <x:c r="F3258" s="68"/>
      <x:c r="G3258" s="69" t="str">
        <x:f>IF(COUNT(E3258:F3258)=2,E3258*F3258,"")</x:f>
      </x:c>
    </x:row>
    <x:row r="3259">
      <x:c r="A3259" s="66" t="n">
        <x:v>21</x:v>
      </x:c>
      <x:c r="B3259" s="44" t="str">
        <x:v>Canola/Rapeseed</x:v>
      </x:c>
      <x:c r="C3259" s="44" t="str">
        <x:v>NC527CRTF</x:v>
      </x:c>
      <x:c r="D3259" s="66" t="n">
        <x:v>2023</x:v>
      </x:c>
      <x:c r="E3259" s="67" t="n">
        <x:v>685</x:v>
      </x:c>
      <x:c r="F3259" s="68" t="n">
        <x:v>45.2</x:v>
      </x:c>
      <x:c r="G3259" s="69" t="n">
        <x:f>IF(COUNT(E3259:F3259)=2,E3259*F3259,"")</x:f>
        <x:v>30962.000000000004</x:v>
      </x:c>
    </x:row>
    <x:row r="3260">
      <x:c r="A3260" s="66" t="n">
        <x:v>21</x:v>
      </x:c>
      <x:c r="B3260" s="44" t="str">
        <x:v>Canola/Rapeseed</x:v>
      </x:c>
      <x:c r="C3260" s="44" t="str">
        <x:v>NC527CRTF</x:v>
      </x:c>
      <x:c r="D3260" s="66" t="n">
        <x:v>2024</x:v>
      </x:c>
      <x:c r="E3260" s="67" t="n">
        <x:v>1295</x:v>
      </x:c>
      <x:c r="F3260" s="68" t="n">
        <x:v>30.7</x:v>
      </x:c>
      <x:c r="G3260" s="69" t="n">
        <x:f>IF(COUNT(E3260:F3260)=2,E3260*F3260,"")</x:f>
        <x:v>39756.5</x:v>
      </x:c>
    </x:row>
    <x:row r="3261">
      <x:c r="A3261" s="66" t="n">
        <x:v>21</x:v>
      </x:c>
      <x:c r="B3261" s="44" t="str">
        <x:v>Canola/Rapeseed</x:v>
      </x:c>
      <x:c r="C3261" s="44" t="str">
        <x:v>NC527CRTF</x:v>
      </x:c>
      <x:c r="D3261" s="66" t="n">
        <x:v>2025</x:v>
      </x:c>
      <x:c r="E3261" s="67" t="n">
        <x:v>765</x:v>
      </x:c>
      <x:c r="F3261" s="68" t="n">
        <x:v>29</x:v>
      </x:c>
      <x:c r="G3261" s="69" t="n">
        <x:f>IF(COUNT(E3261:F3261)=2,E3261*F3261,"")</x:f>
        <x:v>22185</x:v>
      </x:c>
    </x:row>
    <x:row r="3262">
      <x:c r="A3262" s="66" t="n">
        <x:v>21</x:v>
      </x:c>
      <x:c r="B3262" s="44" t="str">
        <x:v>Canola/Rapeseed</x:v>
      </x:c>
      <x:c r="C3262" s="44" t="str">
        <x:v>PV 661 LCM</x:v>
      </x:c>
      <x:c r="D3262" s="66" t="n">
        <x:v>2021</x:v>
      </x:c>
      <x:c r="E3262" s="67"/>
      <x:c r="F3262" s="68"/>
      <x:c r="G3262" s="69" t="str">
        <x:f>IF(COUNT(E3262:F3262)=2,E3262*F3262,"")</x:f>
      </x:c>
    </x:row>
    <x:row r="3263">
      <x:c r="A3263" s="66" t="n">
        <x:v>21</x:v>
      </x:c>
      <x:c r="B3263" s="44" t="str">
        <x:v>Canola/Rapeseed</x:v>
      </x:c>
      <x:c r="C3263" s="44" t="str">
        <x:v>PV 661 LCM</x:v>
      </x:c>
      <x:c r="D3263" s="66" t="n">
        <x:v>2022</x:v>
      </x:c>
      <x:c r="E3263" s="67"/>
      <x:c r="F3263" s="68"/>
      <x:c r="G3263" s="69" t="str">
        <x:f>IF(COUNT(E3263:F3263)=2,E3263*F3263,"")</x:f>
      </x:c>
    </x:row>
    <x:row r="3264">
      <x:c r="A3264" s="66" t="n">
        <x:v>21</x:v>
      </x:c>
      <x:c r="B3264" s="44" t="str">
        <x:v>Canola/Rapeseed</x:v>
      </x:c>
      <x:c r="C3264" s="44" t="str">
        <x:v>PV 661 LCM</x:v>
      </x:c>
      <x:c r="D3264" s="66" t="n">
        <x:v>2023</x:v>
      </x:c>
      <x:c r="E3264" s="67"/>
      <x:c r="F3264" s="68"/>
      <x:c r="G3264" s="69" t="str">
        <x:f>IF(COUNT(E3264:F3264)=2,E3264*F3264,"")</x:f>
      </x:c>
    </x:row>
    <x:row r="3265">
      <x:c r="A3265" s="66" t="n">
        <x:v>21</x:v>
      </x:c>
      <x:c r="B3265" s="44" t="str">
        <x:v>Canola/Rapeseed</x:v>
      </x:c>
      <x:c r="C3265" s="44" t="str">
        <x:v>PV 661 LCM</x:v>
      </x:c>
      <x:c r="D3265" s="66" t="n">
        <x:v>2024</x:v>
      </x:c>
      <x:c r="E3265" s="67" t="n">
        <x:v>2605</x:v>
      </x:c>
      <x:c r="F3265" s="68" t="n">
        <x:v>34.6</x:v>
      </x:c>
      <x:c r="G3265" s="69" t="n">
        <x:f>IF(COUNT(E3265:F3265)=2,E3265*F3265,"")</x:f>
        <x:v>90133</x:v>
      </x:c>
    </x:row>
    <x:row r="3266">
      <x:c r="A3266" s="66" t="n">
        <x:v>21</x:v>
      </x:c>
      <x:c r="B3266" s="44" t="str">
        <x:v>Canola/Rapeseed</x:v>
      </x:c>
      <x:c r="C3266" s="44" t="str">
        <x:v>PV 661 LCM</x:v>
      </x:c>
      <x:c r="D3266" s="66" t="n">
        <x:v>2025</x:v>
      </x:c>
      <x:c r="E3266" s="67" t="n">
        <x:v>4263</x:v>
      </x:c>
      <x:c r="F3266" s="68" t="n">
        <x:v>40.3</x:v>
      </x:c>
      <x:c r="G3266" s="69" t="n">
        <x:f>IF(COUNT(E3266:F3266)=2,E3266*F3266,"")</x:f>
        <x:v>171798.9</x:v>
      </x:c>
    </x:row>
    <x:row r="3267">
      <x:c r="A3267" s="66" t="n">
        <x:v>21</x:v>
      </x:c>
      <x:c r="B3267" s="44" t="str">
        <x:v>Canola/Rapeseed</x:v>
      </x:c>
      <x:c r="C3267" s="44" t="str">
        <x:v>PV 681 LC</x:v>
      </x:c>
      <x:c r="D3267" s="66" t="n">
        <x:v>2021</x:v>
      </x:c>
      <x:c r="E3267" s="67" t="n">
        <x:v>4088</x:v>
      </x:c>
      <x:c r="F3267" s="68" t="n">
        <x:v>28.9</x:v>
      </x:c>
      <x:c r="G3267" s="69" t="n">
        <x:f>IF(COUNT(E3267:F3267)=2,E3267*F3267,"")</x:f>
        <x:v>118143.2</x:v>
      </x:c>
    </x:row>
    <x:row r="3268">
      <x:c r="A3268" s="66" t="n">
        <x:v>21</x:v>
      </x:c>
      <x:c r="B3268" s="44" t="str">
        <x:v>Canola/Rapeseed</x:v>
      </x:c>
      <x:c r="C3268" s="44" t="str">
        <x:v>PV 681 LC</x:v>
      </x:c>
      <x:c r="D3268" s="66" t="n">
        <x:v>2022</x:v>
      </x:c>
      <x:c r="E3268" s="67" t="n">
        <x:v>3044</x:v>
      </x:c>
      <x:c r="F3268" s="68" t="n">
        <x:v>48.4</x:v>
      </x:c>
      <x:c r="G3268" s="69" t="n">
        <x:f>IF(COUNT(E3268:F3268)=2,E3268*F3268,"")</x:f>
        <x:v>147329.6</x:v>
      </x:c>
    </x:row>
    <x:row r="3269">
      <x:c r="A3269" s="66" t="n">
        <x:v>21</x:v>
      </x:c>
      <x:c r="B3269" s="44" t="str">
        <x:v>Canola/Rapeseed</x:v>
      </x:c>
      <x:c r="C3269" s="44" t="str">
        <x:v>PV 681 LC</x:v>
      </x:c>
      <x:c r="D3269" s="66" t="n">
        <x:v>2023</x:v>
      </x:c>
      <x:c r="E3269" s="67" t="n">
        <x:v>1210</x:v>
      </x:c>
      <x:c r="F3269" s="68" t="n">
        <x:v>51.8</x:v>
      </x:c>
      <x:c r="G3269" s="69" t="n">
        <x:f>IF(COUNT(E3269:F3269)=2,E3269*F3269,"")</x:f>
        <x:v>62678</x:v>
      </x:c>
    </x:row>
    <x:row r="3270">
      <x:c r="A3270" s="66" t="n">
        <x:v>21</x:v>
      </x:c>
      <x:c r="B3270" s="44" t="str">
        <x:v>Canola/Rapeseed</x:v>
      </x:c>
      <x:c r="C3270" s="44" t="str">
        <x:v>PV 681 LC</x:v>
      </x:c>
      <x:c r="D3270" s="66" t="n">
        <x:v>2024</x:v>
      </x:c>
      <x:c r="E3270" s="67" t="n">
        <x:v>1853</x:v>
      </x:c>
      <x:c r="F3270" s="68" t="n">
        <x:v>30.7</x:v>
      </x:c>
      <x:c r="G3270" s="69" t="n">
        <x:f>IF(COUNT(E3270:F3270)=2,E3270*F3270,"")</x:f>
        <x:v>56887.1</x:v>
      </x:c>
    </x:row>
    <x:row r="3271">
      <x:c r="A3271" s="66" t="n">
        <x:v>21</x:v>
      </x:c>
      <x:c r="B3271" s="44" t="str">
        <x:v>Canola/Rapeseed</x:v>
      </x:c>
      <x:c r="C3271" s="44" t="str">
        <x:v>PV 681 LC</x:v>
      </x:c>
      <x:c r="D3271" s="66" t="n">
        <x:v>2025</x:v>
      </x:c>
      <x:c r="E3271" s="67" t="n">
        <x:v>3186</x:v>
      </x:c>
      <x:c r="F3271" s="68" t="n">
        <x:v>40</x:v>
      </x:c>
      <x:c r="G3271" s="69" t="n">
        <x:f>IF(COUNT(E3271:F3271)=2,E3271*F3271,"")</x:f>
        <x:v>127440</x:v>
      </x:c>
    </x:row>
    <x:row r="3272">
      <x:c r="A3272" s="66" t="n">
        <x:v>21</x:v>
      </x:c>
      <x:c r="B3272" s="44" t="str">
        <x:v>Canola/Rapeseed</x:v>
      </x:c>
      <x:c r="C3272" s="44" t="str">
        <x:v>PV 761 TM</x:v>
      </x:c>
      <x:c r="D3272" s="66" t="n">
        <x:v>2021</x:v>
      </x:c>
      <x:c r="E3272" s="67" t="n">
        <x:v>4816</x:v>
      </x:c>
      <x:c r="F3272" s="68" t="n">
        <x:v>29.1</x:v>
      </x:c>
      <x:c r="G3272" s="69" t="n">
        <x:f>IF(COUNT(E3272:F3272)=2,E3272*F3272,"")</x:f>
        <x:v>140145.6</x:v>
      </x:c>
    </x:row>
    <x:row r="3273">
      <x:c r="A3273" s="66" t="n">
        <x:v>21</x:v>
      </x:c>
      <x:c r="B3273" s="44" t="str">
        <x:v>Canola/Rapeseed</x:v>
      </x:c>
      <x:c r="C3273" s="44" t="str">
        <x:v>PV 761 TM</x:v>
      </x:c>
      <x:c r="D3273" s="66" t="n">
        <x:v>2022</x:v>
      </x:c>
      <x:c r="E3273" s="67" t="n">
        <x:v>4822</x:v>
      </x:c>
      <x:c r="F3273" s="68" t="n">
        <x:v>47.4</x:v>
      </x:c>
      <x:c r="G3273" s="69" t="n">
        <x:f>IF(COUNT(E3273:F3273)=2,E3273*F3273,"")</x:f>
        <x:v>228562.8</x:v>
      </x:c>
    </x:row>
    <x:row r="3274">
      <x:c r="A3274" s="66" t="n">
        <x:v>21</x:v>
      </x:c>
      <x:c r="B3274" s="44" t="str">
        <x:v>Canola/Rapeseed</x:v>
      </x:c>
      <x:c r="C3274" s="44" t="str">
        <x:v>PV 761 TM</x:v>
      </x:c>
      <x:c r="D3274" s="66" t="n">
        <x:v>2023</x:v>
      </x:c>
      <x:c r="E3274" s="67" t="n">
        <x:v>3638</x:v>
      </x:c>
      <x:c r="F3274" s="68" t="n">
        <x:v>47.3</x:v>
      </x:c>
      <x:c r="G3274" s="69" t="n">
        <x:f>IF(COUNT(E3274:F3274)=2,E3274*F3274,"")</x:f>
        <x:v>172077.4</x:v>
      </x:c>
    </x:row>
    <x:row r="3275">
      <x:c r="A3275" s="66" t="n">
        <x:v>21</x:v>
      </x:c>
      <x:c r="B3275" s="44" t="str">
        <x:v>Canola/Rapeseed</x:v>
      </x:c>
      <x:c r="C3275" s="44" t="str">
        <x:v>PV 761 TM</x:v>
      </x:c>
      <x:c r="D3275" s="66" t="n">
        <x:v>2024</x:v>
      </x:c>
      <x:c r="E3275" s="67" t="n">
        <x:v>1988</x:v>
      </x:c>
      <x:c r="F3275" s="68" t="n">
        <x:v>37.4</x:v>
      </x:c>
      <x:c r="G3275" s="69" t="n">
        <x:f>IF(COUNT(E3275:F3275)=2,E3275*F3275,"")</x:f>
        <x:v>74351.2</x:v>
      </x:c>
    </x:row>
    <x:row r="3276">
      <x:c r="A3276" s="66" t="n">
        <x:v>21</x:v>
      </x:c>
      <x:c r="B3276" s="44" t="str">
        <x:v>Canola/Rapeseed</x:v>
      </x:c>
      <x:c r="C3276" s="44" t="str">
        <x:v>PV 761 TM</x:v>
      </x:c>
      <x:c r="D3276" s="66" t="n">
        <x:v>2025</x:v>
      </x:c>
      <x:c r="E3276" s="67" t="n">
        <x:v>792</x:v>
      </x:c>
      <x:c r="F3276" s="68" t="n">
        <x:v>36.7</x:v>
      </x:c>
      <x:c r="G3276" s="69" t="n">
        <x:f>IF(COUNT(E3276:F3276)=2,E3276*F3276,"")</x:f>
        <x:v>29066.4</x:v>
      </x:c>
    </x:row>
    <x:row r="3277">
      <x:c r="A3277" s="66" t="n">
        <x:v>21</x:v>
      </x:c>
      <x:c r="B3277" s="44" t="str">
        <x:v>Canola/Rapeseed</x:v>
      </x:c>
      <x:c r="C3277" s="44" t="str">
        <x:v>PV 781 TCM</x:v>
      </x:c>
      <x:c r="D3277" s="66" t="n">
        <x:v>2021</x:v>
      </x:c>
      <x:c r="E3277" s="67"/>
      <x:c r="F3277" s="68"/>
      <x:c r="G3277" s="69" t="str">
        <x:f>IF(COUNT(E3277:F3277)=2,E3277*F3277,"")</x:f>
      </x:c>
    </x:row>
    <x:row r="3278">
      <x:c r="A3278" s="66" t="n">
        <x:v>21</x:v>
      </x:c>
      <x:c r="B3278" s="44" t="str">
        <x:v>Canola/Rapeseed</x:v>
      </x:c>
      <x:c r="C3278" s="44" t="str">
        <x:v>PV 781 TCM</x:v>
      </x:c>
      <x:c r="D3278" s="66" t="n">
        <x:v>2022</x:v>
      </x:c>
      <x:c r="E3278" s="67"/>
      <x:c r="F3278" s="68"/>
      <x:c r="G3278" s="69" t="str">
        <x:f>IF(COUNT(E3278:F3278)=2,E3278*F3278,"")</x:f>
      </x:c>
    </x:row>
    <x:row r="3279">
      <x:c r="A3279" s="66" t="n">
        <x:v>21</x:v>
      </x:c>
      <x:c r="B3279" s="44" t="str">
        <x:v>Canola/Rapeseed</x:v>
      </x:c>
      <x:c r="C3279" s="44" t="str">
        <x:v>PV 781 TCM</x:v>
      </x:c>
      <x:c r="D3279" s="66" t="n">
        <x:v>2023</x:v>
      </x:c>
      <x:c r="E3279" s="67" t="n">
        <x:v>8057</x:v>
      </x:c>
      <x:c r="F3279" s="68" t="n">
        <x:v>50.5</x:v>
      </x:c>
      <x:c r="G3279" s="69" t="n">
        <x:f>IF(COUNT(E3279:F3279)=2,E3279*F3279,"")</x:f>
        <x:v>406878.5</x:v>
      </x:c>
    </x:row>
    <x:row r="3280">
      <x:c r="A3280" s="66" t="n">
        <x:v>21</x:v>
      </x:c>
      <x:c r="B3280" s="44" t="str">
        <x:v>Canola/Rapeseed</x:v>
      </x:c>
      <x:c r="C3280" s="44" t="str">
        <x:v>PV 781 TCM</x:v>
      </x:c>
      <x:c r="D3280" s="66" t="n">
        <x:v>2024</x:v>
      </x:c>
      <x:c r="E3280" s="67" t="n">
        <x:v>11029</x:v>
      </x:c>
      <x:c r="F3280" s="68" t="n">
        <x:v>32.1</x:v>
      </x:c>
      <x:c r="G3280" s="69" t="n">
        <x:f>IF(COUNT(E3280:F3280)=2,E3280*F3280,"")</x:f>
        <x:v>354030.9</x:v>
      </x:c>
    </x:row>
    <x:row r="3281">
      <x:c r="A3281" s="66" t="n">
        <x:v>21</x:v>
      </x:c>
      <x:c r="B3281" s="44" t="str">
        <x:v>Canola/Rapeseed</x:v>
      </x:c>
      <x:c r="C3281" s="44" t="str">
        <x:v>PV 781 TCM</x:v>
      </x:c>
      <x:c r="D3281" s="66" t="n">
        <x:v>2025</x:v>
      </x:c>
      <x:c r="E3281" s="67" t="n">
        <x:v>7495</x:v>
      </x:c>
      <x:c r="F3281" s="68" t="n">
        <x:v>41.2</x:v>
      </x:c>
      <x:c r="G3281" s="69" t="n">
        <x:f>IF(COUNT(E3281:F3281)=2,E3281*F3281,"")</x:f>
        <x:v>308794</x:v>
      </x:c>
    </x:row>
    <x:row r="3282">
      <x:c r="A3282" s="66" t="n">
        <x:v>21</x:v>
      </x:c>
      <x:c r="B3282" s="44" t="str">
        <x:v>Canola/Rapeseed</x:v>
      </x:c>
      <x:c r="C3282" s="44" t="str">
        <x:v>PV 782 TCN</x:v>
      </x:c>
      <x:c r="D3282" s="66" t="n">
        <x:v>2021</x:v>
      </x:c>
      <x:c r="E3282" s="67"/>
      <x:c r="F3282" s="68"/>
      <x:c r="G3282" s="69" t="str">
        <x:f>IF(COUNT(E3282:F3282)=2,E3282*F3282,"")</x:f>
      </x:c>
    </x:row>
    <x:row r="3283">
      <x:c r="A3283" s="66" t="n">
        <x:v>21</x:v>
      </x:c>
      <x:c r="B3283" s="44" t="str">
        <x:v>Canola/Rapeseed</x:v>
      </x:c>
      <x:c r="C3283" s="44" t="str">
        <x:v>PV 782 TCN</x:v>
      </x:c>
      <x:c r="D3283" s="66" t="n">
        <x:v>2022</x:v>
      </x:c>
      <x:c r="E3283" s="67"/>
      <x:c r="F3283" s="68"/>
      <x:c r="G3283" s="69" t="str">
        <x:f>IF(COUNT(E3283:F3283)=2,E3283*F3283,"")</x:f>
      </x:c>
    </x:row>
    <x:row r="3284">
      <x:c r="A3284" s="66" t="n">
        <x:v>21</x:v>
      </x:c>
      <x:c r="B3284" s="44" t="str">
        <x:v>Canola/Rapeseed</x:v>
      </x:c>
      <x:c r="C3284" s="44" t="str">
        <x:v>PV 782 TCN</x:v>
      </x:c>
      <x:c r="D3284" s="66" t="n">
        <x:v>2023</x:v>
      </x:c>
      <x:c r="E3284" s="67"/>
      <x:c r="F3284" s="68"/>
      <x:c r="G3284" s="69" t="str">
        <x:f>IF(COUNT(E3284:F3284)=2,E3284*F3284,"")</x:f>
      </x:c>
    </x:row>
    <x:row r="3285">
      <x:c r="A3285" s="66" t="n">
        <x:v>21</x:v>
      </x:c>
      <x:c r="B3285" s="44" t="str">
        <x:v>Canola/Rapeseed</x:v>
      </x:c>
      <x:c r="C3285" s="44" t="str">
        <x:v>PV 782 TCN</x:v>
      </x:c>
      <x:c r="D3285" s="66" t="n">
        <x:v>2024</x:v>
      </x:c>
      <x:c r="E3285" s="67"/>
      <x:c r="F3285" s="68"/>
      <x:c r="G3285" s="69" t="str">
        <x:f>IF(COUNT(E3285:F3285)=2,E3285*F3285,"")</x:f>
      </x:c>
    </x:row>
    <x:row r="3286">
      <x:c r="A3286" s="66" t="n">
        <x:v>21</x:v>
      </x:c>
      <x:c r="B3286" s="44" t="str">
        <x:v>Canola/Rapeseed</x:v>
      </x:c>
      <x:c r="C3286" s="44" t="str">
        <x:v>PV 782 TCN</x:v>
      </x:c>
      <x:c r="D3286" s="66" t="n">
        <x:v>2025</x:v>
      </x:c>
      <x:c r="E3286" s="67" t="n">
        <x:v>1109</x:v>
      </x:c>
      <x:c r="F3286" s="68" t="n">
        <x:v>49.6</x:v>
      </x:c>
      <x:c r="G3286" s="69" t="n">
        <x:f>IF(COUNT(E3286:F3286)=2,E3286*F3286,"")</x:f>
        <x:v>55006.4</x:v>
      </x:c>
    </x:row>
    <x:row r="3287">
      <x:c r="A3287" s="66" t="n">
        <x:v>21</x:v>
      </x:c>
      <x:c r="B3287" s="44" t="str">
        <x:v>Canola/Rapeseed</x:v>
      </x:c>
      <x:c r="C3287" s="44" t="str">
        <x:v>PV661 LCM</x:v>
      </x:c>
      <x:c r="D3287" s="66" t="n">
        <x:v>2021</x:v>
      </x:c>
      <x:c r="E3287" s="67"/>
      <x:c r="F3287" s="68"/>
      <x:c r="G3287" s="69" t="str">
        <x:f>IF(COUNT(E3287:F3287)=2,E3287*F3287,"")</x:f>
      </x:c>
    </x:row>
    <x:row r="3288">
      <x:c r="A3288" s="66" t="n">
        <x:v>21</x:v>
      </x:c>
      <x:c r="B3288" s="44" t="str">
        <x:v>Canola/Rapeseed</x:v>
      </x:c>
      <x:c r="C3288" s="44" t="str">
        <x:v>PV661 LCM</x:v>
      </x:c>
      <x:c r="D3288" s="66" t="n">
        <x:v>2022</x:v>
      </x:c>
      <x:c r="E3288" s="67"/>
      <x:c r="F3288" s="68"/>
      <x:c r="G3288" s="69" t="str">
        <x:f>IF(COUNT(E3288:F3288)=2,E3288*F3288,"")</x:f>
      </x:c>
    </x:row>
    <x:row r="3289">
      <x:c r="A3289" s="66" t="n">
        <x:v>21</x:v>
      </x:c>
      <x:c r="B3289" s="44" t="str">
        <x:v>Canola/Rapeseed</x:v>
      </x:c>
      <x:c r="C3289" s="44" t="str">
        <x:v>PV661 LCM</x:v>
      </x:c>
      <x:c r="D3289" s="66" t="n">
        <x:v>2023</x:v>
      </x:c>
      <x:c r="E3289" s="67" t="n">
        <x:v>994</x:v>
      </x:c>
      <x:c r="F3289" s="68" t="n">
        <x:v>47.8</x:v>
      </x:c>
      <x:c r="G3289" s="69" t="n">
        <x:f>IF(COUNT(E3289:F3289)=2,E3289*F3289,"")</x:f>
        <x:v>47513.2</x:v>
      </x:c>
    </x:row>
    <x:row r="3290">
      <x:c r="A3290" s="66" t="n">
        <x:v>21</x:v>
      </x:c>
      <x:c r="B3290" s="44" t="str">
        <x:v>Canola/Rapeseed</x:v>
      </x:c>
      <x:c r="C3290" s="44" t="str">
        <x:v>PV661 LCM</x:v>
      </x:c>
      <x:c r="D3290" s="66" t="n">
        <x:v>2024</x:v>
      </x:c>
      <x:c r="E3290" s="67" t="n">
        <x:v>2989</x:v>
      </x:c>
      <x:c r="F3290" s="68" t="n">
        <x:v>36</x:v>
      </x:c>
      <x:c r="G3290" s="69" t="n">
        <x:f>IF(COUNT(E3290:F3290)=2,E3290*F3290,"")</x:f>
        <x:v>107604</x:v>
      </x:c>
    </x:row>
    <x:row r="3291">
      <x:c r="A3291" s="66" t="n">
        <x:v>21</x:v>
      </x:c>
      <x:c r="B3291" s="44" t="str">
        <x:v>Canola/Rapeseed</x:v>
      </x:c>
      <x:c r="C3291" s="44" t="str">
        <x:v>PV661 LCM</x:v>
      </x:c>
      <x:c r="D3291" s="66" t="n">
        <x:v>2025</x:v>
      </x:c>
      <x:c r="E3291" s="67" t="n">
        <x:v>3237</x:v>
      </x:c>
      <x:c r="F3291" s="68" t="n">
        <x:v>31.5</x:v>
      </x:c>
      <x:c r="G3291" s="69" t="n">
        <x:f>IF(COUNT(E3291:F3291)=2,E3291*F3291,"")</x:f>
        <x:v>101965.5</x:v>
      </x:c>
    </x:row>
    <x:row r="3292">
      <x:c r="A3292" s="66" t="n">
        <x:v>21</x:v>
      </x:c>
      <x:c r="B3292" s="44" t="str">
        <x:v>Canola/Rapeseed</x:v>
      </x:c>
      <x:c r="C3292" s="44" t="str">
        <x:v>PV783</x:v>
      </x:c>
      <x:c r="D3292" s="66" t="n">
        <x:v>2021</x:v>
      </x:c>
      <x:c r="E3292" s="67"/>
      <x:c r="F3292" s="68"/>
      <x:c r="G3292" s="69" t="str">
        <x:f>IF(COUNT(E3292:F3292)=2,E3292*F3292,"")</x:f>
      </x:c>
    </x:row>
    <x:row r="3293">
      <x:c r="A3293" s="66" t="n">
        <x:v>21</x:v>
      </x:c>
      <x:c r="B3293" s="44" t="str">
        <x:v>Canola/Rapeseed</x:v>
      </x:c>
      <x:c r="C3293" s="44" t="str">
        <x:v>PV783</x:v>
      </x:c>
      <x:c r="D3293" s="66" t="n">
        <x:v>2022</x:v>
      </x:c>
      <x:c r="E3293" s="67"/>
      <x:c r="F3293" s="68"/>
      <x:c r="G3293" s="69" t="str">
        <x:f>IF(COUNT(E3293:F3293)=2,E3293*F3293,"")</x:f>
      </x:c>
    </x:row>
    <x:row r="3294">
      <x:c r="A3294" s="66" t="n">
        <x:v>21</x:v>
      </x:c>
      <x:c r="B3294" s="44" t="str">
        <x:v>Canola/Rapeseed</x:v>
      </x:c>
      <x:c r="C3294" s="44" t="str">
        <x:v>PV783</x:v>
      </x:c>
      <x:c r="D3294" s="66" t="n">
        <x:v>2023</x:v>
      </x:c>
      <x:c r="E3294" s="67"/>
      <x:c r="F3294" s="68"/>
      <x:c r="G3294" s="69" t="str">
        <x:f>IF(COUNT(E3294:F3294)=2,E3294*F3294,"")</x:f>
      </x:c>
    </x:row>
    <x:row r="3295">
      <x:c r="A3295" s="66" t="n">
        <x:v>21</x:v>
      </x:c>
      <x:c r="B3295" s="44" t="str">
        <x:v>Canola/Rapeseed</x:v>
      </x:c>
      <x:c r="C3295" s="44" t="str">
        <x:v>PV783</x:v>
      </x:c>
      <x:c r="D3295" s="66" t="n">
        <x:v>2024</x:v>
      </x:c>
      <x:c r="E3295" s="67"/>
      <x:c r="F3295" s="68"/>
      <x:c r="G3295" s="69" t="str">
        <x:f>IF(COUNT(E3295:F3295)=2,E3295*F3295,"")</x:f>
      </x:c>
    </x:row>
    <x:row r="3296">
      <x:c r="A3296" s="66" t="n">
        <x:v>21</x:v>
      </x:c>
      <x:c r="B3296" s="44" t="str">
        <x:v>Canola/Rapeseed</x:v>
      </x:c>
      <x:c r="C3296" s="44" t="str">
        <x:v>PV783</x:v>
      </x:c>
      <x:c r="D3296" s="66" t="n">
        <x:v>2025</x:v>
      </x:c>
      <x:c r="E3296" s="67" t="n">
        <x:v>3407</x:v>
      </x:c>
      <x:c r="F3296" s="68" t="n">
        <x:v>45.5</x:v>
      </x:c>
      <x:c r="G3296" s="69" t="n">
        <x:f>IF(COUNT(E3296:F3296)=2,E3296*F3296,"")</x:f>
        <x:v>155018.5</x:v>
      </x:c>
    </x:row>
    <x:row r="3297">
      <x:c r="A3297" s="66" t="n">
        <x:v>21</x:v>
      </x:c>
      <x:c r="B3297" s="44" t="str">
        <x:v>Canola/Rapeseed</x:v>
      </x:c>
      <x:c r="C3297" s="44" t="str">
        <x:v>P1530G</x:v>
      </x:c>
      <x:c r="D3297" s="66" t="n">
        <x:v>2021</x:v>
      </x:c>
      <x:c r="E3297" s="67"/>
      <x:c r="F3297" s="68"/>
      <x:c r="G3297" s="69" t="str">
        <x:f>IF(COUNT(E3297:F3297)=2,E3297*F3297,"")</x:f>
      </x:c>
    </x:row>
    <x:row r="3298">
      <x:c r="A3298" s="66" t="n">
        <x:v>21</x:v>
      </x:c>
      <x:c r="B3298" s="44" t="str">
        <x:v>Canola/Rapeseed</x:v>
      </x:c>
      <x:c r="C3298" s="44" t="str">
        <x:v>P1530G</x:v>
      </x:c>
      <x:c r="D3298" s="66" t="n">
        <x:v>2022</x:v>
      </x:c>
      <x:c r="E3298" s="67"/>
      <x:c r="F3298" s="68"/>
      <x:c r="G3298" s="69" t="str">
        <x:f>IF(COUNT(E3298:F3298)=2,E3298*F3298,"")</x:f>
      </x:c>
    </x:row>
    <x:row r="3299">
      <x:c r="A3299" s="66" t="n">
        <x:v>21</x:v>
      </x:c>
      <x:c r="B3299" s="44" t="str">
        <x:v>Canola/Rapeseed</x:v>
      </x:c>
      <x:c r="C3299" s="44" t="str">
        <x:v>P1530G</x:v>
      </x:c>
      <x:c r="D3299" s="66" t="n">
        <x:v>2023</x:v>
      </x:c>
      <x:c r="E3299" s="67"/>
      <x:c r="F3299" s="68"/>
      <x:c r="G3299" s="69" t="str">
        <x:f>IF(COUNT(E3299:F3299)=2,E3299*F3299,"")</x:f>
      </x:c>
    </x:row>
    <x:row r="3300">
      <x:c r="A3300" s="66" t="n">
        <x:v>21</x:v>
      </x:c>
      <x:c r="B3300" s="44" t="str">
        <x:v>Canola/Rapeseed</x:v>
      </x:c>
      <x:c r="C3300" s="44" t="str">
        <x:v>P1530G</x:v>
      </x:c>
      <x:c r="D3300" s="66" t="n">
        <x:v>2024</x:v>
      </x:c>
      <x:c r="E3300" s="67"/>
      <x:c r="F3300" s="68"/>
      <x:c r="G3300" s="69" t="str">
        <x:f>IF(COUNT(E3300:F3300)=2,E3300*F3300,"")</x:f>
      </x:c>
    </x:row>
    <x:row r="3301">
      <x:c r="A3301" s="66" t="n">
        <x:v>21</x:v>
      </x:c>
      <x:c r="B3301" s="44" t="str">
        <x:v>Canola/Rapeseed</x:v>
      </x:c>
      <x:c r="C3301" s="44" t="str">
        <x:v>P1530G</x:v>
      </x:c>
      <x:c r="D3301" s="66" t="n">
        <x:v>2025</x:v>
      </x:c>
      <x:c r="E3301" s="67" t="n">
        <x:v>1905</x:v>
      </x:c>
      <x:c r="F3301" s="68" t="n">
        <x:v>45.9</x:v>
      </x:c>
      <x:c r="G3301" s="69" t="n">
        <x:f>IF(COUNT(E3301:F3301)=2,E3301*F3301,"")</x:f>
        <x:v>87439.5</x:v>
      </x:c>
    </x:row>
    <x:row r="3302">
      <x:c r="A3302" s="66" t="n">
        <x:v>21</x:v>
      </x:c>
      <x:c r="B3302" s="44" t="str">
        <x:v>Canola/Rapeseed</x:v>
      </x:c>
      <x:c r="C3302" s="44" t="str">
        <x:v>P1540L</x:v>
      </x:c>
      <x:c r="D3302" s="66" t="n">
        <x:v>2021</x:v>
      </x:c>
      <x:c r="E3302" s="67"/>
      <x:c r="F3302" s="68"/>
      <x:c r="G3302" s="69" t="str">
        <x:f>IF(COUNT(E3302:F3302)=2,E3302*F3302,"")</x:f>
      </x:c>
    </x:row>
    <x:row r="3303">
      <x:c r="A3303" s="66" t="n">
        <x:v>21</x:v>
      </x:c>
      <x:c r="B3303" s="44" t="str">
        <x:v>Canola/Rapeseed</x:v>
      </x:c>
      <x:c r="C3303" s="44" t="str">
        <x:v>P1540L</x:v>
      </x:c>
      <x:c r="D3303" s="66" t="n">
        <x:v>2022</x:v>
      </x:c>
      <x:c r="E3303" s="67"/>
      <x:c r="F3303" s="68"/>
      <x:c r="G3303" s="69" t="str">
        <x:f>IF(COUNT(E3303:F3303)=2,E3303*F3303,"")</x:f>
      </x:c>
    </x:row>
    <x:row r="3304">
      <x:c r="A3304" s="66" t="n">
        <x:v>21</x:v>
      </x:c>
      <x:c r="B3304" s="44" t="str">
        <x:v>Canola/Rapeseed</x:v>
      </x:c>
      <x:c r="C3304" s="44" t="str">
        <x:v>P1540L</x:v>
      </x:c>
      <x:c r="D3304" s="66" t="n">
        <x:v>2023</x:v>
      </x:c>
      <x:c r="E3304" s="67"/>
      <x:c r="F3304" s="68"/>
      <x:c r="G3304" s="69" t="str">
        <x:f>IF(COUNT(E3304:F3304)=2,E3304*F3304,"")</x:f>
      </x:c>
    </x:row>
    <x:row r="3305">
      <x:c r="A3305" s="66" t="n">
        <x:v>21</x:v>
      </x:c>
      <x:c r="B3305" s="44" t="str">
        <x:v>Canola/Rapeseed</x:v>
      </x:c>
      <x:c r="C3305" s="44" t="str">
        <x:v>P1540L</x:v>
      </x:c>
      <x:c r="D3305" s="66" t="n">
        <x:v>2024</x:v>
      </x:c>
      <x:c r="E3305" s="67"/>
      <x:c r="F3305" s="68"/>
      <x:c r="G3305" s="69" t="str">
        <x:f>IF(COUNT(E3305:F3305)=2,E3305*F3305,"")</x:f>
      </x:c>
    </x:row>
    <x:row r="3306">
      <x:c r="A3306" s="66" t="n">
        <x:v>21</x:v>
      </x:c>
      <x:c r="B3306" s="44" t="str">
        <x:v>Canola/Rapeseed</x:v>
      </x:c>
      <x:c r="C3306" s="44" t="str">
        <x:v>P1540L</x:v>
      </x:c>
      <x:c r="D3306" s="66" t="n">
        <x:v>2025</x:v>
      </x:c>
      <x:c r="E3306" s="67" t="n">
        <x:v>2387</x:v>
      </x:c>
      <x:c r="F3306" s="68" t="n">
        <x:v>47.9</x:v>
      </x:c>
      <x:c r="G3306" s="69" t="n">
        <x:f>IF(COUNT(E3306:F3306)=2,E3306*F3306,"")</x:f>
        <x:v>114337.3</x:v>
      </x:c>
    </x:row>
    <x:row r="3307">
      <x:c r="A3307" s="66" t="n">
        <x:v>21</x:v>
      </x:c>
      <x:c r="B3307" s="44" t="str">
        <x:v>Canola/Rapeseed</x:v>
      </x:c>
      <x:c r="C3307" s="44" t="str">
        <x:v>P505MSL</x:v>
      </x:c>
      <x:c r="D3307" s="66" t="n">
        <x:v>2021</x:v>
      </x:c>
      <x:c r="E3307" s="67" t="n">
        <x:v>9983</x:v>
      </x:c>
      <x:c r="F3307" s="68" t="n">
        <x:v>28.3</x:v>
      </x:c>
      <x:c r="G3307" s="69" t="n">
        <x:f>IF(COUNT(E3307:F3307)=2,E3307*F3307,"")</x:f>
        <x:v>282518.9</x:v>
      </x:c>
    </x:row>
    <x:row r="3308">
      <x:c r="A3308" s="66" t="n">
        <x:v>21</x:v>
      </x:c>
      <x:c r="B3308" s="44" t="str">
        <x:v>Canola/Rapeseed</x:v>
      </x:c>
      <x:c r="C3308" s="44" t="str">
        <x:v>P505MSL</x:v>
      </x:c>
      <x:c r="D3308" s="66" t="n">
        <x:v>2022</x:v>
      </x:c>
      <x:c r="E3308" s="67" t="n">
        <x:v>6021</x:v>
      </x:c>
      <x:c r="F3308" s="68" t="n">
        <x:v>45.8</x:v>
      </x:c>
      <x:c r="G3308" s="69" t="n">
        <x:f>IF(COUNT(E3308:F3308)=2,E3308*F3308,"")</x:f>
        <x:v>275761.8</x:v>
      </x:c>
    </x:row>
    <x:row r="3309">
      <x:c r="A3309" s="66" t="n">
        <x:v>21</x:v>
      </x:c>
      <x:c r="B3309" s="44" t="str">
        <x:v>Canola/Rapeseed</x:v>
      </x:c>
      <x:c r="C3309" s="44" t="str">
        <x:v>P505MSL</x:v>
      </x:c>
      <x:c r="D3309" s="66" t="n">
        <x:v>2023</x:v>
      </x:c>
      <x:c r="E3309" s="67" t="n">
        <x:v>13465</x:v>
      </x:c>
      <x:c r="F3309" s="68" t="n">
        <x:v>52.6</x:v>
      </x:c>
      <x:c r="G3309" s="69" t="n">
        <x:f>IF(COUNT(E3309:F3309)=2,E3309*F3309,"")</x:f>
        <x:v>708259</x:v>
      </x:c>
    </x:row>
    <x:row r="3310">
      <x:c r="A3310" s="66" t="n">
        <x:v>21</x:v>
      </x:c>
      <x:c r="B3310" s="44" t="str">
        <x:v>Canola/Rapeseed</x:v>
      </x:c>
      <x:c r="C3310" s="44" t="str">
        <x:v>P505MSL</x:v>
      </x:c>
      <x:c r="D3310" s="66" t="n">
        <x:v>2024</x:v>
      </x:c>
      <x:c r="E3310" s="67" t="n">
        <x:v>21544</x:v>
      </x:c>
      <x:c r="F3310" s="68" t="n">
        <x:v>35.1</x:v>
      </x:c>
      <x:c r="G3310" s="69" t="n">
        <x:f>IF(COUNT(E3310:F3310)=2,E3310*F3310,"")</x:f>
        <x:v>756194.4</x:v>
      </x:c>
    </x:row>
    <x:row r="3311">
      <x:c r="A3311" s="66" t="n">
        <x:v>21</x:v>
      </x:c>
      <x:c r="B3311" s="44" t="str">
        <x:v>Canola/Rapeseed</x:v>
      </x:c>
      <x:c r="C3311" s="44" t="str">
        <x:v>P505MSL</x:v>
      </x:c>
      <x:c r="D3311" s="66" t="n">
        <x:v>2025</x:v>
      </x:c>
      <x:c r="E3311" s="67" t="n">
        <x:v>16010</x:v>
      </x:c>
      <x:c r="F3311" s="68" t="n">
        <x:v>44.7</x:v>
      </x:c>
      <x:c r="G3311" s="69" t="n">
        <x:f>IF(COUNT(E3311:F3311)=2,E3311*F3311,"")</x:f>
        <x:v>715647</x:v>
      </x:c>
    </x:row>
    <x:row r="3312">
      <x:c r="A3312" s="66" t="n">
        <x:v>21</x:v>
      </x:c>
      <x:c r="B3312" s="44" t="str">
        <x:v>Canola/Rapeseed</x:v>
      </x:c>
      <x:c r="C3312" s="44" t="str">
        <x:v>P508CL</x:v>
      </x:c>
      <x:c r="D3312" s="66" t="n">
        <x:v>2021</x:v>
      </x:c>
      <x:c r="E3312" s="67"/>
      <x:c r="F3312" s="68"/>
      <x:c r="G3312" s="69" t="str">
        <x:f>IF(COUNT(E3312:F3312)=2,E3312*F3312,"")</x:f>
      </x:c>
    </x:row>
    <x:row r="3313">
      <x:c r="A3313" s="66" t="n">
        <x:v>21</x:v>
      </x:c>
      <x:c r="B3313" s="44" t="str">
        <x:v>Canola/Rapeseed</x:v>
      </x:c>
      <x:c r="C3313" s="44" t="str">
        <x:v>P508CL</x:v>
      </x:c>
      <x:c r="D3313" s="66" t="n">
        <x:v>2022</x:v>
      </x:c>
      <x:c r="E3313" s="67"/>
      <x:c r="F3313" s="68"/>
      <x:c r="G3313" s="69" t="str">
        <x:f>IF(COUNT(E3313:F3313)=2,E3313*F3313,"")</x:f>
      </x:c>
    </x:row>
    <x:row r="3314">
      <x:c r="A3314" s="66" t="n">
        <x:v>21</x:v>
      </x:c>
      <x:c r="B3314" s="44" t="str">
        <x:v>Canola/Rapeseed</x:v>
      </x:c>
      <x:c r="C3314" s="44" t="str">
        <x:v>P508CL</x:v>
      </x:c>
      <x:c r="D3314" s="66" t="n">
        <x:v>2023</x:v>
      </x:c>
      <x:c r="E3314" s="67"/>
      <x:c r="F3314" s="68"/>
      <x:c r="G3314" s="69" t="str">
        <x:f>IF(COUNT(E3314:F3314)=2,E3314*F3314,"")</x:f>
      </x:c>
    </x:row>
    <x:row r="3315">
      <x:c r="A3315" s="66" t="n">
        <x:v>21</x:v>
      </x:c>
      <x:c r="B3315" s="44" t="str">
        <x:v>Canola/Rapeseed</x:v>
      </x:c>
      <x:c r="C3315" s="44" t="str">
        <x:v>P508CL</x:v>
      </x:c>
      <x:c r="D3315" s="66" t="n">
        <x:v>2024</x:v>
      </x:c>
      <x:c r="E3315" s="67"/>
      <x:c r="F3315" s="68"/>
      <x:c r="G3315" s="69" t="str">
        <x:f>IF(COUNT(E3315:F3315)=2,E3315*F3315,"")</x:f>
      </x:c>
    </x:row>
    <x:row r="3316">
      <x:c r="A3316" s="66" t="n">
        <x:v>21</x:v>
      </x:c>
      <x:c r="B3316" s="44" t="str">
        <x:v>Canola/Rapeseed</x:v>
      </x:c>
      <x:c r="C3316" s="44" t="str">
        <x:v>P508CL</x:v>
      </x:c>
      <x:c r="D3316" s="66" t="n">
        <x:v>2025</x:v>
      </x:c>
      <x:c r="E3316" s="67" t="n">
        <x:v>642</x:v>
      </x:c>
      <x:c r="F3316" s="68" t="n">
        <x:v>26.5</x:v>
      </x:c>
      <x:c r="G3316" s="69" t="n">
        <x:f>IF(COUNT(E3316:F3316)=2,E3316*F3316,"")</x:f>
        <x:v>17013</x:v>
      </x:c>
    </x:row>
    <x:row r="3317">
      <x:c r="A3317" s="66" t="n">
        <x:v>21</x:v>
      </x:c>
      <x:c r="B3317" s="44" t="str">
        <x:v>Canola/Rapeseed</x:v>
      </x:c>
      <x:c r="C3317" s="44" t="str">
        <x:v>P508MCL</x:v>
      </x:c>
      <x:c r="D3317" s="66" t="n">
        <x:v>2021</x:v>
      </x:c>
      <x:c r="E3317" s="67" t="n">
        <x:v>3585</x:v>
      </x:c>
      <x:c r="F3317" s="68" t="n">
        <x:v>25.4</x:v>
      </x:c>
      <x:c r="G3317" s="69" t="n">
        <x:f>IF(COUNT(E3317:F3317)=2,E3317*F3317,"")</x:f>
        <x:v>91059</x:v>
      </x:c>
    </x:row>
    <x:row r="3318">
      <x:c r="A3318" s="66" t="n">
        <x:v>21</x:v>
      </x:c>
      <x:c r="B3318" s="44" t="str">
        <x:v>Canola/Rapeseed</x:v>
      </x:c>
      <x:c r="C3318" s="44" t="str">
        <x:v>P508MCL</x:v>
      </x:c>
      <x:c r="D3318" s="66" t="n">
        <x:v>2022</x:v>
      </x:c>
      <x:c r="E3318" s="67" t="n">
        <x:v>6675</x:v>
      </x:c>
      <x:c r="F3318" s="68" t="n">
        <x:v>46.3</x:v>
      </x:c>
      <x:c r="G3318" s="69" t="n">
        <x:f>IF(COUNT(E3318:F3318)=2,E3318*F3318,"")</x:f>
        <x:v>309052.5</x:v>
      </x:c>
    </x:row>
    <x:row r="3319">
      <x:c r="A3319" s="66" t="n">
        <x:v>21</x:v>
      </x:c>
      <x:c r="B3319" s="44" t="str">
        <x:v>Canola/Rapeseed</x:v>
      </x:c>
      <x:c r="C3319" s="44" t="str">
        <x:v>P508MCL</x:v>
      </x:c>
      <x:c r="D3319" s="66" t="n">
        <x:v>2023</x:v>
      </x:c>
      <x:c r="E3319" s="67" t="n">
        <x:v>1900</x:v>
      </x:c>
      <x:c r="F3319" s="68" t="n">
        <x:v>49.7</x:v>
      </x:c>
      <x:c r="G3319" s="69" t="n">
        <x:f>IF(COUNT(E3319:F3319)=2,E3319*F3319,"")</x:f>
        <x:v>94430</x:v>
      </x:c>
    </x:row>
    <x:row r="3320">
      <x:c r="A3320" s="66" t="n">
        <x:v>21</x:v>
      </x:c>
      <x:c r="B3320" s="44" t="str">
        <x:v>Canola/Rapeseed</x:v>
      </x:c>
      <x:c r="C3320" s="44" t="str">
        <x:v>P508MCL</x:v>
      </x:c>
      <x:c r="D3320" s="66" t="n">
        <x:v>2024</x:v>
      </x:c>
      <x:c r="E3320" s="67" t="n">
        <x:v>1710</x:v>
      </x:c>
      <x:c r="F3320" s="68" t="n">
        <x:v>41.8</x:v>
      </x:c>
      <x:c r="G3320" s="69" t="n">
        <x:f>IF(COUNT(E3320:F3320)=2,E3320*F3320,"")</x:f>
        <x:v>71478</x:v>
      </x:c>
    </x:row>
    <x:row r="3321">
      <x:c r="A3321" s="66" t="n">
        <x:v>21</x:v>
      </x:c>
      <x:c r="B3321" s="44" t="str">
        <x:v>Canola/Rapeseed</x:v>
      </x:c>
      <x:c r="C3321" s="44" t="str">
        <x:v>P508MCL</x:v>
      </x:c>
      <x:c r="D3321" s="66" t="n">
        <x:v>2025</x:v>
      </x:c>
      <x:c r="E3321" s="67" t="n">
        <x:v>513</x:v>
      </x:c>
      <x:c r="F3321" s="68" t="n">
        <x:v>39.2</x:v>
      </x:c>
      <x:c r="G3321" s="69" t="n">
        <x:f>IF(COUNT(E3321:F3321)=2,E3321*F3321,"")</x:f>
        <x:v>20109.600000000002</x:v>
      </x:c>
    </x:row>
    <x:row r="3322">
      <x:c r="A3322" s="66" t="n">
        <x:v>21</x:v>
      </x:c>
      <x:c r="B3322" s="44" t="str">
        <x:v>Canola/Rapeseed</x:v>
      </x:c>
      <x:c r="C3322" s="44" t="str">
        <x:v>P510G</x:v>
      </x:c>
      <x:c r="D3322" s="66" t="n">
        <x:v>2021</x:v>
      </x:c>
      <x:c r="E3322" s="67"/>
      <x:c r="F3322" s="68"/>
      <x:c r="G3322" s="69" t="str">
        <x:f>IF(COUNT(E3322:F3322)=2,E3322*F3322,"")</x:f>
      </x:c>
    </x:row>
    <x:row r="3323">
      <x:c r="A3323" s="66" t="n">
        <x:v>21</x:v>
      </x:c>
      <x:c r="B3323" s="44" t="str">
        <x:v>Canola/Rapeseed</x:v>
      </x:c>
      <x:c r="C3323" s="44" t="str">
        <x:v>P510G</x:v>
      </x:c>
      <x:c r="D3323" s="66" t="n">
        <x:v>2022</x:v>
      </x:c>
      <x:c r="E3323" s="67"/>
      <x:c r="F3323" s="68"/>
      <x:c r="G3323" s="69" t="str">
        <x:f>IF(COUNT(E3323:F3323)=2,E3323*F3323,"")</x:f>
      </x:c>
    </x:row>
    <x:row r="3324">
      <x:c r="A3324" s="66" t="n">
        <x:v>21</x:v>
      </x:c>
      <x:c r="B3324" s="44" t="str">
        <x:v>Canola/Rapeseed</x:v>
      </x:c>
      <x:c r="C3324" s="44" t="str">
        <x:v>P510G</x:v>
      </x:c>
      <x:c r="D3324" s="66" t="n">
        <x:v>2023</x:v>
      </x:c>
      <x:c r="E3324" s="67" t="n">
        <x:v>638</x:v>
      </x:c>
      <x:c r="F3324" s="68" t="n">
        <x:v>49.2</x:v>
      </x:c>
      <x:c r="G3324" s="69" t="n">
        <x:f>IF(COUNT(E3324:F3324)=2,E3324*F3324,"")</x:f>
        <x:v>31389.600000000002</x:v>
      </x:c>
    </x:row>
    <x:row r="3325">
      <x:c r="A3325" s="66" t="n">
        <x:v>21</x:v>
      </x:c>
      <x:c r="B3325" s="44" t="str">
        <x:v>Canola/Rapeseed</x:v>
      </x:c>
      <x:c r="C3325" s="44" t="str">
        <x:v>P510G</x:v>
      </x:c>
      <x:c r="D3325" s="66" t="n">
        <x:v>2024</x:v>
      </x:c>
      <x:c r="E3325" s="67" t="n">
        <x:v>5288</x:v>
      </x:c>
      <x:c r="F3325" s="68" t="n">
        <x:v>40.5</x:v>
      </x:c>
      <x:c r="G3325" s="69" t="n">
        <x:f>IF(COUNT(E3325:F3325)=2,E3325*F3325,"")</x:f>
        <x:v>214164</x:v>
      </x:c>
    </x:row>
    <x:row r="3326">
      <x:c r="A3326" s="66" t="n">
        <x:v>21</x:v>
      </x:c>
      <x:c r="B3326" s="44" t="str">
        <x:v>Canola/Rapeseed</x:v>
      </x:c>
      <x:c r="C3326" s="44" t="str">
        <x:v>P510G</x:v>
      </x:c>
      <x:c r="D3326" s="66" t="n">
        <x:v>2025</x:v>
      </x:c>
      <x:c r="E3326" s="67" t="n">
        <x:v>6545</x:v>
      </x:c>
      <x:c r="F3326" s="68" t="n">
        <x:v>44.8</x:v>
      </x:c>
      <x:c r="G3326" s="69" t="n">
        <x:f>IF(COUNT(E3326:F3326)=2,E3326*F3326,"")</x:f>
        <x:v>293216</x:v>
      </x:c>
    </x:row>
    <x:row r="3327">
      <x:c r="A3327" s="66" t="n">
        <x:v>21</x:v>
      </x:c>
      <x:c r="B3327" s="44" t="str">
        <x:v>Canola/Rapeseed</x:v>
      </x:c>
      <x:c r="C3327" s="44" t="str">
        <x:v>P511G</x:v>
      </x:c>
      <x:c r="D3327" s="66" t="n">
        <x:v>2021</x:v>
      </x:c>
      <x:c r="E3327" s="67"/>
      <x:c r="F3327" s="68"/>
      <x:c r="G3327" s="69" t="str">
        <x:f>IF(COUNT(E3327:F3327)=2,E3327*F3327,"")</x:f>
      </x:c>
    </x:row>
    <x:row r="3328">
      <x:c r="A3328" s="66" t="n">
        <x:v>21</x:v>
      </x:c>
      <x:c r="B3328" s="44" t="str">
        <x:v>Canola/Rapeseed</x:v>
      </x:c>
      <x:c r="C3328" s="44" t="str">
        <x:v>P511G</x:v>
      </x:c>
      <x:c r="D3328" s="66" t="n">
        <x:v>2022</x:v>
      </x:c>
      <x:c r="E3328" s="67"/>
      <x:c r="F3328" s="68"/>
      <x:c r="G3328" s="69" t="str">
        <x:f>IF(COUNT(E3328:F3328)=2,E3328*F3328,"")</x:f>
      </x:c>
    </x:row>
    <x:row r="3329">
      <x:c r="A3329" s="66" t="n">
        <x:v>21</x:v>
      </x:c>
      <x:c r="B3329" s="44" t="str">
        <x:v>Canola/Rapeseed</x:v>
      </x:c>
      <x:c r="C3329" s="44" t="str">
        <x:v>P511G</x:v>
      </x:c>
      <x:c r="D3329" s="66" t="n">
        <x:v>2023</x:v>
      </x:c>
      <x:c r="E3329" s="67" t="n">
        <x:v>715</x:v>
      </x:c>
      <x:c r="F3329" s="68" t="n">
        <x:v>46.2</x:v>
      </x:c>
      <x:c r="G3329" s="69" t="n">
        <x:f>IF(COUNT(E3329:F3329)=2,E3329*F3329,"")</x:f>
        <x:v>33033</x:v>
      </x:c>
    </x:row>
    <x:row r="3330">
      <x:c r="A3330" s="66" t="n">
        <x:v>21</x:v>
      </x:c>
      <x:c r="B3330" s="44" t="str">
        <x:v>Canola/Rapeseed</x:v>
      </x:c>
      <x:c r="C3330" s="44" t="str">
        <x:v>P511G</x:v>
      </x:c>
      <x:c r="D3330" s="66" t="n">
        <x:v>2024</x:v>
      </x:c>
      <x:c r="E3330" s="67" t="n">
        <x:v>2134</x:v>
      </x:c>
      <x:c r="F3330" s="68" t="n">
        <x:v>29</x:v>
      </x:c>
      <x:c r="G3330" s="69" t="n">
        <x:f>IF(COUNT(E3330:F3330)=2,E3330*F3330,"")</x:f>
        <x:v>61886</x:v>
      </x:c>
    </x:row>
    <x:row r="3331">
      <x:c r="A3331" s="66" t="n">
        <x:v>21</x:v>
      </x:c>
      <x:c r="B3331" s="44" t="str">
        <x:v>Canola/Rapeseed</x:v>
      </x:c>
      <x:c r="C3331" s="44" t="str">
        <x:v>P511G</x:v>
      </x:c>
      <x:c r="D3331" s="66" t="n">
        <x:v>2025</x:v>
      </x:c>
      <x:c r="E3331" s="67" t="n">
        <x:v>940</x:v>
      </x:c>
      <x:c r="F3331" s="68" t="n">
        <x:v>47.8</x:v>
      </x:c>
      <x:c r="G3331" s="69" t="n">
        <x:f>IF(COUNT(E3331:F3331)=2,E3331*F3331,"")</x:f>
        <x:v>44932</x:v>
      </x:c>
    </x:row>
    <x:row r="3332">
      <x:c r="A3332" s="66" t="n">
        <x:v>21</x:v>
      </x:c>
      <x:c r="B3332" s="44" t="str">
        <x:v>Canola/Rapeseed</x:v>
      </x:c>
      <x:c r="C3332" s="44" t="str">
        <x:v>P514CL</x:v>
      </x:c>
      <x:c r="D3332" s="66" t="n">
        <x:v>2021</x:v>
      </x:c>
      <x:c r="E3332" s="67"/>
      <x:c r="F3332" s="68"/>
      <x:c r="G3332" s="69" t="str">
        <x:f>IF(COUNT(E3332:F3332)=2,E3332*F3332,"")</x:f>
      </x:c>
    </x:row>
    <x:row r="3333">
      <x:c r="A3333" s="66" t="n">
        <x:v>21</x:v>
      </x:c>
      <x:c r="B3333" s="44" t="str">
        <x:v>Canola/Rapeseed</x:v>
      </x:c>
      <x:c r="C3333" s="44" t="str">
        <x:v>P514CL</x:v>
      </x:c>
      <x:c r="D3333" s="66" t="n">
        <x:v>2022</x:v>
      </x:c>
      <x:c r="E3333" s="67"/>
      <x:c r="F3333" s="68"/>
      <x:c r="G3333" s="69" t="str">
        <x:f>IF(COUNT(E3333:F3333)=2,E3333*F3333,"")</x:f>
      </x:c>
    </x:row>
    <x:row r="3334">
      <x:c r="A3334" s="66" t="n">
        <x:v>21</x:v>
      </x:c>
      <x:c r="B3334" s="44" t="str">
        <x:v>Canola/Rapeseed</x:v>
      </x:c>
      <x:c r="C3334" s="44" t="str">
        <x:v>P514CL</x:v>
      </x:c>
      <x:c r="D3334" s="66" t="n">
        <x:v>2023</x:v>
      </x:c>
      <x:c r="E3334" s="67" t="n">
        <x:v>5320</x:v>
      </x:c>
      <x:c r="F3334" s="68" t="n">
        <x:v>44.8</x:v>
      </x:c>
      <x:c r="G3334" s="69" t="n">
        <x:f>IF(COUNT(E3334:F3334)=2,E3334*F3334,"")</x:f>
        <x:v>238335.99999999997</x:v>
      </x:c>
    </x:row>
    <x:row r="3335">
      <x:c r="A3335" s="66" t="n">
        <x:v>21</x:v>
      </x:c>
      <x:c r="B3335" s="44" t="str">
        <x:v>Canola/Rapeseed</x:v>
      </x:c>
      <x:c r="C3335" s="44" t="str">
        <x:v>P514CL</x:v>
      </x:c>
      <x:c r="D3335" s="66" t="n">
        <x:v>2024</x:v>
      </x:c>
      <x:c r="E3335" s="67" t="n">
        <x:v>1167</x:v>
      </x:c>
      <x:c r="F3335" s="68" t="n">
        <x:v>26.5</x:v>
      </x:c>
      <x:c r="G3335" s="69" t="n">
        <x:f>IF(COUNT(E3335:F3335)=2,E3335*F3335,"")</x:f>
        <x:v>30925.5</x:v>
      </x:c>
    </x:row>
    <x:row r="3336">
      <x:c r="A3336" s="66" t="n">
        <x:v>21</x:v>
      </x:c>
      <x:c r="B3336" s="44" t="str">
        <x:v>Canola/Rapeseed</x:v>
      </x:c>
      <x:c r="C3336" s="44" t="str">
        <x:v>P514CL</x:v>
      </x:c>
      <x:c r="D3336" s="66" t="n">
        <x:v>2025</x:v>
      </x:c>
      <x:c r="E3336" s="67" t="n">
        <x:v>2206</x:v>
      </x:c>
      <x:c r="F3336" s="68" t="n">
        <x:v>43.8</x:v>
      </x:c>
      <x:c r="G3336" s="69" t="n">
        <x:f>IF(COUNT(E3336:F3336)=2,E3336*F3336,"")</x:f>
        <x:v>96622.79999999999</x:v>
      </x:c>
    </x:row>
    <x:row r="3337">
      <x:c r="A3337" s="66" t="n">
        <x:v>21</x:v>
      </x:c>
      <x:c r="B3337" s="44" t="str">
        <x:v>Canola/Rapeseed</x:v>
      </x:c>
      <x:c r="C3337" s="44" t="str">
        <x:v>P515G</x:v>
      </x:c>
      <x:c r="D3337" s="66" t="n">
        <x:v>2021</x:v>
      </x:c>
      <x:c r="E3337" s="67"/>
      <x:c r="F3337" s="68"/>
      <x:c r="G3337" s="69" t="str">
        <x:f>IF(COUNT(E3337:F3337)=2,E3337*F3337,"")</x:f>
      </x:c>
    </x:row>
    <x:row r="3338">
      <x:c r="A3338" s="66" t="n">
        <x:v>21</x:v>
      </x:c>
      <x:c r="B3338" s="44" t="str">
        <x:v>Canola/Rapeseed</x:v>
      </x:c>
      <x:c r="C3338" s="44" t="str">
        <x:v>P515G</x:v>
      </x:c>
      <x:c r="D3338" s="66" t="n">
        <x:v>2022</x:v>
      </x:c>
      <x:c r="E3338" s="67"/>
      <x:c r="F3338" s="68"/>
      <x:c r="G3338" s="69" t="str">
        <x:f>IF(COUNT(E3338:F3338)=2,E3338*F3338,"")</x:f>
      </x:c>
    </x:row>
    <x:row r="3339">
      <x:c r="A3339" s="66" t="n">
        <x:v>21</x:v>
      </x:c>
      <x:c r="B3339" s="44" t="str">
        <x:v>Canola/Rapeseed</x:v>
      </x:c>
      <x:c r="C3339" s="44" t="str">
        <x:v>P515G</x:v>
      </x:c>
      <x:c r="D3339" s="66" t="n">
        <x:v>2023</x:v>
      </x:c>
      <x:c r="E3339" s="67" t="n">
        <x:v>2201</x:v>
      </x:c>
      <x:c r="F3339" s="68" t="n">
        <x:v>54.4</x:v>
      </x:c>
      <x:c r="G3339" s="69" t="n">
        <x:f>IF(COUNT(E3339:F3339)=2,E3339*F3339,"")</x:f>
        <x:v>119734.4</x:v>
      </x:c>
    </x:row>
    <x:row r="3340">
      <x:c r="A3340" s="66" t="n">
        <x:v>21</x:v>
      </x:c>
      <x:c r="B3340" s="44" t="str">
        <x:v>Canola/Rapeseed</x:v>
      </x:c>
      <x:c r="C3340" s="44" t="str">
        <x:v>P515G</x:v>
      </x:c>
      <x:c r="D3340" s="66" t="n">
        <x:v>2024</x:v>
      </x:c>
      <x:c r="E3340" s="67" t="n">
        <x:v>20223</x:v>
      </x:c>
      <x:c r="F3340" s="68" t="n">
        <x:v>35.9</x:v>
      </x:c>
      <x:c r="G3340" s="69" t="n">
        <x:f>IF(COUNT(E3340:F3340)=2,E3340*F3340,"")</x:f>
        <x:v>726005.7</x:v>
      </x:c>
    </x:row>
    <x:row r="3341">
      <x:c r="A3341" s="66" t="n">
        <x:v>21</x:v>
      </x:c>
      <x:c r="B3341" s="44" t="str">
        <x:v>Canola/Rapeseed</x:v>
      </x:c>
      <x:c r="C3341" s="44" t="str">
        <x:v>P515G</x:v>
      </x:c>
      <x:c r="D3341" s="66" t="n">
        <x:v>2025</x:v>
      </x:c>
      <x:c r="E3341" s="67" t="n">
        <x:v>18142</x:v>
      </x:c>
      <x:c r="F3341" s="68" t="n">
        <x:v>41.5</x:v>
      </x:c>
      <x:c r="G3341" s="69" t="n">
        <x:f>IF(COUNT(E3341:F3341)=2,E3341*F3341,"")</x:f>
        <x:v>752893</x:v>
      </x:c>
    </x:row>
    <x:row r="3342">
      <x:c r="A3342" s="66" t="n">
        <x:v>21</x:v>
      </x:c>
      <x:c r="B3342" s="44" t="str">
        <x:v>Canola/Rapeseed</x:v>
      </x:c>
      <x:c r="C3342" s="44" t="str">
        <x:v>P516L</x:v>
      </x:c>
      <x:c r="D3342" s="66" t="n">
        <x:v>2021</x:v>
      </x:c>
      <x:c r="E3342" s="67"/>
      <x:c r="F3342" s="68"/>
      <x:c r="G3342" s="69" t="str">
        <x:f>IF(COUNT(E3342:F3342)=2,E3342*F3342,"")</x:f>
      </x:c>
    </x:row>
    <x:row r="3343">
      <x:c r="A3343" s="66" t="n">
        <x:v>21</x:v>
      </x:c>
      <x:c r="B3343" s="44" t="str">
        <x:v>Canola/Rapeseed</x:v>
      </x:c>
      <x:c r="C3343" s="44" t="str">
        <x:v>P516L</x:v>
      </x:c>
      <x:c r="D3343" s="66" t="n">
        <x:v>2022</x:v>
      </x:c>
      <x:c r="E3343" s="67"/>
      <x:c r="F3343" s="68"/>
      <x:c r="G3343" s="69" t="str">
        <x:f>IF(COUNT(E3343:F3343)=2,E3343*F3343,"")</x:f>
      </x:c>
    </x:row>
    <x:row r="3344">
      <x:c r="A3344" s="66" t="n">
        <x:v>21</x:v>
      </x:c>
      <x:c r="B3344" s="44" t="str">
        <x:v>Canola/Rapeseed</x:v>
      </x:c>
      <x:c r="C3344" s="44" t="str">
        <x:v>P516L</x:v>
      </x:c>
      <x:c r="D3344" s="66" t="n">
        <x:v>2023</x:v>
      </x:c>
      <x:c r="E3344" s="67" t="n">
        <x:v>2551</x:v>
      </x:c>
      <x:c r="F3344" s="68" t="n">
        <x:v>48.6</x:v>
      </x:c>
      <x:c r="G3344" s="69" t="n">
        <x:f>IF(COUNT(E3344:F3344)=2,E3344*F3344,"")</x:f>
        <x:v>123978.6</x:v>
      </x:c>
    </x:row>
    <x:row r="3345">
      <x:c r="A3345" s="66" t="n">
        <x:v>21</x:v>
      </x:c>
      <x:c r="B3345" s="44" t="str">
        <x:v>Canola/Rapeseed</x:v>
      </x:c>
      <x:c r="C3345" s="44" t="str">
        <x:v>P516L</x:v>
      </x:c>
      <x:c r="D3345" s="66" t="n">
        <x:v>2024</x:v>
      </x:c>
      <x:c r="E3345" s="67" t="n">
        <x:v>10608</x:v>
      </x:c>
      <x:c r="F3345" s="68" t="n">
        <x:v>40.7</x:v>
      </x:c>
      <x:c r="G3345" s="69" t="n">
        <x:f>IF(COUNT(E3345:F3345)=2,E3345*F3345,"")</x:f>
        <x:v>431745.60000000003</x:v>
      </x:c>
    </x:row>
    <x:row r="3346">
      <x:c r="A3346" s="66" t="n">
        <x:v>21</x:v>
      </x:c>
      <x:c r="B3346" s="44" t="str">
        <x:v>Canola/Rapeseed</x:v>
      </x:c>
      <x:c r="C3346" s="44" t="str">
        <x:v>P516L</x:v>
      </x:c>
      <x:c r="D3346" s="66" t="n">
        <x:v>2025</x:v>
      </x:c>
      <x:c r="E3346" s="67" t="n">
        <x:v>6558</x:v>
      </x:c>
      <x:c r="F3346" s="68" t="n">
        <x:v>45.8</x:v>
      </x:c>
      <x:c r="G3346" s="69" t="n">
        <x:f>IF(COUNT(E3346:F3346)=2,E3346*F3346,"")</x:f>
        <x:v>300356.39999999997</x:v>
      </x:c>
    </x:row>
    <x:row r="3347">
      <x:c r="A3347" s="66" t="n">
        <x:v>21</x:v>
      </x:c>
      <x:c r="B3347" s="44" t="str">
        <x:v>Canola/Rapeseed</x:v>
      </x:c>
      <x:c r="C3347" s="44" t="str">
        <x:v>P519L</x:v>
      </x:c>
      <x:c r="D3347" s="66" t="n">
        <x:v>2021</x:v>
      </x:c>
      <x:c r="E3347" s="67"/>
      <x:c r="F3347" s="68"/>
      <x:c r="G3347" s="69" t="str">
        <x:f>IF(COUNT(E3347:F3347)=2,E3347*F3347,"")</x:f>
      </x:c>
    </x:row>
    <x:row r="3348">
      <x:c r="A3348" s="66" t="n">
        <x:v>21</x:v>
      </x:c>
      <x:c r="B3348" s="44" t="str">
        <x:v>Canola/Rapeseed</x:v>
      </x:c>
      <x:c r="C3348" s="44" t="str">
        <x:v>P519L</x:v>
      </x:c>
      <x:c r="D3348" s="66" t="n">
        <x:v>2022</x:v>
      </x:c>
      <x:c r="E3348" s="67"/>
      <x:c r="F3348" s="68"/>
      <x:c r="G3348" s="69" t="str">
        <x:f>IF(COUNT(E3348:F3348)=2,E3348*F3348,"")</x:f>
      </x:c>
    </x:row>
    <x:row r="3349">
      <x:c r="A3349" s="66" t="n">
        <x:v>21</x:v>
      </x:c>
      <x:c r="B3349" s="44" t="str">
        <x:v>Canola/Rapeseed</x:v>
      </x:c>
      <x:c r="C3349" s="44" t="str">
        <x:v>P519L</x:v>
      </x:c>
      <x:c r="D3349" s="66" t="n">
        <x:v>2023</x:v>
      </x:c>
      <x:c r="E3349" s="67"/>
      <x:c r="F3349" s="68"/>
      <x:c r="G3349" s="69" t="str">
        <x:f>IF(COUNT(E3349:F3349)=2,E3349*F3349,"")</x:f>
      </x:c>
    </x:row>
    <x:row r="3350">
      <x:c r="A3350" s="66" t="n">
        <x:v>21</x:v>
      </x:c>
      <x:c r="B3350" s="44" t="str">
        <x:v>Canola/Rapeseed</x:v>
      </x:c>
      <x:c r="C3350" s="44" t="str">
        <x:v>P519L</x:v>
      </x:c>
      <x:c r="D3350" s="66" t="n">
        <x:v>2024</x:v>
      </x:c>
      <x:c r="E3350" s="67"/>
      <x:c r="F3350" s="68"/>
      <x:c r="G3350" s="69" t="str">
        <x:f>IF(COUNT(E3350:F3350)=2,E3350*F3350,"")</x:f>
      </x:c>
    </x:row>
    <x:row r="3351">
      <x:c r="A3351" s="66" t="n">
        <x:v>21</x:v>
      </x:c>
      <x:c r="B3351" s="44" t="str">
        <x:v>Canola/Rapeseed</x:v>
      </x:c>
      <x:c r="C3351" s="44" t="str">
        <x:v>P519L</x:v>
      </x:c>
      <x:c r="D3351" s="66" t="n">
        <x:v>2025</x:v>
      </x:c>
      <x:c r="E3351" s="67" t="n">
        <x:v>633</x:v>
      </x:c>
      <x:c r="F3351" s="68" t="n">
        <x:v>44</x:v>
      </x:c>
      <x:c r="G3351" s="69" t="n">
        <x:f>IF(COUNT(E3351:F3351)=2,E3351*F3351,"")</x:f>
        <x:v>27852</x:v>
      </x:c>
    </x:row>
    <x:row r="3352">
      <x:c r="A3352" s="66" t="n">
        <x:v>21</x:v>
      </x:c>
      <x:c r="B3352" s="44" t="str">
        <x:v>Canola/Rapeseed</x:v>
      </x:c>
      <x:c r="C3352" s="44" t="str">
        <x:v>P520L</x:v>
      </x:c>
      <x:c r="D3352" s="66" t="n">
        <x:v>2021</x:v>
      </x:c>
      <x:c r="E3352" s="67"/>
      <x:c r="F3352" s="68"/>
      <x:c r="G3352" s="69" t="str">
        <x:f>IF(COUNT(E3352:F3352)=2,E3352*F3352,"")</x:f>
      </x:c>
    </x:row>
    <x:row r="3353">
      <x:c r="A3353" s="66" t="n">
        <x:v>21</x:v>
      </x:c>
      <x:c r="B3353" s="44" t="str">
        <x:v>Canola/Rapeseed</x:v>
      </x:c>
      <x:c r="C3353" s="44" t="str">
        <x:v>P520L</x:v>
      </x:c>
      <x:c r="D3353" s="66" t="n">
        <x:v>2022</x:v>
      </x:c>
      <x:c r="E3353" s="67"/>
      <x:c r="F3353" s="68"/>
      <x:c r="G3353" s="69" t="str">
        <x:f>IF(COUNT(E3353:F3353)=2,E3353*F3353,"")</x:f>
      </x:c>
    </x:row>
    <x:row r="3354">
      <x:c r="A3354" s="66" t="n">
        <x:v>21</x:v>
      </x:c>
      <x:c r="B3354" s="44" t="str">
        <x:v>Canola/Rapeseed</x:v>
      </x:c>
      <x:c r="C3354" s="44" t="str">
        <x:v>P520L</x:v>
      </x:c>
      <x:c r="D3354" s="66" t="n">
        <x:v>2023</x:v>
      </x:c>
      <x:c r="E3354" s="67"/>
      <x:c r="F3354" s="68"/>
      <x:c r="G3354" s="69" t="str">
        <x:f>IF(COUNT(E3354:F3354)=2,E3354*F3354,"")</x:f>
      </x:c>
    </x:row>
    <x:row r="3355">
      <x:c r="A3355" s="66" t="n">
        <x:v>21</x:v>
      </x:c>
      <x:c r="B3355" s="44" t="str">
        <x:v>Canola/Rapeseed</x:v>
      </x:c>
      <x:c r="C3355" s="44" t="str">
        <x:v>P520L</x:v>
      </x:c>
      <x:c r="D3355" s="66" t="n">
        <x:v>2024</x:v>
      </x:c>
      <x:c r="E3355" s="67" t="n">
        <x:v>502</x:v>
      </x:c>
      <x:c r="F3355" s="68" t="n">
        <x:v>42</x:v>
      </x:c>
      <x:c r="G3355" s="69" t="n">
        <x:f>IF(COUNT(E3355:F3355)=2,E3355*F3355,"")</x:f>
        <x:v>21084</x:v>
      </x:c>
    </x:row>
    <x:row r="3356">
      <x:c r="A3356" s="66" t="n">
        <x:v>21</x:v>
      </x:c>
      <x:c r="B3356" s="44" t="str">
        <x:v>Canola/Rapeseed</x:v>
      </x:c>
      <x:c r="C3356" s="44" t="str">
        <x:v>P520L</x:v>
      </x:c>
      <x:c r="D3356" s="66" t="n">
        <x:v>2025</x:v>
      </x:c>
      <x:c r="E3356" s="67" t="n">
        <x:v>20664</x:v>
      </x:c>
      <x:c r="F3356" s="68" t="n">
        <x:v>42.2</x:v>
      </x:c>
      <x:c r="G3356" s="69" t="n">
        <x:f>IF(COUNT(E3356:F3356)=2,E3356*F3356,"")</x:f>
        <x:v>872020.8</x:v>
      </x:c>
    </x:row>
    <x:row r="3357">
      <x:c r="A3357" s="66" t="n">
        <x:v>21</x:v>
      </x:c>
      <x:c r="B3357" s="44" t="str">
        <x:v>Canola/Rapeseed</x:v>
      </x:c>
      <x:c r="C3357" s="44" t="str">
        <x:v>P617SL</x:v>
      </x:c>
      <x:c r="D3357" s="66" t="n">
        <x:v>2021</x:v>
      </x:c>
      <x:c r="E3357" s="67"/>
      <x:c r="F3357" s="68"/>
      <x:c r="G3357" s="69" t="str">
        <x:f>IF(COUNT(E3357:F3357)=2,E3357*F3357,"")</x:f>
      </x:c>
    </x:row>
    <x:row r="3358">
      <x:c r="A3358" s="66" t="n">
        <x:v>21</x:v>
      </x:c>
      <x:c r="B3358" s="44" t="str">
        <x:v>Canola/Rapeseed</x:v>
      </x:c>
      <x:c r="C3358" s="44" t="str">
        <x:v>P617SL</x:v>
      </x:c>
      <x:c r="D3358" s="66" t="n">
        <x:v>2022</x:v>
      </x:c>
      <x:c r="E3358" s="67"/>
      <x:c r="F3358" s="68"/>
      <x:c r="G3358" s="69" t="str">
        <x:f>IF(COUNT(E3358:F3358)=2,E3358*F3358,"")</x:f>
      </x:c>
    </x:row>
    <x:row r="3359">
      <x:c r="A3359" s="66" t="n">
        <x:v>21</x:v>
      </x:c>
      <x:c r="B3359" s="44" t="str">
        <x:v>Canola/Rapeseed</x:v>
      </x:c>
      <x:c r="C3359" s="44" t="str">
        <x:v>P617SL</x:v>
      </x:c>
      <x:c r="D3359" s="66" t="n">
        <x:v>2023</x:v>
      </x:c>
      <x:c r="E3359" s="67"/>
      <x:c r="F3359" s="68"/>
      <x:c r="G3359" s="69" t="str">
        <x:f>IF(COUNT(E3359:F3359)=2,E3359*F3359,"")</x:f>
      </x:c>
    </x:row>
    <x:row r="3360">
      <x:c r="A3360" s="66" t="n">
        <x:v>21</x:v>
      </x:c>
      <x:c r="B3360" s="44" t="str">
        <x:v>Canola/Rapeseed</x:v>
      </x:c>
      <x:c r="C3360" s="44" t="str">
        <x:v>P617SL</x:v>
      </x:c>
      <x:c r="D3360" s="66" t="n">
        <x:v>2024</x:v>
      </x:c>
      <x:c r="E3360" s="67"/>
      <x:c r="F3360" s="68"/>
      <x:c r="G3360" s="69" t="str">
        <x:f>IF(COUNT(E3360:F3360)=2,E3360*F3360,"")</x:f>
      </x:c>
    </x:row>
    <x:row r="3361">
      <x:c r="A3361" s="66" t="n">
        <x:v>21</x:v>
      </x:c>
      <x:c r="B3361" s="44" t="str">
        <x:v>Canola/Rapeseed</x:v>
      </x:c>
      <x:c r="C3361" s="44" t="str">
        <x:v>P617SL</x:v>
      </x:c>
      <x:c r="D3361" s="66" t="n">
        <x:v>2025</x:v>
      </x:c>
      <x:c r="E3361" s="67" t="n">
        <x:v>1341</x:v>
      </x:c>
      <x:c r="F3361" s="68" t="n">
        <x:v>46.2</x:v>
      </x:c>
      <x:c r="G3361" s="69" t="n">
        <x:f>IF(COUNT(E3361:F3361)=2,E3361*F3361,"")</x:f>
        <x:v>61954.200000000004</x:v>
      </x:c>
    </x:row>
    <x:row r="3362">
      <x:c r="A3362" s="66" t="n">
        <x:v>21</x:v>
      </x:c>
      <x:c r="B3362" s="44" t="str">
        <x:v>Canola/Rapeseed</x:v>
      </x:c>
      <x:c r="C3362" s="44" t="str">
        <x:v>45H37</x:v>
      </x:c>
      <x:c r="D3362" s="66" t="n">
        <x:v>2021</x:v>
      </x:c>
      <x:c r="E3362" s="67" t="n">
        <x:v>698</x:v>
      </x:c>
      <x:c r="F3362" s="68" t="n">
        <x:v>23.5</x:v>
      </x:c>
      <x:c r="G3362" s="69" t="n">
        <x:f>IF(COUNT(E3362:F3362)=2,E3362*F3362,"")</x:f>
        <x:v>16403</x:v>
      </x:c>
    </x:row>
    <x:row r="3363">
      <x:c r="A3363" s="66" t="n">
        <x:v>21</x:v>
      </x:c>
      <x:c r="B3363" s="44" t="str">
        <x:v>Canola/Rapeseed</x:v>
      </x:c>
      <x:c r="C3363" s="44" t="str">
        <x:v>45H37</x:v>
      </x:c>
      <x:c r="D3363" s="66" t="n">
        <x:v>2022</x:v>
      </x:c>
      <x:c r="E3363" s="67"/>
      <x:c r="F3363" s="68"/>
      <x:c r="G3363" s="69" t="str">
        <x:f>IF(COUNT(E3363:F3363)=2,E3363*F3363,"")</x:f>
      </x:c>
    </x:row>
    <x:row r="3364">
      <x:c r="A3364" s="66" t="n">
        <x:v>21</x:v>
      </x:c>
      <x:c r="B3364" s="44" t="str">
        <x:v>Canola/Rapeseed</x:v>
      </x:c>
      <x:c r="C3364" s="44" t="str">
        <x:v>45H37</x:v>
      </x:c>
      <x:c r="D3364" s="66" t="n">
        <x:v>2023</x:v>
      </x:c>
      <x:c r="E3364" s="67"/>
      <x:c r="F3364" s="68"/>
      <x:c r="G3364" s="69" t="str">
        <x:f>IF(COUNT(E3364:F3364)=2,E3364*F3364,"")</x:f>
      </x:c>
    </x:row>
    <x:row r="3365">
      <x:c r="A3365" s="66" t="n">
        <x:v>21</x:v>
      </x:c>
      <x:c r="B3365" s="44" t="str">
        <x:v>Canola/Rapeseed</x:v>
      </x:c>
      <x:c r="C3365" s="44" t="str">
        <x:v>45H37</x:v>
      </x:c>
      <x:c r="D3365" s="66" t="n">
        <x:v>2024</x:v>
      </x:c>
      <x:c r="E3365" s="67"/>
      <x:c r="F3365" s="68"/>
      <x:c r="G3365" s="69" t="str">
        <x:f>IF(COUNT(E3365:F3365)=2,E3365*F3365,"")</x:f>
      </x:c>
    </x:row>
    <x:row r="3366">
      <x:c r="A3366" s="66" t="n">
        <x:v>21</x:v>
      </x:c>
      <x:c r="B3366" s="44" t="str">
        <x:v>Canola/Rapeseed</x:v>
      </x:c>
      <x:c r="C3366" s="44" t="str">
        <x:v>45H37</x:v>
      </x:c>
      <x:c r="D3366" s="66" t="n">
        <x:v>2025</x:v>
      </x:c>
      <x:c r="E3366" s="67" t="n">
        <x:v>1657</x:v>
      </x:c>
      <x:c r="F3366" s="68" t="n">
        <x:v>49.4</x:v>
      </x:c>
      <x:c r="G3366" s="69" t="n">
        <x:f>IF(COUNT(E3366:F3366)=2,E3366*F3366,"")</x:f>
        <x:v>81855.8</x:v>
      </x:c>
    </x:row>
    <x:row r="3367">
      <x:c r="A3367" s="66" t="n">
        <x:v>21</x:v>
      </x:c>
      <x:c r="B3367" s="44" t="str">
        <x:v>Canola/Rapeseed</x:v>
      </x:c>
      <x:c r="C3367" s="44" t="str">
        <x:v>45M35</x:v>
      </x:c>
      <x:c r="D3367" s="66" t="n">
        <x:v>2021</x:v>
      </x:c>
      <x:c r="E3367" s="67" t="n">
        <x:v>3880</x:v>
      </x:c>
      <x:c r="F3367" s="68" t="n">
        <x:v>23.4</x:v>
      </x:c>
      <x:c r="G3367" s="69" t="n">
        <x:f>IF(COUNT(E3367:F3367)=2,E3367*F3367,"")</x:f>
        <x:v>90792</x:v>
      </x:c>
    </x:row>
    <x:row r="3368">
      <x:c r="A3368" s="66" t="n">
        <x:v>21</x:v>
      </x:c>
      <x:c r="B3368" s="44" t="str">
        <x:v>Canola/Rapeseed</x:v>
      </x:c>
      <x:c r="C3368" s="44" t="str">
        <x:v>45M35</x:v>
      </x:c>
      <x:c r="D3368" s="66" t="n">
        <x:v>2022</x:v>
      </x:c>
      <x:c r="E3368" s="67" t="n">
        <x:v>10231</x:v>
      </x:c>
      <x:c r="F3368" s="68" t="n">
        <x:v>48.9</x:v>
      </x:c>
      <x:c r="G3368" s="69" t="n">
        <x:f>IF(COUNT(E3368:F3368)=2,E3368*F3368,"")</x:f>
        <x:v>500295.89999999997</x:v>
      </x:c>
    </x:row>
    <x:row r="3369">
      <x:c r="A3369" s="66" t="n">
        <x:v>21</x:v>
      </x:c>
      <x:c r="B3369" s="44" t="str">
        <x:v>Canola/Rapeseed</x:v>
      </x:c>
      <x:c r="C3369" s="44" t="str">
        <x:v>45M35</x:v>
      </x:c>
      <x:c r="D3369" s="66" t="n">
        <x:v>2023</x:v>
      </x:c>
      <x:c r="E3369" s="67" t="n">
        <x:v>7058</x:v>
      </x:c>
      <x:c r="F3369" s="68" t="n">
        <x:v>50.2</x:v>
      </x:c>
      <x:c r="G3369" s="69" t="n">
        <x:f>IF(COUNT(E3369:F3369)=2,E3369*F3369,"")</x:f>
        <x:v>354311.60000000003</x:v>
      </x:c>
    </x:row>
    <x:row r="3370">
      <x:c r="A3370" s="66" t="n">
        <x:v>21</x:v>
      </x:c>
      <x:c r="B3370" s="44" t="str">
        <x:v>Canola/Rapeseed</x:v>
      </x:c>
      <x:c r="C3370" s="44" t="str">
        <x:v>45M35</x:v>
      </x:c>
      <x:c r="D3370" s="66" t="n">
        <x:v>2024</x:v>
      </x:c>
      <x:c r="E3370" s="67" t="n">
        <x:v>5534</x:v>
      </x:c>
      <x:c r="F3370" s="68" t="n">
        <x:v>39.3</x:v>
      </x:c>
      <x:c r="G3370" s="69" t="n">
        <x:f>IF(COUNT(E3370:F3370)=2,E3370*F3370,"")</x:f>
        <x:v>217486.19999999998</x:v>
      </x:c>
    </x:row>
    <x:row r="3371">
      <x:c r="A3371" s="66" t="n">
        <x:v>21</x:v>
      </x:c>
      <x:c r="B3371" s="44" t="str">
        <x:v>Canola/Rapeseed</x:v>
      </x:c>
      <x:c r="C3371" s="44" t="str">
        <x:v>45M35</x:v>
      </x:c>
      <x:c r="D3371" s="66" t="n">
        <x:v>2025</x:v>
      </x:c>
      <x:c r="E3371" s="67" t="n">
        <x:v>1264</x:v>
      </x:c>
      <x:c r="F3371" s="68" t="n">
        <x:v>43.8</x:v>
      </x:c>
      <x:c r="G3371" s="69" t="n">
        <x:f>IF(COUNT(E3371:F3371)=2,E3371*F3371,"")</x:f>
        <x:v>55363.2</x:v>
      </x:c>
    </x:row>
  </x:sheetData>
  <x:pageMargins left="0.7" right="0.7" top="0.75" bottom="0.75" header="0.3" footer="0.3"/>
  <x:tableParts count="1">
    <x:tablePart xmlns:r="http://schemas.openxmlformats.org/officeDocument/2006/relationships" r:id="R38ae46f1447f4c36"/>
  </x:tableParts>
</x:worksheet>
</file>