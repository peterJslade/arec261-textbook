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eced6fb3c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19" sheetId="1" r:id="Rdbf62a48f5d14c77"/>
    <x:sheet xmlns:r="http://schemas.openxmlformats.org/officeDocument/2006/relationships" name="Raw Data" sheetId="2" r:id="R724b073bcd8d4e7a"/>
    <x:sheet xmlns:r="http://schemas.openxmlformats.org/officeDocument/2006/relationships" name="Answer" sheetId="3" r:id="R2f9339ee1ffb4886"/>
    <x:sheet xmlns:r="http://schemas.openxmlformats.org/officeDocument/2006/relationships" name="Power Query Steps" sheetId="4" r:id="R4fdec58b45c4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10">
    <x:font>
      <x:sz val="11"/>
      <x:name val="Carlito"/>
    </x:font>
    <x:font>
      <x:sz val="11"/>
      <x:color rgb="FF24302A"/>
      <x:name val="Arial"/>
    </x:font>
    <x:font>
      <x:b/>
      <x:sz val="18"/>
      <x:color rgb="FFFFFFFF"/>
      <x:name val="Arial"/>
    </x:font>
    <x:font>
      <x:i/>
      <x:sz val="11"/>
      <x:color rgb="FF24302A"/>
      <x:name val="Arial"/>
    </x:font>
    <x:font>
      <x:b/>
      <x:sz val="11"/>
      <x:color rgb="FFFFFFFF"/>
      <x:name val="Arial"/>
    </x:font>
    <x:font>
      <x:b/>
      <x:sz val="11"/>
      <x:color rgb="FF24302A"/>
      <x:name val="Arial"/>
    </x:font>
    <x:font>
      <x:i/>
      <x:sz val="10"/>
      <x:color rgb="FF24302A"/>
      <x:name val="Arial"/>
    </x:font>
    <x:font>
      <x:b/>
      <x:sz val="12"/>
      <x:color rgb="FF24302A"/>
      <x:name val="Arial"/>
    </x:font>
    <x:font>
      <x:sz val="10"/>
      <x:color rgb="FF24302A"/>
      <x:name val="Arial"/>
    </x:font>
    <x:font>
      <x:sz val="9"/>
      <x:color rgb="FF24302A"/>
      <x:name val="Courier New"/>
    </x:font>
  </x:fonts>
  <x:fills count="9">
    <x:fill>
      <x:patternFill patternType="none"/>
    </x:fill>
    <x:fill>
      <x:patternFill patternType="gray125"/>
    </x:fill>
    <x:fill>
      <x:patternFill patternType="solid">
        <x:fgColor rgb="FF4B7F5B"/>
      </x:patternFill>
    </x:fill>
    <x:fill>
      <x:patternFill patternType="solid">
        <x:fgColor rgb="FFE2F0D9"/>
      </x:patternFill>
    </x:fill>
    <x:fill>
      <x:patternFill patternType="solid">
        <x:fgColor rgb="FF355E45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15">
    <x:border/>
    <x:border>
      <x:left style="thin">
        <x:color rgb="FF355E45"/>
      </x:left>
      <x:top style="thin">
        <x:color rgb="FF355E45"/>
      </x:top>
      <x:bottom style="thin">
        <x:color rgb="FF355E45"/>
      </x:bottom>
    </x:border>
    <x:border>
      <x:top style="thin">
        <x:color rgb="FF355E45"/>
      </x:top>
      <x:bottom style="thin">
        <x:color rgb="FF355E45"/>
      </x:bottom>
    </x:border>
    <x:border>
      <x:right style="thin">
        <x:color rgb="FF355E45"/>
      </x:right>
      <x:top style="thin">
        <x:color rgb="FF355E45"/>
      </x:top>
      <x:bottom style="thin">
        <x:color rgb="FF355E45"/>
      </x:bottom>
    </x:border>
    <x:border>
      <x:bottom style="thin">
        <x:color rgb="FFB7C9BD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top style="thin">
        <x:color rgb="FFB7C9BD"/>
      </x:top>
      <x:bottom style="thin">
        <x:color rgb="FFB7C9BD"/>
      </x:bottom>
    </x:border>
    <x:border>
      <x:left style="thin">
        <x:color rgb="FF7EA6C4"/>
      </x:left>
      <x:top style="thin">
        <x:color rgb="FF7EA6C4"/>
      </x:top>
    </x:border>
    <x:border>
      <x:top style="thin">
        <x:color rgb="FF7EA6C4"/>
      </x:top>
    </x:border>
    <x:border>
      <x:right style="thin">
        <x:color rgb="FF7EA6C4"/>
      </x:right>
      <x:top style="thin">
        <x:color rgb="FF7EA6C4"/>
      </x:top>
    </x:border>
    <x:border>
      <x:left style="thin">
        <x:color rgb="FF7EA6C4"/>
      </x:left>
      <x:bottom style="thin">
        <x:color rgb="FF7EA6C4"/>
      </x:bottom>
    </x:border>
    <x:border>
      <x:bottom style="thin">
        <x:color rgb="FF7EA6C4"/>
      </x:bottom>
    </x:border>
    <x:border>
      <x:right style="thin">
        <x:color rgb="FF7EA6C4"/>
      </x:right>
      <x:bottom style="thin">
        <x:color rgb="FF7EA6C4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" fillId="5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4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4" xfId="0" applyNumberFormat="1" applyFont="1" applyFill="1" applyBorder="1"/>
    <x:xf numFmtId="202" fontId="1" fillId="0" borderId="4" xfId="0" applyNumberFormat="1" applyFont="1" applyFill="1" applyBorder="1"/>
    <x:xf numFmtId="0" fontId="1" fillId="0" borderId="8" xfId="0" applyNumberFormat="1" applyFont="1" applyFill="1" applyBorder="1"/>
    <x:xf numFmtId="202" fontId="1" fillId="0" borderId="8" xfId="0" applyNumberFormat="1" applyFont="1" applyFill="1" applyBorder="1"/>
    <x:xf numFmtId="0" fontId="7" fillId="7" borderId="0" xfId="0" applyNumberFormat="1" applyFont="1" applyFill="1" applyBorder="1"/>
    <x:xf numFmtId="0" fontId="7" fillId="7" borderId="5" xfId="0" applyNumberFormat="1" applyFont="1" applyFill="1" applyBorder="1"/>
    <x:xf numFmtId="0" fontId="7" fillId="7" borderId="7" xfId="0" applyNumberFormat="1" applyFont="1" applyFill="1" applyBorder="1"/>
    <x:xf numFmtId="201" fontId="7" fillId="7" borderId="5" xfId="0" applyNumberFormat="1" applyFont="1" applyFill="1" applyBorder="1"/>
    <x:xf numFmtId="202" fontId="7" fillId="7" borderId="7" xfId="0" applyNumberFormat="1" applyFont="1" applyFill="1" applyBorder="1"/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12" xfId="0" applyNumberFormat="1" applyFont="1" applyFill="1" applyBorder="1"/>
    <x:xf numFmtId="0" fontId="5" fillId="8" borderId="13" xfId="0" applyNumberFormat="1" applyFont="1" applyFill="1" applyBorder="1"/>
    <x:xf numFmtId="0" fontId="5" fillId="8" borderId="14" xfId="0" applyNumberFormat="1" applyFont="1" applyFill="1" applyBorder="1"/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wrapText="1"/>
    </x:xf>
    <x:xf numFmtId="0" fontId="5" fillId="8" borderId="12" xfId="0" applyNumberFormat="1" applyFont="1" applyFill="1" applyBorder="1" applyAlignment="1">
      <x:alignment wrapText="1"/>
    </x:xf>
    <x:xf numFmtId="0" fontId="5" fillId="8" borderId="13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5" fillId="8" borderId="12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0" fontId="5" fillId="8" borderId="1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8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horizontal="center" vertical="top" wrapText="1"/>
    </x:xf>
    <x:xf numFmtId="0" fontId="8" fillId="0" borderId="8" xfId="0" applyNumberFormat="1" applyFont="1" applyFill="1" applyBorder="1" applyAlignment="1">
      <x:alignment horizontal="center" vertical="top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6ad5b8b9a4393" /><Relationship Type="http://schemas.openxmlformats.org/officeDocument/2006/relationships/theme" Target="/xl/theme/theme1.xml" Id="R4a3f28b750d041b9" /><Relationship Type="http://schemas.openxmlformats.org/officeDocument/2006/relationships/sharedStrings" Target="/xl/sharedStrings.xml" Id="Rd729f500e0574a5f" /><Relationship Type="http://schemas.openxmlformats.org/officeDocument/2006/relationships/worksheet" Target="/xl/worksheets/sheet1.xml" Id="Rdbf62a48f5d14c77" /><Relationship Type="http://schemas.openxmlformats.org/officeDocument/2006/relationships/worksheet" Target="/xl/worksheets/sheet2.xml" Id="R724b073bcd8d4e7a" /><Relationship Type="http://schemas.openxmlformats.org/officeDocument/2006/relationships/worksheet" Target="/xl/worksheets/sheet3.xml" Id="R2f9339ee1ffb4886" /><Relationship Type="http://schemas.openxmlformats.org/officeDocument/2006/relationships/worksheet" Target="/xl/worksheets/sheet4.xml" Id="R4fdec58b45c44445" /></Relationships>
</file>

<file path=xl/tables/table1.xml><?xml version="1.0" encoding="utf-8"?>
<x:table xmlns:x="http://schemas.openxmlformats.org/spreadsheetml/2006/main" id="1" name="RawData" displayName="RawData" ref="A4:F12" headerRowCount="1" totalsRowCount="0" totalsRowShown="0">
  <x:tableColumns count="6">
    <x:tableColumn id="1" name="field"/>
    <x:tableColumn id="2" name="yield_2021"/>
    <x:tableColumn id="3" name="yield_2022"/>
    <x:tableColumn id="4" name="yield_2023"/>
    <x:tableColumn id="5" name="yield_2024"/>
    <x:tableColumn id="6" name="yield_2025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xpectedLongData" displayName="ExpectedLongData" ref="A4:C44" headerRowCount="1" totalsRowCount="0" totalsRowShown="0">
  <x:tableColumns count="3">
    <x:tableColumn id="1" name="field"/>
    <x:tableColumn id="2" name="year"/>
    <x:tableColumn id="3" name="yield_bu_ac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e7bfa534c744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27dd8236d54e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4" t="str">
        <x:v>Question 19 — Excel and Power Query</x:v>
      </x:c>
      <x:c r="B1" s="4" t="str">
        <x:v>Question 19 — Excel and Power Query</x:v>
      </x:c>
      <x:c r="C1" s="4" t="str">
        <x:v>Question 19 — Excel and Power Query</x:v>
      </x:c>
      <x:c r="D1" s="4" t="str">
        <x:v>Question 19 — Excel and Power Query</x:v>
      </x:c>
      <x:c r="E1" s="4" t="str">
        <x:v>Question 19 — Excel and Power Query</x:v>
      </x:c>
      <x:c r="F1" s="4" t="str">
        <x:v>Question 19 — Excel and Power Query</x:v>
      </x:c>
      <x:c r="G1" s="1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42" customHeight="1">
      <x:c r="A3" s="8" t="str">
        <x:v>Use q19_canola_years_wide.csv. Complete the work in Excel using Power Query and keep the queries attached to the submitted workbook.</x:v>
      </x:c>
      <x:c r="B3" s="8"/>
      <x:c r="C3" s="8"/>
      <x:c r="D3" s="8"/>
      <x:c r="E3" s="8"/>
      <x:c r="F3" s="8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17" t="str">
        <x:v>Part</x:v>
      </x:c>
      <x:c r="B5" s="18" t="str">
        <x:v>Required work</x:v>
      </x:c>
      <x:c r="C5" s="18"/>
      <x:c r="D5" s="18"/>
      <x:c r="E5" s="18"/>
      <x:c r="F5" s="19"/>
      <x:c r="G5" s="1"/>
      <x:c r="H5" s="1"/>
      <x:c r="I5" s="1"/>
      <x:c r="J5" s="1"/>
      <x:c r="K5" s="1"/>
    </x:row>
    <x:row r="6" ht="52" customHeight="1">
      <x:c r="A6" s="24" t="str">
        <x:v>(a)</x:v>
      </x:c>
      <x:c r="B6" s="23" t="str">
        <x:v>Import the file with Power Query and reshape it from wide to long. The result must contain field, year, and yield_bu_ac. State what one row represents.</x:v>
      </x:c>
      <x:c r="C6" s="23"/>
      <x:c r="D6" s="23"/>
      <x:c r="E6" s="23"/>
      <x:c r="F6" s="23"/>
      <x:c r="G6" s="1"/>
      <x:c r="H6" s="1"/>
      <x:c r="I6" s="1"/>
      <x:c r="J6" s="1"/>
      <x:c r="K6" s="1"/>
    </x:row>
    <x:row r="7" ht="52" customHeight="1">
      <x:c r="A7" s="29" t="str">
        <x:v>(b)</x:v>
      </x:c>
      <x:c r="B7" s="28" t="str">
        <x:v>Change year from text such as yield_2021 to the whole number 2021. Give the query a meaningful name and load the long table to a worksheet.</x:v>
      </x:c>
      <x:c r="C7" s="28"/>
      <x:c r="D7" s="28"/>
      <x:c r="E7" s="28"/>
      <x:c r="F7" s="28"/>
      <x:c r="G7" s="1"/>
      <x:c r="H7" s="1"/>
      <x:c r="I7" s="1"/>
      <x:c r="J7" s="1"/>
      <x:c r="K7" s="1"/>
    </x:row>
    <x:row r="8" ht="52" customHeight="1">
      <x:c r="A8" s="24" t="str">
        <x:v>(c)</x:v>
      </x:c>
      <x:c r="B8" s="23" t="str">
        <x:v>Create a second query that starts from the long query. Compute mean yield by year, sort from highest to lowest, and report the best year.</x:v>
      </x:c>
      <x:c r="C8" s="23"/>
      <x:c r="D8" s="23"/>
      <x:c r="E8" s="23"/>
      <x:c r="F8" s="23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42" customHeight="1">
      <x:c r="A11" s="38" t="str">
        <x:v>Submission check: the workbook should contain the original data, the loaded long table, the yearly summary, and both queries with readable Applied Step names.</x:v>
      </x:c>
      <x:c r="B11" s="39"/>
      <x:c r="C11" s="39"/>
      <x:c r="D11" s="39"/>
      <x:c r="E11" s="39"/>
      <x:c r="F11" s="40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F1"/>
    <x:mergeCell ref="A3:F3"/>
    <x:mergeCell ref="B6:F6"/>
    <x:mergeCell ref="B7:F7"/>
    <x:mergeCell ref="B8:F8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4" t="str">
        <x:v>Question 19 — Raw Data</x:v>
      </x:c>
      <x:c r="B1" s="4" t="str">
        <x:v>Question 19 — Raw Data</x:v>
      </x:c>
      <x:c r="C1" s="4" t="str">
        <x:v>Question 19 — Raw Data</x:v>
      </x:c>
      <x:c r="D1" s="4" t="str">
        <x:v>Question 19 — Raw Data</x:v>
      </x:c>
      <x:c r="E1" s="4" t="str">
        <x:v>Question 19 — Raw Data</x:v>
      </x:c>
      <x:c r="F1" s="4" t="str">
        <x:v>Question 19 — Raw Data</x:v>
      </x:c>
      <x:c r="G1" s="1"/>
      <x:c r="H1" s="1"/>
      <x:c r="I1" s="1"/>
      <x:c r="J1" s="1"/>
      <x:c r="K1" s="1"/>
    </x:row>
    <x:row r="2">
      <x:c r="A2" s="42" t="str">
        <x:v>Original wide table. Keep this table unchanged. The Excel table is named RawData.</x:v>
      </x:c>
      <x:c r="B2" s="42"/>
      <x:c r="C2" s="42"/>
      <x:c r="D2" s="42"/>
      <x:c r="E2" s="42"/>
      <x:c r="F2" s="42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44" t="str">
        <x:v>field</x:v>
      </x:c>
      <x:c r="B4" s="44" t="str">
        <x:v>yield_2021</x:v>
      </x:c>
      <x:c r="C4" s="44" t="str">
        <x:v>yield_2022</x:v>
      </x:c>
      <x:c r="D4" s="44" t="str">
        <x:v>yield_2023</x:v>
      </x:c>
      <x:c r="E4" s="44" t="str">
        <x:v>yield_2024</x:v>
      </x:c>
      <x:c r="F4" s="44" t="str">
        <x:v>yield_2025</x:v>
      </x:c>
      <x:c r="G4" s="1"/>
      <x:c r="H4" s="1"/>
      <x:c r="I4" s="1"/>
      <x:c r="J4" s="1"/>
      <x:c r="K4" s="1"/>
    </x:row>
    <x:row r="5">
      <x:c r="A5" s="1" t="str">
        <x:v>Home</x:v>
      </x:c>
      <x:c r="B5" s="43" t="n">
        <x:v>38.1</x:v>
      </x:c>
      <x:c r="C5" s="43" t="n">
        <x:v>29.1</x:v>
      </x:c>
      <x:c r="D5" s="43" t="n">
        <x:v>48.7</x:v>
      </x:c>
      <x:c r="E5" s="43" t="n">
        <x:v>41.1</x:v>
      </x:c>
      <x:c r="F5" s="43" t="n">
        <x:v>43</x:v>
      </x:c>
      <x:c r="G5" s="1"/>
      <x:c r="H5" s="1"/>
      <x:c r="I5" s="1"/>
      <x:c r="J5" s="1"/>
      <x:c r="K5" s="1"/>
    </x:row>
    <x:row r="6">
      <x:c r="A6" s="1" t="str">
        <x:v>Kestrel</x:v>
      </x:c>
      <x:c r="B6" s="43" t="n">
        <x:v>44.5</x:v>
      </x:c>
      <x:c r="C6" s="43" t="n">
        <x:v>33</x:v>
      </x:c>
      <x:c r="D6" s="43" t="n">
        <x:v>51.9</x:v>
      </x:c>
      <x:c r="E6" s="43" t="n">
        <x:v>50.5</x:v>
      </x:c>
      <x:c r="F6" s="43" t="n">
        <x:v>44.4</x:v>
      </x:c>
      <x:c r="G6" s="1"/>
      <x:c r="H6" s="1"/>
      <x:c r="I6" s="1"/>
      <x:c r="J6" s="1"/>
      <x:c r="K6" s="1"/>
    </x:row>
    <x:row r="7">
      <x:c r="A7" s="1" t="str">
        <x:v>Meadowvale</x:v>
      </x:c>
      <x:c r="B7" s="43" t="n">
        <x:v>53.7</x:v>
      </x:c>
      <x:c r="C7" s="43" t="n">
        <x:v>49.8</x:v>
      </x:c>
      <x:c r="D7" s="43" t="n">
        <x:v>31.7</x:v>
      </x:c>
      <x:c r="E7" s="43" t="n">
        <x:v>40.7</x:v>
      </x:c>
      <x:c r="F7" s="43" t="n">
        <x:v>44.9</x:v>
      </x:c>
      <x:c r="G7" s="1"/>
      <x:c r="H7" s="1"/>
      <x:c r="I7" s="1"/>
      <x:c r="J7" s="1"/>
      <x:c r="K7" s="1"/>
    </x:row>
    <x:row r="8">
      <x:c r="A8" s="1" t="str">
        <x:v>Nightjar</x:v>
      </x:c>
      <x:c r="B8" s="43" t="n">
        <x:v>41.8</x:v>
      </x:c>
      <x:c r="C8" s="43" t="n">
        <x:v>29.2</x:v>
      </x:c>
      <x:c r="D8" s="43" t="n">
        <x:v>41.3</x:v>
      </x:c>
      <x:c r="E8" s="43" t="n">
        <x:v>38.5</x:v>
      </x:c>
      <x:c r="F8" s="43" t="n">
        <x:v>51.8</x:v>
      </x:c>
      <x:c r="G8" s="1"/>
      <x:c r="H8" s="1"/>
      <x:c r="I8" s="1"/>
      <x:c r="J8" s="1"/>
      <x:c r="K8" s="1"/>
    </x:row>
    <x:row r="9">
      <x:c r="A9" s="1" t="str">
        <x:v>Rented</x:v>
      </x:c>
      <x:c r="B9" s="43" t="n">
        <x:v>50.1</x:v>
      </x:c>
      <x:c r="C9" s="43" t="n">
        <x:v>36.2</x:v>
      </x:c>
      <x:c r="D9" s="43" t="n">
        <x:v>41.7</x:v>
      </x:c>
      <x:c r="E9" s="43" t="n">
        <x:v>29.5</x:v>
      </x:c>
      <x:c r="F9" s="43" t="n">
        <x:v>28.2</x:v>
      </x:c>
      <x:c r="G9" s="1"/>
      <x:c r="H9" s="1"/>
      <x:c r="I9" s="1"/>
      <x:c r="J9" s="1"/>
      <x:c r="K9" s="1"/>
    </x:row>
    <x:row r="10">
      <x:c r="A10" s="1" t="str">
        <x:v>Coulee</x:v>
      </x:c>
      <x:c r="B10" s="43" t="n">
        <x:v>31.2</x:v>
      </x:c>
      <x:c r="C10" s="43" t="n">
        <x:v>45.7</x:v>
      </x:c>
      <x:c r="D10" s="43" t="n">
        <x:v>42.9</x:v>
      </x:c>
      <x:c r="E10" s="43" t="n">
        <x:v>45.8</x:v>
      </x:c>
      <x:c r="F10" s="43" t="n">
        <x:v>28.7</x:v>
      </x:c>
      <x:c r="G10" s="1"/>
      <x:c r="H10" s="1"/>
      <x:c r="I10" s="1"/>
      <x:c r="J10" s="1"/>
      <x:c r="K10" s="1"/>
    </x:row>
    <x:row r="11">
      <x:c r="A11" s="1" t="str">
        <x:v>Ridge</x:v>
      </x:c>
      <x:c r="B11" s="43" t="n">
        <x:v>41.1</x:v>
      </x:c>
      <x:c r="C11" s="43" t="n">
        <x:v>34.4</x:v>
      </x:c>
      <x:c r="D11" s="43" t="n">
        <x:v>45.7</x:v>
      </x:c>
      <x:c r="E11" s="43" t="n">
        <x:v>41</x:v>
      </x:c>
      <x:c r="F11" s="43" t="n">
        <x:v>53.6</x:v>
      </x:c>
      <x:c r="G11" s="1"/>
      <x:c r="H11" s="1"/>
      <x:c r="I11" s="1"/>
      <x:c r="J11" s="1"/>
      <x:c r="K11" s="1"/>
    </x:row>
    <x:row r="12">
      <x:c r="A12" s="1" t="str">
        <x:v>Slough</x:v>
      </x:c>
      <x:c r="B12" s="43" t="n">
        <x:v>33.2</x:v>
      </x:c>
      <x:c r="C12" s="43" t="n">
        <x:v>42.4</x:v>
      </x:c>
      <x:c r="D12" s="43" t="n">
        <x:v>30</x:v>
      </x:c>
      <x:c r="E12" s="43" t="n">
        <x:v>48.6</x:v>
      </x:c>
      <x:c r="F12" s="43" t="n">
        <x:v>38.2</x:v>
      </x:c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1e7bfa534c744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6" hidden="0" customWidth="1"/>
    <x:col min="4" max="4" width="4" hidden="0" customWidth="1"/>
    <x:col min="5" max="5" width="19" hidden="0" customWidth="1"/>
    <x:col min="6" max="6" width="19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Question 19 — Expected Output</x:v>
      </x:c>
      <x:c r="B1" s="4" t="str">
        <x:v>Question 19 — Expected Output</x:v>
      </x:c>
      <x:c r="C1" s="4" t="str">
        <x:v>Question 19 — Expected Output</x:v>
      </x:c>
      <x:c r="D1" s="4" t="str">
        <x:v>Question 19 — Expected Output</x:v>
      </x:c>
      <x:c r="E1" s="4" t="str">
        <x:v>Question 19 — Expected Output</x:v>
      </x:c>
      <x:c r="F1" s="4" t="str">
        <x:v>Question 19 — Expected Output</x:v>
      </x:c>
      <x:c r="G1" s="4" t="str">
        <x:v>Question 19 — Expected Output</x:v>
      </x:c>
      <x:c r="H1" s="4" t="str">
        <x:v>Question 19 — Expected Output</x:v>
      </x:c>
      <x:c r="I1" s="1"/>
      <x:c r="J1" s="1"/>
      <x:c r="K1" s="1"/>
    </x:row>
    <x:row r="2">
      <x:c r="A2" s="42" t="str">
        <x:v>The long table should contain 40 rows: one row for each field–year combination. The yearly summary is derived from the long table.</x:v>
      </x:c>
      <x:c r="B2" s="42"/>
      <x:c r="C2" s="42"/>
      <x:c r="D2" s="42"/>
      <x:c r="E2" s="42"/>
      <x:c r="F2" s="42"/>
      <x:c r="G2" s="42"/>
      <x:c r="H2" s="42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44" t="str">
        <x:v>field</x:v>
      </x:c>
      <x:c r="B4" s="44" t="str">
        <x:v>year</x:v>
      </x:c>
      <x:c r="C4" s="44" t="str">
        <x:v>yield_bu_ac</x:v>
      </x:c>
      <x:c r="D4" s="1"/>
      <x:c r="E4" s="17" t="str">
        <x:v>year</x:v>
      </x:c>
      <x:c r="F4" s="19" t="str">
        <x:v>mean_yield</x:v>
      </x:c>
      <x:c r="G4" s="1"/>
      <x:c r="H4" s="1"/>
      <x:c r="I4" s="1"/>
      <x:c r="J4" s="1"/>
      <x:c r="K4" s="1"/>
    </x:row>
    <x:row r="5">
      <x:c r="A5" s="1" t="str">
        <x:v>Home</x:v>
      </x:c>
      <x:c r="B5" s="45" t="n">
        <x:v>2021</x:v>
      </x:c>
      <x:c r="C5" s="43" t="n">
        <x:v>38.1</x:v>
      </x:c>
      <x:c r="D5" s="1"/>
      <x:c r="E5" s="47" t="n">
        <x:v>2024</x:v>
      </x:c>
      <x:c r="F5" s="48" t="n">
        <x:f>AVERAGEIF($B$5:$B$44,E5,$C$5:$C$44)</x:f>
        <x:v>41.962500000000006</x:v>
      </x:c>
      <x:c r="G5" s="1"/>
      <x:c r="H5" s="1"/>
      <x:c r="I5" s="1"/>
      <x:c r="J5" s="1"/>
      <x:c r="K5" s="1"/>
    </x:row>
    <x:row r="6">
      <x:c r="A6" s="1" t="str">
        <x:v>Home</x:v>
      </x:c>
      <x:c r="B6" s="45" t="n">
        <x:v>2022</x:v>
      </x:c>
      <x:c r="C6" s="43" t="n">
        <x:v>29.1</x:v>
      </x:c>
      <x:c r="D6" s="1"/>
      <x:c r="E6" s="49" t="n">
        <x:v>2023</x:v>
      </x:c>
      <x:c r="F6" s="50" t="n">
        <x:f>AVERAGEIF($B$5:$B$44,E6,$C$5:$C$44)</x:f>
        <x:v>41.73749999999999</x:v>
      </x:c>
      <x:c r="G6" s="1"/>
      <x:c r="H6" s="1"/>
      <x:c r="I6" s="1"/>
      <x:c r="J6" s="1"/>
      <x:c r="K6" s="1"/>
    </x:row>
    <x:row r="7">
      <x:c r="A7" s="1" t="str">
        <x:v>Home</x:v>
      </x:c>
      <x:c r="B7" s="45" t="n">
        <x:v>2023</x:v>
      </x:c>
      <x:c r="C7" s="43" t="n">
        <x:v>48.7</x:v>
      </x:c>
      <x:c r="D7" s="1"/>
      <x:c r="E7" s="49" t="n">
        <x:v>2021</x:v>
      </x:c>
      <x:c r="F7" s="50" t="n">
        <x:f>AVERAGEIF($B$5:$B$44,E7,$C$5:$C$44)</x:f>
        <x:v>41.712500000000006</x:v>
      </x:c>
      <x:c r="G7" s="1"/>
      <x:c r="H7" s="1"/>
      <x:c r="I7" s="1"/>
      <x:c r="J7" s="1"/>
      <x:c r="K7" s="1"/>
    </x:row>
    <x:row r="8">
      <x:c r="A8" s="1" t="str">
        <x:v>Home</x:v>
      </x:c>
      <x:c r="B8" s="45" t="n">
        <x:v>2024</x:v>
      </x:c>
      <x:c r="C8" s="43" t="n">
        <x:v>41.1</x:v>
      </x:c>
      <x:c r="D8" s="1"/>
      <x:c r="E8" s="49" t="n">
        <x:v>2025</x:v>
      </x:c>
      <x:c r="F8" s="50" t="n">
        <x:f>AVERAGEIF($B$5:$B$44,E8,$C$5:$C$44)</x:f>
        <x:v>41.6</x:v>
      </x:c>
      <x:c r="G8" s="1"/>
      <x:c r="H8" s="1"/>
      <x:c r="I8" s="1"/>
      <x:c r="J8" s="1"/>
      <x:c r="K8" s="1"/>
    </x:row>
    <x:row r="9">
      <x:c r="A9" s="1" t="str">
        <x:v>Home</x:v>
      </x:c>
      <x:c r="B9" s="45" t="n">
        <x:v>2025</x:v>
      </x:c>
      <x:c r="C9" s="43" t="n">
        <x:v>43</x:v>
      </x:c>
      <x:c r="D9" s="1"/>
      <x:c r="E9" s="49" t="n">
        <x:v>2022</x:v>
      </x:c>
      <x:c r="F9" s="50" t="n">
        <x:f>AVERAGEIF($B$5:$B$44,E9,$C$5:$C$44)</x:f>
        <x:v>37.474999999999994</x:v>
      </x:c>
      <x:c r="G9" s="1"/>
      <x:c r="H9" s="1"/>
      <x:c r="I9" s="1"/>
      <x:c r="J9" s="1"/>
      <x:c r="K9" s="1"/>
    </x:row>
    <x:row r="10">
      <x:c r="A10" s="1" t="str">
        <x:v>Kestrel</x:v>
      </x:c>
      <x:c r="B10" s="45" t="n">
        <x:v>2021</x:v>
      </x:c>
      <x:c r="C10" s="43" t="n">
        <x:v>44.5</x:v>
      </x:c>
      <x:c r="D10" s="1"/>
      <x:c r="E10" s="1"/>
      <x:c r="F10" s="1"/>
      <x:c r="G10" s="1"/>
      <x:c r="H10" s="1"/>
      <x:c r="I10" s="1"/>
      <x:c r="J10" s="1"/>
      <x:c r="K10" s="1"/>
    </x:row>
    <x:row r="11" ht="25" customHeight="1">
      <x:c r="A11" s="1" t="str">
        <x:v>Kestrel</x:v>
      </x:c>
      <x:c r="B11" s="45" t="n">
        <x:v>2022</x:v>
      </x:c>
      <x:c r="C11" s="43" t="n">
        <x:v>33</x:v>
      </x:c>
      <x:c r="D11" s="1"/>
      <x:c r="E11" s="17" t="str">
        <x:v>Best year</x:v>
      </x:c>
      <x:c r="F11" s="19" t="str">
        <x:v>Mean yield (bu/ac)</x:v>
      </x:c>
      <x:c r="G11" s="1"/>
      <x:c r="H11" s="1"/>
      <x:c r="I11" s="1"/>
      <x:c r="J11" s="1"/>
      <x:c r="K11" s="1"/>
    </x:row>
    <x:row r="12">
      <x:c r="A12" s="1" t="str">
        <x:v>Kestrel</x:v>
      </x:c>
      <x:c r="B12" s="45" t="n">
        <x:v>2023</x:v>
      </x:c>
      <x:c r="C12" s="43" t="n">
        <x:v>51.9</x:v>
      </x:c>
      <x:c r="D12" s="1"/>
      <x:c r="E12" s="54" t="n">
        <x:f>INDEX(E5:E9,MATCH(MAX(F5:F9),F5:F9,0))</x:f>
        <x:v>2024</x:v>
      </x:c>
      <x:c r="F12" s="55" t="n">
        <x:f>MAX(F5:F9)</x:f>
        <x:v>41.962500000000006</x:v>
      </x:c>
      <x:c r="G12" s="1"/>
      <x:c r="H12" s="1"/>
      <x:c r="I12" s="1"/>
      <x:c r="J12" s="1"/>
      <x:c r="K12" s="1"/>
    </x:row>
    <x:row r="13">
      <x:c r="A13" s="1" t="str">
        <x:v>Kestrel</x:v>
      </x:c>
      <x:c r="B13" s="45" t="n">
        <x:v>2024</x:v>
      </x:c>
      <x:c r="C13" s="43" t="n">
        <x:v>50.5</x:v>
      </x:c>
      <x:c r="D13" s="1"/>
      <x:c r="E13" s="1"/>
      <x:c r="F13" s="1"/>
      <x:c r="G13" s="1"/>
      <x:c r="H13" s="1"/>
      <x:c r="I13" s="1"/>
      <x:c r="J13" s="1"/>
      <x:c r="K13" s="1"/>
    </x:row>
    <x:row r="14">
      <x:c r="A14" s="1" t="str">
        <x:v>Kestrel</x:v>
      </x:c>
      <x:c r="B14" s="45" t="n">
        <x:v>2025</x:v>
      </x:c>
      <x:c r="C14" s="43" t="n">
        <x:v>44.4</x:v>
      </x:c>
      <x:c r="D14" s="1"/>
      <x:c r="E14" s="70" t="str">
        <x:v>Answer: 2024 has the highest mean canola yield, approximately 41.96 bu/ac.</x:v>
      </x:c>
      <x:c r="F14" s="71"/>
      <x:c r="G14" s="71"/>
      <x:c r="H14" s="72"/>
      <x:c r="I14" s="1"/>
      <x:c r="J14" s="1"/>
      <x:c r="K14" s="1"/>
    </x:row>
    <x:row r="15">
      <x:c r="A15" s="1" t="str">
        <x:v>Meadowvale</x:v>
      </x:c>
      <x:c r="B15" s="45" t="n">
        <x:v>2021</x:v>
      </x:c>
      <x:c r="C15" s="43" t="n">
        <x:v>53.7</x:v>
      </x:c>
      <x:c r="D15" s="1"/>
      <x:c r="E15" s="73"/>
      <x:c r="F15" s="74"/>
      <x:c r="G15" s="74"/>
      <x:c r="H15" s="75"/>
      <x:c r="I15" s="1"/>
      <x:c r="J15" s="1"/>
      <x:c r="K15" s="1"/>
    </x:row>
    <x:row r="16">
      <x:c r="A16" s="1" t="str">
        <x:v>Meadowvale</x:v>
      </x:c>
      <x:c r="B16" s="45" t="n">
        <x:v>2022</x:v>
      </x:c>
      <x:c r="C16" s="43" t="n">
        <x:v>49.8</x:v>
      </x:c>
      <x:c r="D16" s="1"/>
      <x:c r="E16" s="1"/>
      <x:c r="F16" s="1"/>
      <x:c r="G16" s="1"/>
      <x:c r="H16" s="1"/>
      <x:c r="I16" s="1"/>
      <x:c r="J16" s="1"/>
      <x:c r="K16" s="1"/>
    </x:row>
    <x:row r="17">
      <x:c r="A17" s="1" t="str">
        <x:v>Meadowvale</x:v>
      </x:c>
      <x:c r="B17" s="45" t="n">
        <x:v>2023</x:v>
      </x:c>
      <x:c r="C17" s="43" t="n">
        <x:v>31.7</x:v>
      </x:c>
      <x:c r="D17" s="1"/>
      <x:c r="E17" s="1"/>
      <x:c r="F17" s="1"/>
      <x:c r="G17" s="1"/>
      <x:c r="H17" s="1"/>
      <x:c r="I17" s="1"/>
      <x:c r="J17" s="1"/>
      <x:c r="K17" s="1"/>
    </x:row>
    <x:row r="18">
      <x:c r="A18" s="1" t="str">
        <x:v>Meadowvale</x:v>
      </x:c>
      <x:c r="B18" s="45" t="n">
        <x:v>2024</x:v>
      </x:c>
      <x:c r="C18" s="43" t="n">
        <x:v>40.7</x:v>
      </x:c>
      <x:c r="D18" s="1"/>
      <x:c r="E18" s="1"/>
      <x:c r="F18" s="1"/>
      <x:c r="G18" s="1"/>
      <x:c r="H18" s="1"/>
      <x:c r="I18" s="1"/>
      <x:c r="J18" s="1"/>
      <x:c r="K18" s="1"/>
    </x:row>
    <x:row r="19">
      <x:c r="A19" s="1" t="str">
        <x:v>Meadowvale</x:v>
      </x:c>
      <x:c r="B19" s="45" t="n">
        <x:v>2025</x:v>
      </x:c>
      <x:c r="C19" s="43" t="n">
        <x:v>44.9</x:v>
      </x:c>
      <x:c r="D19" s="1"/>
      <x:c r="E19" s="1"/>
      <x:c r="F19" s="1"/>
      <x:c r="G19" s="1"/>
      <x:c r="H19" s="1"/>
      <x:c r="I19" s="1"/>
      <x:c r="J19" s="1"/>
      <x:c r="K19" s="1"/>
    </x:row>
    <x:row r="20">
      <x:c r="A20" s="1" t="str">
        <x:v>Nightjar</x:v>
      </x:c>
      <x:c r="B20" s="45" t="n">
        <x:v>2021</x:v>
      </x:c>
      <x:c r="C20" s="43" t="n">
        <x:v>41.8</x:v>
      </x:c>
      <x:c r="D20" s="1"/>
      <x:c r="E20" s="1"/>
      <x:c r="F20" s="1"/>
      <x:c r="G20" s="1"/>
      <x:c r="H20" s="1"/>
      <x:c r="I20" s="1"/>
      <x:c r="J20" s="1"/>
      <x:c r="K20" s="1"/>
    </x:row>
    <x:row r="21">
      <x:c r="A21" s="1" t="str">
        <x:v>Nightjar</x:v>
      </x:c>
      <x:c r="B21" s="45" t="n">
        <x:v>2022</x:v>
      </x:c>
      <x:c r="C21" s="43" t="n">
        <x:v>29.2</x:v>
      </x:c>
      <x:c r="D21" s="1"/>
      <x:c r="E21" s="1"/>
      <x:c r="F21" s="1"/>
      <x:c r="G21" s="1"/>
      <x:c r="H21" s="1"/>
      <x:c r="I21" s="1"/>
      <x:c r="J21" s="1"/>
      <x:c r="K21" s="1"/>
    </x:row>
    <x:row r="22">
      <x:c r="A22" s="1" t="str">
        <x:v>Nightjar</x:v>
      </x:c>
      <x:c r="B22" s="45" t="n">
        <x:v>2023</x:v>
      </x:c>
      <x:c r="C22" s="43" t="n">
        <x:v>41.3</x:v>
      </x:c>
      <x:c r="D22" s="1"/>
      <x:c r="E22" s="1"/>
      <x:c r="F22" s="1"/>
      <x:c r="G22" s="1"/>
      <x:c r="H22" s="1"/>
      <x:c r="I22" s="1"/>
      <x:c r="J22" s="1"/>
      <x:c r="K22" s="1"/>
    </x:row>
    <x:row r="23">
      <x:c r="A23" s="1" t="str">
        <x:v>Nightjar</x:v>
      </x:c>
      <x:c r="B23" s="45" t="n">
        <x:v>2024</x:v>
      </x:c>
      <x:c r="C23" s="43" t="n">
        <x:v>38.5</x:v>
      </x:c>
      <x:c r="D23" s="1"/>
      <x:c r="E23" s="1"/>
      <x:c r="F23" s="1"/>
      <x:c r="G23" s="1"/>
      <x:c r="H23" s="1"/>
      <x:c r="I23" s="1"/>
      <x:c r="J23" s="1"/>
      <x:c r="K23" s="1"/>
    </x:row>
    <x:row r="24">
      <x:c r="A24" s="1" t="str">
        <x:v>Nightjar</x:v>
      </x:c>
      <x:c r="B24" s="45" t="n">
        <x:v>2025</x:v>
      </x:c>
      <x:c r="C24" s="43" t="n">
        <x:v>51.8</x:v>
      </x:c>
      <x:c r="D24" s="1"/>
      <x:c r="E24" s="1"/>
      <x:c r="F24" s="1"/>
      <x:c r="G24" s="1"/>
      <x:c r="H24" s="1"/>
      <x:c r="I24" s="1"/>
      <x:c r="J24" s="1"/>
      <x:c r="K24" s="1"/>
    </x:row>
    <x:row r="25">
      <x:c r="A25" s="1" t="str">
        <x:v>Rented</x:v>
      </x:c>
      <x:c r="B25" s="45" t="n">
        <x:v>2021</x:v>
      </x:c>
      <x:c r="C25" s="43" t="n">
        <x:v>50.1</x:v>
      </x:c>
      <x:c r="D25" s="1"/>
      <x:c r="E25" s="1"/>
      <x:c r="F25" s="1"/>
      <x:c r="G25" s="1"/>
      <x:c r="H25" s="1"/>
      <x:c r="I25" s="1"/>
      <x:c r="J25" s="1"/>
      <x:c r="K25" s="1"/>
    </x:row>
    <x:row r="26">
      <x:c r="A26" s="1" t="str">
        <x:v>Rented</x:v>
      </x:c>
      <x:c r="B26" s="45" t="n">
        <x:v>2022</x:v>
      </x:c>
      <x:c r="C26" s="43" t="n">
        <x:v>36.2</x:v>
      </x:c>
      <x:c r="D26" s="1"/>
      <x:c r="E26" s="1"/>
      <x:c r="F26" s="1"/>
      <x:c r="G26" s="1"/>
      <x:c r="H26" s="1"/>
      <x:c r="I26" s="1"/>
      <x:c r="J26" s="1"/>
      <x:c r="K26" s="1"/>
    </x:row>
    <x:row r="27">
      <x:c r="A27" s="1" t="str">
        <x:v>Rented</x:v>
      </x:c>
      <x:c r="B27" s="45" t="n">
        <x:v>2023</x:v>
      </x:c>
      <x:c r="C27" s="43" t="n">
        <x:v>41.7</x:v>
      </x:c>
      <x:c r="D27" s="1"/>
      <x:c r="E27" s="1"/>
      <x:c r="F27" s="1"/>
      <x:c r="G27" s="1"/>
      <x:c r="H27" s="1"/>
      <x:c r="I27" s="1"/>
      <x:c r="J27" s="1"/>
      <x:c r="K27" s="1"/>
    </x:row>
    <x:row r="28">
      <x:c r="A28" s="1" t="str">
        <x:v>Rented</x:v>
      </x:c>
      <x:c r="B28" s="45" t="n">
        <x:v>2024</x:v>
      </x:c>
      <x:c r="C28" s="43" t="n">
        <x:v>29.5</x:v>
      </x:c>
      <x:c r="D28" s="1"/>
      <x:c r="E28" s="1"/>
      <x:c r="F28" s="1"/>
      <x:c r="G28" s="1"/>
      <x:c r="H28" s="1"/>
      <x:c r="I28" s="1"/>
      <x:c r="J28" s="1"/>
      <x:c r="K28" s="1"/>
    </x:row>
    <x:row r="29">
      <x:c r="A29" s="1" t="str">
        <x:v>Rented</x:v>
      </x:c>
      <x:c r="B29" s="45" t="n">
        <x:v>2025</x:v>
      </x:c>
      <x:c r="C29" s="43" t="n">
        <x:v>28.2</x:v>
      </x:c>
      <x:c r="D29" s="1"/>
      <x:c r="E29" s="1"/>
      <x:c r="F29" s="1"/>
      <x:c r="G29" s="1"/>
      <x:c r="H29" s="1"/>
      <x:c r="I29" s="1"/>
      <x:c r="J29" s="1"/>
      <x:c r="K29" s="1"/>
    </x:row>
    <x:row r="30">
      <x:c r="A30" s="1" t="str">
        <x:v>Coulee</x:v>
      </x:c>
      <x:c r="B30" s="45" t="n">
        <x:v>2021</x:v>
      </x:c>
      <x:c r="C30" s="43" t="n">
        <x:v>31.2</x:v>
      </x:c>
      <x:c r="D30" s="1"/>
      <x:c r="E30" s="1"/>
      <x:c r="F30" s="1"/>
      <x:c r="G30" s="1"/>
      <x:c r="H30" s="1"/>
      <x:c r="I30" s="1"/>
      <x:c r="J30" s="1"/>
      <x:c r="K30" s="1"/>
    </x:row>
    <x:row r="31">
      <x:c r="A31" s="1" t="str">
        <x:v>Coulee</x:v>
      </x:c>
      <x:c r="B31" s="45" t="n">
        <x:v>2022</x:v>
      </x:c>
      <x:c r="C31" s="43" t="n">
        <x:v>45.7</x:v>
      </x:c>
      <x:c r="D31" s="1"/>
      <x:c r="E31" s="1"/>
      <x:c r="F31" s="1"/>
      <x:c r="G31" s="1"/>
      <x:c r="H31" s="1"/>
      <x:c r="I31" s="1"/>
      <x:c r="J31" s="1"/>
      <x:c r="K31" s="1"/>
    </x:row>
    <x:row r="32">
      <x:c r="A32" s="1" t="str">
        <x:v>Coulee</x:v>
      </x:c>
      <x:c r="B32" s="45" t="n">
        <x:v>2023</x:v>
      </x:c>
      <x:c r="C32" s="43" t="n">
        <x:v>42.9</x:v>
      </x:c>
      <x:c r="D32" s="1"/>
      <x:c r="E32" s="1"/>
      <x:c r="F32" s="1"/>
      <x:c r="G32" s="1"/>
      <x:c r="H32" s="1"/>
      <x:c r="I32" s="1"/>
      <x:c r="J32" s="1"/>
      <x:c r="K32" s="1"/>
    </x:row>
    <x:row r="33">
      <x:c r="A33" s="1" t="str">
        <x:v>Coulee</x:v>
      </x:c>
      <x:c r="B33" s="45" t="n">
        <x:v>2024</x:v>
      </x:c>
      <x:c r="C33" s="43" t="n">
        <x:v>45.8</x:v>
      </x:c>
      <x:c r="D33" s="1"/>
      <x:c r="E33" s="1"/>
      <x:c r="F33" s="1"/>
      <x:c r="G33" s="1"/>
      <x:c r="H33" s="1"/>
      <x:c r="I33" s="1"/>
      <x:c r="J33" s="1"/>
      <x:c r="K33" s="1"/>
    </x:row>
    <x:row r="34">
      <x:c r="A34" s="1" t="str">
        <x:v>Coulee</x:v>
      </x:c>
      <x:c r="B34" s="45" t="n">
        <x:v>2025</x:v>
      </x:c>
      <x:c r="C34" s="43" t="n">
        <x:v>28.7</x:v>
      </x:c>
      <x:c r="D34" s="1"/>
      <x:c r="E34" s="1"/>
      <x:c r="F34" s="1"/>
      <x:c r="G34" s="1"/>
      <x:c r="H34" s="1"/>
      <x:c r="I34" s="1"/>
      <x:c r="J34" s="1"/>
      <x:c r="K34" s="1"/>
    </x:row>
    <x:row r="35">
      <x:c r="A35" s="1" t="str">
        <x:v>Ridge</x:v>
      </x:c>
      <x:c r="B35" s="45" t="n">
        <x:v>2021</x:v>
      </x:c>
      <x:c r="C35" s="43" t="n">
        <x:v>41.1</x:v>
      </x:c>
      <x:c r="D35" s="1"/>
      <x:c r="E35" s="1"/>
      <x:c r="F35" s="1"/>
      <x:c r="G35" s="1"/>
      <x:c r="H35" s="1"/>
      <x:c r="I35" s="1"/>
      <x:c r="J35" s="1"/>
      <x:c r="K35" s="1"/>
    </x:row>
    <x:row r="36">
      <x:c r="A36" s="1" t="str">
        <x:v>Ridge</x:v>
      </x:c>
      <x:c r="B36" s="45" t="n">
        <x:v>2022</x:v>
      </x:c>
      <x:c r="C36" s="43" t="n">
        <x:v>34.4</x:v>
      </x:c>
      <x:c r="D36" s="1"/>
      <x:c r="E36" s="1"/>
      <x:c r="F36" s="1"/>
      <x:c r="G36" s="1"/>
      <x:c r="H36" s="1"/>
      <x:c r="I36" s="1"/>
      <x:c r="J36" s="1"/>
      <x:c r="K36" s="1"/>
    </x:row>
    <x:row r="37">
      <x:c r="A37" s="1" t="str">
        <x:v>Ridge</x:v>
      </x:c>
      <x:c r="B37" s="45" t="n">
        <x:v>2023</x:v>
      </x:c>
      <x:c r="C37" s="43" t="n">
        <x:v>45.7</x:v>
      </x:c>
      <x:c r="D37" s="1"/>
      <x:c r="E37" s="1"/>
      <x:c r="F37" s="1"/>
      <x:c r="G37" s="1"/>
      <x:c r="H37" s="1"/>
      <x:c r="I37" s="1"/>
      <x:c r="J37" s="1"/>
      <x:c r="K37" s="1"/>
    </x:row>
    <x:row r="38">
      <x:c r="A38" s="1" t="str">
        <x:v>Ridge</x:v>
      </x:c>
      <x:c r="B38" s="45" t="n">
        <x:v>2024</x:v>
      </x:c>
      <x:c r="C38" s="43" t="n">
        <x:v>41</x:v>
      </x:c>
      <x:c r="D38" s="1"/>
      <x:c r="E38" s="1"/>
      <x:c r="F38" s="1"/>
      <x:c r="G38" s="1"/>
      <x:c r="H38" s="1"/>
      <x:c r="I38" s="1"/>
      <x:c r="J38" s="1"/>
      <x:c r="K38" s="1"/>
    </x:row>
    <x:row r="39">
      <x:c r="A39" s="1" t="str">
        <x:v>Ridge</x:v>
      </x:c>
      <x:c r="B39" s="45" t="n">
        <x:v>2025</x:v>
      </x:c>
      <x:c r="C39" s="43" t="n">
        <x:v>53.6</x:v>
      </x:c>
      <x:c r="D39" s="1"/>
      <x:c r="E39" s="1"/>
      <x:c r="F39" s="1"/>
      <x:c r="G39" s="1"/>
      <x:c r="H39" s="1"/>
      <x:c r="I39" s="1"/>
      <x:c r="J39" s="1"/>
      <x:c r="K39" s="1"/>
    </x:row>
    <x:row r="40">
      <x:c r="A40" s="1" t="str">
        <x:v>Slough</x:v>
      </x:c>
      <x:c r="B40" s="45" t="n">
        <x:v>2021</x:v>
      </x:c>
      <x:c r="C40" s="43" t="n">
        <x:v>33.2</x:v>
      </x:c>
      <x:c r="D40" s="1"/>
      <x:c r="E40" s="1"/>
      <x:c r="F40" s="1"/>
      <x:c r="G40" s="1"/>
      <x:c r="H40" s="1"/>
      <x:c r="I40" s="1"/>
      <x:c r="J40" s="1"/>
      <x:c r="K40" s="1"/>
    </x:row>
    <x:row r="41">
      <x:c r="A41" s="1" t="str">
        <x:v>Slough</x:v>
      </x:c>
      <x:c r="B41" s="45" t="n">
        <x:v>2022</x:v>
      </x:c>
      <x:c r="C41" s="43" t="n">
        <x:v>42.4</x:v>
      </x:c>
      <x:c r="D41" s="1"/>
      <x:c r="E41" s="1"/>
      <x:c r="F41" s="1"/>
      <x:c r="G41" s="1"/>
      <x:c r="H41" s="1"/>
      <x:c r="I41" s="1"/>
      <x:c r="J41" s="1"/>
      <x:c r="K41" s="1"/>
    </x:row>
    <x:row r="42">
      <x:c r="A42" s="1" t="str">
        <x:v>Slough</x:v>
      </x:c>
      <x:c r="B42" s="45" t="n">
        <x:v>2023</x:v>
      </x:c>
      <x:c r="C42" s="43" t="n">
        <x:v>30</x:v>
      </x:c>
      <x:c r="D42" s="1"/>
      <x:c r="E42" s="1"/>
      <x:c r="F42" s="1"/>
      <x:c r="G42" s="1"/>
      <x:c r="H42" s="1"/>
      <x:c r="I42" s="1"/>
      <x:c r="J42" s="1"/>
      <x:c r="K42" s="1"/>
    </x:row>
    <x:row r="43">
      <x:c r="A43" s="1" t="str">
        <x:v>Slough</x:v>
      </x:c>
      <x:c r="B43" s="45" t="n">
        <x:v>2024</x:v>
      </x:c>
      <x:c r="C43" s="43" t="n">
        <x:v>48.6</x:v>
      </x:c>
      <x:c r="D43" s="1"/>
      <x:c r="E43" s="1"/>
      <x:c r="F43" s="1"/>
      <x:c r="G43" s="1"/>
      <x:c r="H43" s="1"/>
      <x:c r="I43" s="1"/>
      <x:c r="J43" s="1"/>
      <x:c r="K43" s="1"/>
    </x:row>
    <x:row r="44">
      <x:c r="A44" s="1" t="str">
        <x:v>Slough</x:v>
      </x:c>
      <x:c r="B44" s="45" t="n">
        <x:v>2025</x:v>
      </x:c>
      <x:c r="C44" s="43" t="n">
        <x:v>38.2</x:v>
      </x:c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H1"/>
    <x:mergeCell ref="A2:H2"/>
    <x:mergeCell ref="E14:H15"/>
  </x:mergeCells>
  <x:pageMargins left="0.7" right="0.7" top="0.75" bottom="0.75" header="0.3" footer="0.3"/>
  <x:tableParts count="1">
    <x:tablePart xmlns:r="http://schemas.openxmlformats.org/officeDocument/2006/relationships" r:id="Rcf27dd8236d54ec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44" hidden="0" customWidth="1"/>
    <x:col min="3" max="3" width="25" hidden="0" customWidth="1"/>
    <x:col min="4" max="4" width="32" hidden="0" customWidth="1"/>
  </x:cols>
  <x:sheetData>
    <x:row r="1" ht="34" customHeight="1">
      <x:c r="A1" s="4" t="str">
        <x:v>Question 19 — Power Query Steps</x:v>
      </x:c>
      <x:c r="B1" s="4" t="str">
        <x:v>Question 19 — Power Query Steps</x:v>
      </x:c>
      <x:c r="C1" s="4" t="str">
        <x:v>Question 19 — Power Query Steps</x:v>
      </x:c>
      <x:c r="D1" s="4" t="str">
        <x:v>Question 19 — Power Query Steps</x:v>
      </x:c>
      <x:c r="E1" s="1"/>
      <x:c r="F1" s="1"/>
      <x:c r="G1" s="1"/>
      <x:c r="H1" s="1"/>
      <x:c r="I1" s="1"/>
      <x:c r="J1" s="1"/>
      <x:c r="K1" s="1"/>
    </x:row>
    <x:row r="2">
      <x:c r="A2" s="42" t="str">
        <x:v>This answer is self-contained, so its M code reads the RawData table. On the test, begin with Data → Get Data → From Text/CSV. Use Data → Queries &amp; Connections to inspect live queries.</x:v>
      </x:c>
      <x:c r="B2" s="42"/>
      <x:c r="C2" s="42"/>
      <x:c r="D2" s="42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17" t="str">
        <x:v>Step</x:v>
      </x:c>
      <x:c r="B4" s="18" t="str">
        <x:v>Student action</x:v>
      </x:c>
      <x:c r="C4" s="18" t="str">
        <x:v>Applied Step name</x:v>
      </x:c>
      <x:c r="D4" s="19" t="str">
        <x:v>Check</x:v>
      </x:c>
      <x:c r="E4" s="1"/>
      <x:c r="F4" s="1"/>
      <x:c r="G4" s="1"/>
      <x:c r="H4" s="1"/>
      <x:c r="I4" s="1"/>
      <x:c r="J4" s="1"/>
      <x:c r="K4" s="1"/>
    </x:row>
    <x:row r="5" ht="46" customHeight="1">
      <x:c r="A5" s="83" t="n">
        <x:v>1</x:v>
      </x:c>
      <x:c r="B5" s="81" t="str">
        <x:v>Select RawData and choose Data → From Table/Range.</x:v>
      </x:c>
      <x:c r="C5" s="81" t="str">
        <x:v>Source</x:v>
      </x:c>
      <x:c r="D5" s="81" t="str">
        <x:v>The editor shows 8 fields and 6 columns.</x:v>
      </x:c>
      <x:c r="E5" s="1"/>
      <x:c r="F5" s="1"/>
      <x:c r="G5" s="1"/>
      <x:c r="H5" s="1"/>
      <x:c r="I5" s="1"/>
      <x:c r="J5" s="1"/>
      <x:c r="K5" s="1"/>
    </x:row>
    <x:row r="6" ht="46" customHeight="1">
      <x:c r="A6" s="84" t="n">
        <x:v>2</x:v>
      </x:c>
      <x:c r="B6" s="82" t="str">
        <x:v>Set field to Text and each yield column to Decimal Number.</x:v>
      </x:c>
      <x:c r="C6" s="82" t="str">
        <x:v>Set column types</x:v>
      </x:c>
      <x:c r="D6" s="82" t="str">
        <x:v>Identifiers and yields have the correct types.</x:v>
      </x:c>
      <x:c r="E6" s="1"/>
      <x:c r="F6" s="1"/>
      <x:c r="G6" s="1"/>
      <x:c r="H6" s="1"/>
      <x:c r="I6" s="1"/>
      <x:c r="J6" s="1"/>
      <x:c r="K6" s="1"/>
    </x:row>
    <x:row r="7" ht="46" customHeight="1">
      <x:c r="A7" s="84" t="n">
        <x:v>3</x:v>
      </x:c>
      <x:c r="B7" s="82" t="str">
        <x:v>Select field, then choose Transform → Unpivot Other Columns.</x:v>
      </x:c>
      <x:c r="C7" s="82" t="str">
        <x:v>Unpivot year columns</x:v>
      </x:c>
      <x:c r="D7" s="82" t="str">
        <x:v>The table has 40 rows and three columns.</x:v>
      </x:c>
      <x:c r="E7" s="1"/>
      <x:c r="F7" s="1"/>
      <x:c r="G7" s="1"/>
      <x:c r="H7" s="1"/>
      <x:c r="I7" s="1"/>
      <x:c r="J7" s="1"/>
      <x:c r="K7" s="1"/>
    </x:row>
    <x:row r="8" ht="46" customHeight="1">
      <x:c r="A8" s="84" t="n">
        <x:v>4</x:v>
      </x:c>
      <x:c r="B8" s="82" t="str">
        <x:v>Rename Attribute to year and Value to yield_bu_ac.</x:v>
      </x:c>
      <x:c r="C8" s="82" t="str">
        <x:v>Rename columns</x:v>
      </x:c>
      <x:c r="D8" s="82" t="str">
        <x:v>The output names match the question.</x:v>
      </x:c>
      <x:c r="E8" s="1"/>
      <x:c r="F8" s="1"/>
      <x:c r="G8" s="1"/>
      <x:c r="H8" s="1"/>
      <x:c r="I8" s="1"/>
      <x:c r="J8" s="1"/>
      <x:c r="K8" s="1"/>
    </x:row>
    <x:row r="9" ht="46" customHeight="1">
      <x:c r="A9" s="84" t="n">
        <x:v>5</x:v>
      </x:c>
      <x:c r="B9" s="82" t="str">
        <x:v>Extract the text after the underscore from year, then set it to Whole Number.</x:v>
      </x:c>
      <x:c r="C9" s="82" t="str">
        <x:v>Extract numeric year</x:v>
      </x:c>
      <x:c r="D9" s="82" t="str">
        <x:v>year contains 2021 through 2025 as numbers.</x:v>
      </x:c>
      <x:c r="E9" s="1"/>
      <x:c r="F9" s="1"/>
      <x:c r="G9" s="1"/>
      <x:c r="H9" s="1"/>
      <x:c r="I9" s="1"/>
      <x:c r="J9" s="1"/>
      <x:c r="K9" s="1"/>
    </x:row>
    <x:row r="10" ht="46" customHeight="1">
      <x:c r="A10" s="84" t="n">
        <x:v>6</x:v>
      </x:c>
      <x:c r="B10" s="82" t="str">
        <x:v>Name the query CanolaYieldsLong and load it as a table.</x:v>
      </x:c>
      <x:c r="C10" s="82" t="str">
        <x:v>Load long table</x:v>
      </x:c>
      <x:c r="D10" s="82" t="str">
        <x:v>The long output is visible in Excel.</x:v>
      </x:c>
      <x:c r="E10" s="1"/>
      <x:c r="F10" s="1"/>
      <x:c r="G10" s="1"/>
      <x:c r="H10" s="1"/>
      <x:c r="I10" s="1"/>
      <x:c r="J10" s="1"/>
      <x:c r="K10" s="1"/>
    </x:row>
    <x:row r="11" ht="46" customHeight="1">
      <x:c r="A11" s="84" t="n">
        <x:v>7</x:v>
      </x:c>
      <x:c r="B11" s="82" t="str">
        <x:v>Create a Reference from CanolaYieldsLong; group by year using Average of yield_bu_ac.</x:v>
      </x:c>
      <x:c r="C11" s="82" t="str">
        <x:v>Mean yield by year</x:v>
      </x:c>
      <x:c r="D11" s="82" t="str">
        <x:v>The summary contains five years.</x:v>
      </x:c>
      <x:c r="E11" s="1"/>
      <x:c r="F11" s="1"/>
      <x:c r="G11" s="1"/>
      <x:c r="H11" s="1"/>
      <x:c r="I11" s="1"/>
      <x:c r="J11" s="1"/>
      <x:c r="K11" s="1"/>
    </x:row>
    <x:row r="12" ht="46" customHeight="1">
      <x:c r="A12" s="84" t="n">
        <x:v>8</x:v>
      </x:c>
      <x:c r="B12" s="82" t="str">
        <x:v>Sort mean_yield descending; name the query MeanYieldByYear and load it.</x:v>
      </x:c>
      <x:c r="C12" s="82" t="str">
        <x:v>Sort best year first</x:v>
      </x:c>
      <x:c r="D12" s="82" t="str">
        <x:v>2024 is first at 41.96 bu/ac.</x:v>
      </x:c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5" customHeight="1">
      <x:c r="A14" s="17" t="str">
        <x:v>M code — CanolaYieldsLong</x:v>
      </x:c>
      <x:c r="B14" s="18"/>
      <x:c r="C14" s="18"/>
      <x:c r="D14" s="19"/>
      <x:c r="E14" s="1"/>
      <x:c r="F14" s="1"/>
      <x:c r="G14" s="1"/>
      <x:c r="H14" s="1"/>
      <x:c r="I14" s="1"/>
      <x:c r="J14" s="1"/>
      <x:c r="K14" s="1"/>
    </x:row>
    <x:row r="15" ht="20" customHeight="1">
      <x:c r="A15" s="87" t="str">
        <x:v>let</x:v>
      </x:c>
      <x:c r="B15" s="87"/>
      <x:c r="C15" s="87"/>
      <x:c r="D15" s="87"/>
      <x:c r="E15" s="1"/>
      <x:c r="F15" s="1"/>
      <x:c r="G15" s="1"/>
      <x:c r="H15" s="1"/>
      <x:c r="I15" s="1"/>
      <x:c r="J15" s="1"/>
      <x:c r="K15" s="1"/>
    </x:row>
    <x:row r="16" ht="20" customHeight="1">
      <x:c r="A16" s="87" t="str">
        <x:v>    Source = Excel.CurrentWorkbook(){[Name="RawData"]}[Content],</x:v>
      </x:c>
      <x:c r="B16" s="87"/>
      <x:c r="C16" s="87"/>
      <x:c r="D16" s="87"/>
      <x:c r="E16" s="1"/>
      <x:c r="F16" s="1"/>
      <x:c r="G16" s="1"/>
      <x:c r="H16" s="1"/>
      <x:c r="I16" s="1"/>
      <x:c r="J16" s="1"/>
      <x:c r="K16" s="1"/>
    </x:row>
    <x:row r="17" ht="34" customHeight="1">
      <x:c r="A17" s="87" t="str">
        <x:v>    #"Set column types" = Table.TransformColumnTypes(Source, {{"field", type text}, {"yield_2021", type number}, {"yield_2022", type number}, {"yield_2023", type number}, {"yield_2024", type number}, {"yield_2025", type number}}),</x:v>
      </x:c>
      <x:c r="B17" s="87"/>
      <x:c r="C17" s="87"/>
      <x:c r="D17" s="87"/>
      <x:c r="E17" s="1"/>
      <x:c r="F17" s="1"/>
      <x:c r="G17" s="1"/>
      <x:c r="H17" s="1"/>
      <x:c r="I17" s="1"/>
      <x:c r="J17" s="1"/>
      <x:c r="K17" s="1"/>
    </x:row>
    <x:row r="18" ht="20" customHeight="1">
      <x:c r="A18" s="87" t="str">
        <x:v>    #"Unpivot year columns" = Table.UnpivotOtherColumns(#"Set column types", {"field"}, "Attribute", "Value"),</x:v>
      </x:c>
      <x:c r="B18" s="87"/>
      <x:c r="C18" s="87"/>
      <x:c r="D18" s="87"/>
      <x:c r="E18" s="1"/>
      <x:c r="F18" s="1"/>
      <x:c r="G18" s="1"/>
      <x:c r="H18" s="1"/>
      <x:c r="I18" s="1"/>
      <x:c r="J18" s="1"/>
      <x:c r="K18" s="1"/>
    </x:row>
    <x:row r="19" ht="20" customHeight="1">
      <x:c r="A19" s="87" t="str">
        <x:v>    #"Rename columns" = Table.RenameColumns(#"Unpivot year columns", {{"Attribute", "year"}, {"Value", "yield_bu_ac"}}),</x:v>
      </x:c>
      <x:c r="B19" s="87"/>
      <x:c r="C19" s="87"/>
      <x:c r="D19" s="87"/>
      <x:c r="E19" s="1"/>
      <x:c r="F19" s="1"/>
      <x:c r="G19" s="1"/>
      <x:c r="H19" s="1"/>
      <x:c r="I19" s="1"/>
      <x:c r="J19" s="1"/>
      <x:c r="K19" s="1"/>
    </x:row>
    <x:row r="20" ht="20" customHeight="1">
      <x:c r="A20" s="87" t="str">
        <x:v>    #"Extract numeric year" = Table.TransformColumns(#"Rename columns", {{"year", each Number.FromText(Text.AfterDelimiter(_, "_")), Int64.Type}})</x:v>
      </x:c>
      <x:c r="B20" s="87"/>
      <x:c r="C20" s="87"/>
      <x:c r="D20" s="87"/>
      <x:c r="E20" s="1"/>
      <x:c r="F20" s="1"/>
      <x:c r="G20" s="1"/>
      <x:c r="H20" s="1"/>
      <x:c r="I20" s="1"/>
      <x:c r="J20" s="1"/>
      <x:c r="K20" s="1"/>
    </x:row>
    <x:row r="21" ht="20" customHeight="1">
      <x:c r="A21" s="87" t="str">
        <x:v>in</x:v>
      </x:c>
      <x:c r="B21" s="87"/>
      <x:c r="C21" s="87"/>
      <x:c r="D21" s="87"/>
      <x:c r="E21" s="1"/>
      <x:c r="F21" s="1"/>
      <x:c r="G21" s="1"/>
      <x:c r="H21" s="1"/>
      <x:c r="I21" s="1"/>
      <x:c r="J21" s="1"/>
      <x:c r="K21" s="1"/>
    </x:row>
    <x:row r="22" ht="20" customHeight="1">
      <x:c r="A22" s="87" t="str">
        <x:v>    #"Extract numeric year"</x:v>
      </x:c>
      <x:c r="B22" s="87"/>
      <x:c r="C22" s="87"/>
      <x:c r="D22" s="87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5" customHeight="1">
      <x:c r="A24" s="17" t="str">
        <x:v>M code — MeanYieldByYear</x:v>
      </x:c>
      <x:c r="B24" s="18"/>
      <x:c r="C24" s="18"/>
      <x:c r="D24" s="19"/>
      <x:c r="E24" s="1"/>
      <x:c r="F24" s="1"/>
      <x:c r="G24" s="1"/>
      <x:c r="H24" s="1"/>
      <x:c r="I24" s="1"/>
      <x:c r="J24" s="1"/>
      <x:c r="K24" s="1"/>
    </x:row>
    <x:row r="25" ht="20" customHeight="1">
      <x:c r="A25" s="87" t="str">
        <x:v>let</x:v>
      </x:c>
      <x:c r="B25" s="87"/>
      <x:c r="C25" s="87"/>
      <x:c r="D25" s="87"/>
      <x:c r="E25" s="1"/>
      <x:c r="F25" s="1"/>
      <x:c r="G25" s="1"/>
      <x:c r="H25" s="1"/>
      <x:c r="I25" s="1"/>
      <x:c r="J25" s="1"/>
      <x:c r="K25" s="1"/>
    </x:row>
    <x:row r="26" ht="20" customHeight="1">
      <x:c r="A26" s="87" t="str">
        <x:v>    Source = CanolaYieldsLong,</x:v>
      </x:c>
      <x:c r="B26" s="87"/>
      <x:c r="C26" s="87"/>
      <x:c r="D26" s="87"/>
      <x:c r="E26" s="1"/>
      <x:c r="F26" s="1"/>
      <x:c r="G26" s="1"/>
      <x:c r="H26" s="1"/>
      <x:c r="I26" s="1"/>
      <x:c r="J26" s="1"/>
      <x:c r="K26" s="1"/>
    </x:row>
    <x:row r="27" ht="20" customHeight="1">
      <x:c r="A27" s="87" t="str">
        <x:v>    #"Mean yield by year" = Table.Group(Source, {"year"}, {{"mean_yield", each List.Average([yield_bu_ac]), type number}}),</x:v>
      </x:c>
      <x:c r="B27" s="87"/>
      <x:c r="C27" s="87"/>
      <x:c r="D27" s="87"/>
      <x:c r="E27" s="1"/>
      <x:c r="F27" s="1"/>
      <x:c r="G27" s="1"/>
      <x:c r="H27" s="1"/>
      <x:c r="I27" s="1"/>
      <x:c r="J27" s="1"/>
      <x:c r="K27" s="1"/>
    </x:row>
    <x:row r="28" ht="20" customHeight="1">
      <x:c r="A28" s="87" t="str">
        <x:v>    #"Sort best year first" = Table.Sort(#"Mean yield by year", {{"mean_yield", Order.Descending}})</x:v>
      </x:c>
      <x:c r="B28" s="87"/>
      <x:c r="C28" s="87"/>
      <x:c r="D28" s="87"/>
      <x:c r="E28" s="1"/>
      <x:c r="F28" s="1"/>
      <x:c r="G28" s="1"/>
      <x:c r="H28" s="1"/>
      <x:c r="I28" s="1"/>
      <x:c r="J28" s="1"/>
      <x:c r="K28" s="1"/>
    </x:row>
    <x:row r="29" ht="20" customHeight="1">
      <x:c r="A29" s="87" t="str">
        <x:v>in</x:v>
      </x:c>
      <x:c r="B29" s="87"/>
      <x:c r="C29" s="87"/>
      <x:c r="D29" s="87"/>
      <x:c r="E29" s="1"/>
      <x:c r="F29" s="1"/>
      <x:c r="G29" s="1"/>
      <x:c r="H29" s="1"/>
      <x:c r="I29" s="1"/>
      <x:c r="J29" s="1"/>
      <x:c r="K29" s="1"/>
    </x:row>
    <x:row r="30" ht="20" customHeight="1">
      <x:c r="A30" s="87" t="str">
        <x:v>    #"Sort best year first"</x:v>
      </x:c>
      <x:c r="B30" s="87"/>
      <x:c r="C30" s="87"/>
      <x:c r="D30" s="87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D1"/>
    <x:mergeCell ref="A2:D2"/>
    <x:mergeCell ref="A14:D14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4:D24"/>
    <x:mergeCell ref="A25:D25"/>
    <x:mergeCell ref="A26:D26"/>
    <x:mergeCell ref="A27:D27"/>
    <x:mergeCell ref="A28:D28"/>
    <x:mergeCell ref="A29:D29"/>
    <x:mergeCell ref="A30:D30"/>
  </x:mergeCells>
  <x:pageMargins left="0.7" right="0.7" top="0.75" bottom="0.75" header="0.3" footer="0.3"/>
</x:worksheet>
</file>