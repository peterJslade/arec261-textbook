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"/>
    </mc:Choice>
  </mc:AlternateContent>
  <xr:revisionPtr revIDLastSave="167" documentId="8_{90BDDC2B-06A7-3E4B-9CEF-08BC670C7BB1}" xr6:coauthVersionLast="47" xr6:coauthVersionMax="47" xr10:uidLastSave="{FB8A8782-7C46-9D44-A746-FE3D89140C5D}"/>
  <bookViews>
    <workbookView xWindow="0" yWindow="780" windowWidth="25800" windowHeight="20460" xr2:uid="{CEFF5260-15F5-3341-8604-A454612919C2}"/>
  </bookViews>
  <sheets>
    <sheet name="Sheet1" sheetId="1" r:id="rId1"/>
  </sheets>
  <definedNames>
    <definedName name="price">Sheet1!#REF!</definedName>
    <definedName name="Production">Sheet1!#REF!</definedName>
    <definedName name="Production2">Sheet1!$D$2:$D$10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" i="1" l="1"/>
  <c r="B11" i="1"/>
  <c r="C13" i="1"/>
  <c r="B13" i="1"/>
  <c r="E11" i="1"/>
  <c r="D11" i="1"/>
  <c r="E10" i="1"/>
  <c r="E9" i="1"/>
  <c r="E8" i="1"/>
  <c r="E7" i="1"/>
  <c r="E6" i="1"/>
  <c r="E5" i="1"/>
  <c r="E4" i="1"/>
  <c r="E3" i="1"/>
  <c r="E2" i="1"/>
  <c r="D7" i="1"/>
  <c r="D6" i="1"/>
  <c r="D10" i="1"/>
  <c r="D9" i="1"/>
  <c r="D8" i="1"/>
  <c r="D5" i="1"/>
  <c r="D4" i="1"/>
  <c r="D3" i="1"/>
  <c r="D2" i="1"/>
</calcChain>
</file>

<file path=xl/sharedStrings.xml><?xml version="1.0" encoding="utf-8"?>
<sst xmlns="http://schemas.openxmlformats.org/spreadsheetml/2006/main" count="18" uniqueCount="18">
  <si>
    <t>Variety</t>
  </si>
  <si>
    <t>Acres</t>
  </si>
  <si>
    <t>ALTORADO</t>
  </si>
  <si>
    <t>AUSTENSON CDC</t>
  </si>
  <si>
    <t>CERVEZA</t>
  </si>
  <si>
    <t>CHURCHILL CDC</t>
  </si>
  <si>
    <t>CONNECT AAC</t>
  </si>
  <si>
    <t>COPELAND CDC</t>
  </si>
  <si>
    <t>DURANGO CDC</t>
  </si>
  <si>
    <t>ESMA</t>
  </si>
  <si>
    <t>SYNERGY AAC</t>
  </si>
  <si>
    <t>Yield (bu/ac)</t>
  </si>
  <si>
    <t>Barley price</t>
  </si>
  <si>
    <t>Total production (bu)</t>
  </si>
  <si>
    <t>Revenue ($)</t>
  </si>
  <si>
    <t>Totals</t>
  </si>
  <si>
    <t>Average</t>
  </si>
  <si>
    <t>Weighted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</si>
</sst>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14AF-48AF-3748-9D71-C9332721118C}">
  <dimension ref="A1:E17"/>
  <sheetViews>
    <sheetView tabSelected="1" zoomScale="150" zoomScaleNormal="150" workbookViewId="0">
      <selection activeCell="B13" sqref="B13:C14"/>
    </sheetView>
  </sheetViews>
  <sheetFormatPr baseColWidth="10" defaultRowHeight="16" x14ac:dyDescent="0.2"/>
  <cols>
    <col min="1" max="1" width="20" customWidth="1"/>
    <col min="3" max="3" width="12.83203125" customWidth="1"/>
    <col min="4" max="4" width="17.33203125" customWidth="1"/>
    <col min="5" max="5" width="15.33203125" customWidth="1"/>
  </cols>
  <sheetData>
    <row r="1" spans="1:5" x14ac:dyDescent="0.2">
      <c r="A1" s="1" t="s">
        <v>0</v>
      </c>
      <c r="B1" s="1" t="s">
        <v>1</v>
      </c>
      <c r="C1" s="1" t="s">
        <v>11</v>
      </c>
      <c r="D1" s="1" t="s">
        <v>13</v>
      </c>
      <c r="E1" s="1" t="s">
        <v>14</v>
      </c>
    </row>
    <row r="2" spans="1:5" x14ac:dyDescent="0.2">
      <c r="A2" t="s">
        <v>2</v>
      </c>
      <c r="B2">
        <v>780</v>
      </c>
      <c r="C2">
        <v>77.2</v>
      </c>
      <c r="D2">
        <f>B2*C2</f>
        <v>60216</v>
      </c>
      <c r="E2" s="2">
        <f>D2*$B$17</f>
        <v>331188</v>
      </c>
    </row>
    <row r="3" spans="1:5" x14ac:dyDescent="0.2">
      <c r="A3" t="s">
        <v>3</v>
      </c>
      <c r="B3">
        <v>3212</v>
      </c>
      <c r="C3">
        <v>86.9</v>
      </c>
      <c r="D3">
        <f t="shared" ref="D3:D10" si="0">B3*C3</f>
        <v>279122.80000000005</v>
      </c>
      <c r="E3" s="2">
        <f t="shared" ref="E3:E11" si="1">D3*$B$17</f>
        <v>1535175.4000000004</v>
      </c>
    </row>
    <row r="4" spans="1:5" x14ac:dyDescent="0.2">
      <c r="A4" t="s">
        <v>4</v>
      </c>
      <c r="B4">
        <v>1998</v>
      </c>
      <c r="C4">
        <v>97.5</v>
      </c>
      <c r="D4">
        <f t="shared" si="0"/>
        <v>194805</v>
      </c>
      <c r="E4" s="2">
        <f t="shared" si="1"/>
        <v>1071427.5</v>
      </c>
    </row>
    <row r="5" spans="1:5" x14ac:dyDescent="0.2">
      <c r="A5" t="s">
        <v>5</v>
      </c>
      <c r="B5">
        <v>2029</v>
      </c>
      <c r="C5">
        <v>102.5</v>
      </c>
      <c r="D5">
        <f t="shared" si="0"/>
        <v>207972.5</v>
      </c>
      <c r="E5" s="2">
        <f t="shared" si="1"/>
        <v>1143848.75</v>
      </c>
    </row>
    <row r="6" spans="1:5" x14ac:dyDescent="0.2">
      <c r="A6" t="s">
        <v>6</v>
      </c>
      <c r="B6">
        <v>4004</v>
      </c>
      <c r="C6">
        <v>87.5</v>
      </c>
      <c r="D6">
        <f>B6*C6</f>
        <v>350350</v>
      </c>
      <c r="E6" s="2">
        <f t="shared" si="1"/>
        <v>1926925</v>
      </c>
    </row>
    <row r="7" spans="1:5" x14ac:dyDescent="0.2">
      <c r="A7" t="s">
        <v>7</v>
      </c>
      <c r="B7">
        <v>7850</v>
      </c>
      <c r="C7">
        <v>95.9</v>
      </c>
      <c r="D7">
        <f>B7*C7</f>
        <v>752815</v>
      </c>
      <c r="E7" s="2">
        <f t="shared" si="1"/>
        <v>4140482.5</v>
      </c>
    </row>
    <row r="8" spans="1:5" x14ac:dyDescent="0.2">
      <c r="A8" t="s">
        <v>8</v>
      </c>
      <c r="B8">
        <v>1178</v>
      </c>
      <c r="C8">
        <v>92.8</v>
      </c>
      <c r="D8">
        <f t="shared" si="0"/>
        <v>109318.39999999999</v>
      </c>
      <c r="E8" s="2">
        <f t="shared" si="1"/>
        <v>601251.19999999995</v>
      </c>
    </row>
    <row r="9" spans="1:5" x14ac:dyDescent="0.2">
      <c r="A9" t="s">
        <v>9</v>
      </c>
      <c r="B9">
        <v>1236</v>
      </c>
      <c r="C9">
        <v>87.9</v>
      </c>
      <c r="D9">
        <f t="shared" si="0"/>
        <v>108644.40000000001</v>
      </c>
      <c r="E9" s="2">
        <f t="shared" si="1"/>
        <v>597544.20000000007</v>
      </c>
    </row>
    <row r="10" spans="1:5" x14ac:dyDescent="0.2">
      <c r="A10" t="s">
        <v>10</v>
      </c>
      <c r="B10">
        <v>9243</v>
      </c>
      <c r="C10">
        <v>89.1</v>
      </c>
      <c r="D10">
        <f t="shared" si="0"/>
        <v>823551.29999999993</v>
      </c>
      <c r="E10" s="2">
        <f t="shared" si="1"/>
        <v>4529532.1499999994</v>
      </c>
    </row>
    <row r="11" spans="1:5" x14ac:dyDescent="0.2">
      <c r="A11" s="3" t="s">
        <v>15</v>
      </c>
      <c r="B11" s="3">
        <f>SUM(B2:B10)</f>
        <v>31530</v>
      </c>
      <c r="C11" s="3"/>
      <c r="D11" s="3">
        <f>D2+D3+D4+D5+D6+D7+D8+D9+D10</f>
        <v>2886795.4</v>
      </c>
      <c r="E11" s="2">
        <f t="shared" si="1"/>
        <v>15877374.699999999</v>
      </c>
    </row>
    <row r="13" spans="1:5" x14ac:dyDescent="0.2">
      <c r="A13" t="s">
        <v>16</v>
      </c>
      <c r="B13">
        <f>SUM(B2:B10)/9</f>
        <v>3503.3333333333335</v>
      </c>
      <c r="C13">
        <f>AVERAGE(C2:C10)</f>
        <v>90.811111111111103</v>
      </c>
    </row>
    <row r="14" spans="1:5" x14ac:dyDescent="0.2">
      <c r="A14" t="s">
        <v>17</v>
      </c>
      <c r="C14">
        <f>D11/B11</f>
        <v>91.557101173485563</v>
      </c>
    </row>
    <row r="17" spans="1:2" x14ac:dyDescent="0.2">
      <c r="A17" t="s">
        <v>12</v>
      </c>
      <c r="B17" s="2">
        <v>5.5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Production2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2026-08-14T22:09:16Z</dcterms:created>
  <dcterms:modified xsi:type="dcterms:W3CDTF">2026-08-15T01:06:00Z</dcterms:modified>
</cp:coreProperties>
</file>