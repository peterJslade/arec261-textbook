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pjs998_usask_ca/Documents/Teaching/261/2026/textbook_261/"/>
    </mc:Choice>
  </mc:AlternateContent>
  <xr:revisionPtr revIDLastSave="81" documentId="8_{90BDDC2B-06A7-3E4B-9CEF-08BC670C7BB1}" xr6:coauthVersionLast="47" xr6:coauthVersionMax="47" xr10:uidLastSave="{EA64C25B-226C-0D4E-A94C-C66047F01016}"/>
  <bookViews>
    <workbookView xWindow="5580" yWindow="2380" windowWidth="27640" windowHeight="16680" xr2:uid="{CEFF5260-15F5-3341-8604-A454612919C2}"/>
  </bookViews>
  <sheets>
    <sheet name="Sheet1" sheetId="1" r:id="rId1"/>
  </sheets>
  <definedNames>
    <definedName name="price">Sheet1!$B$14</definedName>
    <definedName name="Production">Sheet1!$D$2:$D$10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" i="1" l="1"/>
  <c r="D13" i="1"/>
  <c r="E12" i="1"/>
  <c r="D12" i="1"/>
  <c r="D11" i="1"/>
  <c r="E10" i="1"/>
  <c r="D10" i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E2" i="1" l="1"/>
</calcChain>
</file>

<file path=xl/sharedStrings.xml><?xml version="1.0" encoding="utf-8"?>
<sst xmlns="http://schemas.openxmlformats.org/spreadsheetml/2006/main" count="16" uniqueCount="16">
  <si>
    <t>Variety</t>
  </si>
  <si>
    <t>Acres</t>
  </si>
  <si>
    <t>ALTORADO</t>
  </si>
  <si>
    <t>AUSTENSON CDC</t>
  </si>
  <si>
    <t>CERVEZA</t>
  </si>
  <si>
    <t>CHURCHILL CDC</t>
  </si>
  <si>
    <t>CONNECT AAC</t>
  </si>
  <si>
    <t>COPELAND CDC</t>
  </si>
  <si>
    <t>DURANGO CDC</t>
  </si>
  <si>
    <t>ESMA</t>
  </si>
  <si>
    <t>SYNERGY AAC</t>
  </si>
  <si>
    <t>Yield (bu/ac)</t>
  </si>
  <si>
    <t>Production</t>
  </si>
  <si>
    <t>Revenue</t>
  </si>
  <si>
    <t>Barley price</t>
  </si>
  <si>
    <t>Total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</si>
</sst>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14AF-48AF-3748-9D71-C9332721118C}">
  <dimension ref="A1:E14"/>
  <sheetViews>
    <sheetView tabSelected="1" workbookViewId="0">
      <selection activeCell="D13" sqref="D13"/>
    </sheetView>
  </sheetViews>
  <sheetFormatPr baseColWidth="10" defaultRowHeight="16" x14ac:dyDescent="0.2"/>
  <cols>
    <col min="1" max="1" width="20" customWidth="1"/>
    <col min="3" max="3" width="12.83203125" customWidth="1"/>
  </cols>
  <sheetData>
    <row r="1" spans="1:5" x14ac:dyDescent="0.2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</row>
    <row r="2" spans="1:5" x14ac:dyDescent="0.2">
      <c r="A2" t="s">
        <v>2</v>
      </c>
      <c r="B2">
        <v>780</v>
      </c>
      <c r="C2">
        <v>77.2</v>
      </c>
      <c r="D2">
        <f>B2*C2</f>
        <v>60216</v>
      </c>
      <c r="E2">
        <f>D2*price</f>
        <v>331188</v>
      </c>
    </row>
    <row r="3" spans="1:5" x14ac:dyDescent="0.2">
      <c r="A3" t="s">
        <v>3</v>
      </c>
      <c r="B3">
        <v>3212</v>
      </c>
      <c r="C3">
        <v>86.9</v>
      </c>
      <c r="D3">
        <f t="shared" ref="D3:D10" si="0">B3*C3</f>
        <v>279122.80000000005</v>
      </c>
      <c r="E3">
        <f>D3*price</f>
        <v>1535175.4000000004</v>
      </c>
    </row>
    <row r="4" spans="1:5" x14ac:dyDescent="0.2">
      <c r="A4" t="s">
        <v>4</v>
      </c>
      <c r="B4">
        <v>1998</v>
      </c>
      <c r="C4">
        <v>97.5</v>
      </c>
      <c r="D4">
        <f t="shared" si="0"/>
        <v>194805</v>
      </c>
      <c r="E4">
        <f>D4*price</f>
        <v>1071427.5</v>
      </c>
    </row>
    <row r="5" spans="1:5" x14ac:dyDescent="0.2">
      <c r="A5" t="s">
        <v>5</v>
      </c>
      <c r="B5">
        <v>2029</v>
      </c>
      <c r="C5">
        <v>102.5</v>
      </c>
      <c r="D5">
        <f t="shared" si="0"/>
        <v>207972.5</v>
      </c>
      <c r="E5">
        <f>D5*price</f>
        <v>1143848.75</v>
      </c>
    </row>
    <row r="6" spans="1:5" x14ac:dyDescent="0.2">
      <c r="A6" t="s">
        <v>6</v>
      </c>
      <c r="B6">
        <v>4004</v>
      </c>
      <c r="C6">
        <v>87.5</v>
      </c>
      <c r="D6">
        <f t="shared" si="0"/>
        <v>350350</v>
      </c>
      <c r="E6">
        <f>D6*price</f>
        <v>1926925</v>
      </c>
    </row>
    <row r="7" spans="1:5" x14ac:dyDescent="0.2">
      <c r="A7" t="s">
        <v>7</v>
      </c>
      <c r="B7">
        <v>7850</v>
      </c>
      <c r="C7">
        <v>95.9</v>
      </c>
      <c r="D7">
        <f t="shared" si="0"/>
        <v>752815</v>
      </c>
      <c r="E7">
        <f>D7*price</f>
        <v>4140482.5</v>
      </c>
    </row>
    <row r="8" spans="1:5" x14ac:dyDescent="0.2">
      <c r="A8" t="s">
        <v>8</v>
      </c>
      <c r="B8">
        <v>1178</v>
      </c>
      <c r="C8">
        <v>92.8</v>
      </c>
      <c r="D8">
        <f t="shared" si="0"/>
        <v>109318.39999999999</v>
      </c>
      <c r="E8">
        <f>D8*price</f>
        <v>601251.19999999995</v>
      </c>
    </row>
    <row r="9" spans="1:5" x14ac:dyDescent="0.2">
      <c r="A9" t="s">
        <v>9</v>
      </c>
      <c r="B9">
        <v>1236</v>
      </c>
      <c r="C9">
        <v>87.9</v>
      </c>
      <c r="D9">
        <f t="shared" si="0"/>
        <v>108644.40000000001</v>
      </c>
      <c r="E9">
        <f>D9*price</f>
        <v>597544.20000000007</v>
      </c>
    </row>
    <row r="10" spans="1:5" x14ac:dyDescent="0.2">
      <c r="A10" t="s">
        <v>10</v>
      </c>
      <c r="B10">
        <v>9243</v>
      </c>
      <c r="C10">
        <v>89.1</v>
      </c>
      <c r="D10">
        <f t="shared" si="0"/>
        <v>823551.29999999993</v>
      </c>
      <c r="E10">
        <f>D10*price</f>
        <v>4529532.1499999994</v>
      </c>
    </row>
    <row r="11" spans="1:5" x14ac:dyDescent="0.2">
      <c r="A11" t="s">
        <v>15</v>
      </c>
      <c r="D11">
        <f>D2+D3+D4+D5+D6+D7+D8+D9+D10</f>
        <v>2886795.4</v>
      </c>
    </row>
    <row r="12" spans="1:5" x14ac:dyDescent="0.2">
      <c r="D12">
        <f>SUM(D2:D10)</f>
        <v>2886795.4</v>
      </c>
      <c r="E12">
        <f>SUM(E2:E10)</f>
        <v>15877374.699999999</v>
      </c>
    </row>
    <row r="13" spans="1:5" x14ac:dyDescent="0.2">
      <c r="D13">
        <f>SUM(Production)</f>
        <v>2886795.4</v>
      </c>
      <c r="E13">
        <f>SUM(Production)</f>
        <v>2886795.4</v>
      </c>
    </row>
    <row r="14" spans="1:5" x14ac:dyDescent="0.2">
      <c r="A14" s="2" t="s">
        <v>14</v>
      </c>
      <c r="B14" s="2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price</vt:lpstr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Slade, Peter</dc:creator>
  <cp:lastModifiedBy>Slade, Peter</cp:lastModifiedBy>
  <dcterms:created xsi:type="dcterms:W3CDTF">2026-08-14T22:09:16Z</dcterms:created>
  <dcterms:modified xsi:type="dcterms:W3CDTF">2026-08-14T22:25:35Z</dcterms:modified>
</cp:coreProperties>
</file>