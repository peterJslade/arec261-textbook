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sw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-MMM-YY"/>
    <numFmt numFmtId="166" formatCode="0.0"/>
  </numFmts>
  <fonts count="8">
    <font>
      <name val="Calibri"/>
      <family val="2"/>
      <color theme="1"/>
      <sz val="11"/>
      <scheme val="minor"/>
    </font>
    <font>
      <name val="Arial"/>
      <b val="1"/>
      <color rgb="004A7C59"/>
      <sz val="13"/>
    </font>
    <font>
      <name val="Arial"/>
      <color rgb="005C6B62"/>
      <sz val="10"/>
    </font>
    <font>
      <name val="Arial"/>
      <b val="1"/>
      <color rgb="00FFFFFF"/>
      <sz val="11"/>
    </font>
    <font>
      <name val="Arial"/>
      <color rgb="0024302A"/>
      <sz val="10"/>
    </font>
    <font>
      <name val="Consolas"/>
      <color rgb="002F5D46"/>
      <sz val="9"/>
    </font>
    <font>
      <name val="Arial"/>
      <b val="1"/>
      <color rgb="0024302A"/>
      <sz val="10"/>
    </font>
    <font>
      <name val="Arial"/>
      <color rgb="005C6B62"/>
      <sz val="9"/>
    </font>
  </fonts>
  <fills count="4">
    <fill>
      <patternFill/>
    </fill>
    <fill>
      <patternFill patternType="gray125"/>
    </fill>
    <fill>
      <patternFill patternType="solid">
        <fgColor rgb="004A7C59"/>
      </patternFill>
    </fill>
    <fill>
      <patternFill patternType="solid">
        <fgColor rgb="00F6EF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165" fontId="4" fillId="0" borderId="0" applyAlignment="1" pivotButton="0" quotePrefix="0" xfId="0">
      <alignment horizontal="center"/>
    </xf>
    <xf numFmtId="166" fontId="4" fillId="0" borderId="0" applyAlignment="1" pivotButton="0" quotePrefix="0" xfId="0">
      <alignment horizontal="center"/>
    </xf>
    <xf numFmtId="3" fontId="4" fillId="3" borderId="0" applyAlignment="1" pivotButton="0" quotePrefix="0" xfId="0">
      <alignment horizontal="center"/>
    </xf>
    <xf numFmtId="0" fontId="5" fillId="0" borderId="0" pivotButton="0" quotePrefix="0" xfId="0"/>
    <xf numFmtId="0" fontId="6" fillId="0" borderId="0" pivotButton="0" quotePrefix="0" xfId="0"/>
    <xf numFmtId="166" fontId="4" fillId="3" borderId="0" applyAlignment="1" pivotButton="0" quotePrefix="0" xfId="0">
      <alignment horizontal="center"/>
    </xf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7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20" customWidth="1" min="3" max="3"/>
    <col width="26" customWidth="1" min="4" max="4"/>
  </cols>
  <sheetData>
    <row r="1" ht="18" customHeight="1">
      <c r="A1" s="1" t="inlineStr">
        <is>
          <t>Dates are numbers wearing a format</t>
        </is>
      </c>
    </row>
    <row r="2" ht="32" customHeight="1">
      <c r="A2" s="2" t="inlineStr">
        <is>
          <t>Real dates sit right-aligned and can be subtracted. Format one as General and the serial number underneath is visible.</t>
        </is>
      </c>
    </row>
    <row r="3" ht="18" customHeight="1"/>
    <row r="4" ht="18" customHeight="1">
      <c r="A4" s="3" t="inlineStr">
        <is>
          <t>Date</t>
        </is>
      </c>
      <c r="B4" s="4" t="inlineStr">
        <is>
          <t>Tonnes</t>
        </is>
      </c>
      <c r="C4" s="4" t="inlineStr">
        <is>
          <t>Days since previous</t>
        </is>
      </c>
      <c r="D4" s="4" t="inlineStr">
        <is>
          <t>The formula in C</t>
        </is>
      </c>
    </row>
    <row r="5" ht="18" customHeight="1">
      <c r="A5" s="5" t="n">
        <v>46261</v>
      </c>
      <c r="B5" s="6" t="n">
        <v>51.4</v>
      </c>
    </row>
    <row r="6" ht="18" customHeight="1">
      <c r="A6" s="5" t="n">
        <v>46269</v>
      </c>
      <c r="B6" s="6" t="n">
        <v>46.9</v>
      </c>
      <c r="C6" s="7">
        <f>A6-A5</f>
        <v/>
      </c>
      <c r="D6" s="8">
        <f>_xlfn.FORMULATEXT(C6)</f>
        <v/>
      </c>
    </row>
    <row r="7" ht="18" customHeight="1">
      <c r="A7" s="5" t="n">
        <v>46276</v>
      </c>
      <c r="B7" s="6" t="n">
        <v>58.3</v>
      </c>
      <c r="C7" s="7">
        <f>A7-A6</f>
        <v/>
      </c>
      <c r="D7" s="8">
        <f>_xlfn.FORMULATEXT(C7)</f>
        <v/>
      </c>
    </row>
    <row r="8" ht="18" customHeight="1">
      <c r="A8" s="5" t="n">
        <v>46290</v>
      </c>
      <c r="B8" s="6" t="n">
        <v>44.2</v>
      </c>
      <c r="C8" s="7">
        <f>A8-A7</f>
        <v/>
      </c>
      <c r="D8" s="8">
        <f>_xlfn.FORMULATEXT(C8)</f>
        <v/>
      </c>
    </row>
    <row r="9" ht="18" customHeight="1">
      <c r="A9" s="5" t="n">
        <v>46301</v>
      </c>
      <c r="B9" s="6" t="n">
        <v>53.7</v>
      </c>
      <c r="C9" s="7">
        <f>A9-A8</f>
        <v/>
      </c>
      <c r="D9" s="8">
        <f>_xlfn.FORMULATEXT(C9)</f>
        <v/>
      </c>
    </row>
    <row r="10" ht="18" customHeight="1"/>
    <row r="11" ht="18" customHeight="1">
      <c r="A11" s="9" t="inlineStr">
        <is>
          <t>Span, first to last</t>
        </is>
      </c>
      <c r="C11" s="7">
        <f>A9-A5</f>
        <v/>
      </c>
      <c r="D11" s="8">
        <f>_xlfn.FORMULATEXT(C11)</f>
        <v/>
      </c>
    </row>
    <row r="12" ht="18" customHeight="1">
      <c r="A12" s="9" t="inlineStr">
        <is>
          <t>Total tonnes</t>
        </is>
      </c>
      <c r="C12" s="10">
        <f>SUM(B5:B9)</f>
        <v/>
      </c>
      <c r="D12" s="8">
        <f>_xlfn.FORMULATEXT(C12)</f>
        <v/>
      </c>
    </row>
    <row r="13" ht="18" customHeight="1">
      <c r="A13" s="9" t="inlineStr">
        <is>
          <t>Average load</t>
        </is>
      </c>
      <c r="C13" s="10">
        <f>AVERAGE(B5:B9)</f>
        <v/>
      </c>
      <c r="D13" s="8">
        <f>_xlfn.FORMULATEXT(C13)</f>
        <v/>
      </c>
    </row>
    <row r="14" ht="18" customHeight="1"/>
    <row r="15" ht="18" customHeight="1">
      <c r="A15" s="9" t="inlineStr">
        <is>
          <t>The first date as a plain number</t>
        </is>
      </c>
      <c r="C15" s="7">
        <f>A5</f>
        <v/>
      </c>
    </row>
    <row r="16" ht="18" customHeight="1"/>
    <row r="17" ht="30" customHeight="1">
      <c r="A17" s="11" t="inlineStr">
        <is>
          <t>46,261 -- days since 30 December 1899. If the dates had arrived as text they would sit left in their cells and the Days column would return #VALUE!, because text cannot be subtracted.</t>
        </is>
      </c>
    </row>
    <row r="18" ht="18" customHeight="1"/>
  </sheetData>
  <mergeCells count="2">
    <mergeCell ref="A2:F2"/>
    <mergeCell ref="A17:D1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2026-08-20T23:28:38Z</dcterms:created>
  <dcterms:modified xsi:type="dcterms:W3CDTF">2026-08-20T23:28:38Z</dcterms:modified>
</cp:coreProperties>
</file>