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3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2" customWidth="1" min="3" max="3"/>
    <col width="3" customWidth="1" min="4" max="4"/>
    <col width="8" customWidth="1" min="5" max="5"/>
    <col width="13" customWidth="1" min="6" max="6"/>
    <col width="12" customWidth="1" min="7" max="7"/>
    <col width="10" customWidth="1" min="8" max="8"/>
  </cols>
  <sheetData>
    <row r="1">
      <c r="A1" s="1" t="inlineStr">
        <is>
          <t>Ontario -- Canola</t>
        </is>
      </c>
      <c r="E1" s="1" t="inlineStr">
        <is>
          <t>Saskatchewan -- Canola</t>
        </is>
      </c>
    </row>
    <row r="2">
      <c r="A2" s="1" t="inlineStr">
        <is>
          <t>Year</t>
        </is>
      </c>
      <c r="B2" s="1" t="inlineStr">
        <is>
          <t>Seeded_acres</t>
        </is>
      </c>
      <c r="C2" s="1" t="inlineStr">
        <is>
          <t>Yield_bu_ac</t>
        </is>
      </c>
      <c r="E2" s="1" t="inlineStr">
        <is>
          <t>Year</t>
        </is>
      </c>
      <c r="F2" s="1" t="inlineStr">
        <is>
          <t>Seeded_acres</t>
        </is>
      </c>
      <c r="G2" s="1" t="inlineStr">
        <is>
          <t>Yield_bu_ac</t>
        </is>
      </c>
    </row>
    <row r="3">
      <c r="A3" t="n">
        <v>2015</v>
      </c>
      <c r="B3" s="2" t="n">
        <v>35000</v>
      </c>
      <c r="C3" s="3" t="n">
        <v>42.9</v>
      </c>
      <c r="E3" t="n">
        <v>2015</v>
      </c>
      <c r="F3" s="2" t="n">
        <v>11150000</v>
      </c>
      <c r="G3" s="3" t="n">
        <v>37.9</v>
      </c>
    </row>
    <row r="4">
      <c r="A4" t="n">
        <v>2016</v>
      </c>
      <c r="B4" s="2" t="n">
        <v>39500</v>
      </c>
      <c r="C4" s="3" t="n">
        <v>41.9</v>
      </c>
      <c r="E4" t="n">
        <v>2016</v>
      </c>
      <c r="F4" s="2" t="n">
        <v>11250000</v>
      </c>
      <c r="G4" s="3" t="n">
        <v>42.1</v>
      </c>
    </row>
    <row r="5">
      <c r="A5" t="n">
        <v>2017</v>
      </c>
      <c r="B5" s="2" t="n">
        <v>45000</v>
      </c>
      <c r="C5" s="3" t="n">
        <v>46.5</v>
      </c>
      <c r="E5" t="n">
        <v>2017</v>
      </c>
      <c r="F5" s="2" t="n">
        <v>12730000</v>
      </c>
      <c r="G5" s="3" t="n">
        <v>39.3</v>
      </c>
    </row>
    <row r="6">
      <c r="A6" t="n">
        <v>2018</v>
      </c>
      <c r="B6" s="2" t="n">
        <v>63000</v>
      </c>
      <c r="C6" s="3" t="n">
        <v>47.1</v>
      </c>
      <c r="E6" t="n">
        <v>2018</v>
      </c>
      <c r="F6" s="2" t="n">
        <v>12350000</v>
      </c>
      <c r="G6" s="3" t="n">
        <v>40.7</v>
      </c>
    </row>
    <row r="7">
      <c r="A7" t="n">
        <v>2019</v>
      </c>
      <c r="B7" s="2" t="n">
        <v>46600</v>
      </c>
      <c r="C7" s="3" t="n">
        <v>43.2</v>
      </c>
      <c r="E7" t="n">
        <v>2019</v>
      </c>
      <c r="F7" s="2" t="n">
        <v>11775000</v>
      </c>
      <c r="G7" s="3" t="n">
        <v>42.8</v>
      </c>
    </row>
    <row r="8">
      <c r="A8" t="n">
        <v>2020</v>
      </c>
      <c r="B8" s="2" t="n">
        <v>32400</v>
      </c>
      <c r="C8" s="3" t="n">
        <v>45.9</v>
      </c>
      <c r="E8" t="n">
        <v>2020</v>
      </c>
      <c r="F8" s="2" t="n">
        <v>11339200</v>
      </c>
      <c r="G8" s="3" t="n">
        <v>42.7</v>
      </c>
    </row>
    <row r="9">
      <c r="A9" t="n">
        <v>2021</v>
      </c>
      <c r="B9" s="2" t="n">
        <v>43079</v>
      </c>
      <c r="C9" s="3" t="n">
        <v>43</v>
      </c>
      <c r="E9" t="n">
        <v>2021</v>
      </c>
      <c r="F9" s="2" t="n">
        <v>11980413</v>
      </c>
      <c r="G9" s="3" t="n">
        <v>25.8</v>
      </c>
    </row>
    <row r="10">
      <c r="A10" t="n">
        <v>2022</v>
      </c>
      <c r="B10" s="2" t="n">
        <v>56200</v>
      </c>
      <c r="C10" s="3" t="n">
        <v>50.9</v>
      </c>
      <c r="E10" t="n">
        <v>2022</v>
      </c>
      <c r="F10" s="2" t="n">
        <v>11393800</v>
      </c>
      <c r="G10" s="3" t="n">
        <v>38.6</v>
      </c>
    </row>
    <row r="11">
      <c r="A11" t="n">
        <v>2023</v>
      </c>
      <c r="B11" s="2" t="n">
        <v>45100</v>
      </c>
      <c r="C11" s="3" t="n">
        <v>53.4</v>
      </c>
      <c r="E11" t="n">
        <v>2023</v>
      </c>
      <c r="F11" s="2" t="n">
        <v>12400400</v>
      </c>
      <c r="G11" s="3" t="n">
        <v>37.4</v>
      </c>
    </row>
    <row r="12">
      <c r="A12" t="n">
        <v>2024</v>
      </c>
      <c r="B12" s="2" t="n">
        <v>56400</v>
      </c>
      <c r="C12" s="3" t="n">
        <v>49.3</v>
      </c>
      <c r="E12" t="n">
        <v>2024</v>
      </c>
      <c r="F12" s="2" t="n">
        <v>12085600</v>
      </c>
      <c r="G12" s="3" t="n">
        <v>38.3</v>
      </c>
    </row>
    <row r="13">
      <c r="A13" t="n">
        <v>2025</v>
      </c>
      <c r="B13" s="2" t="n">
        <v>56500</v>
      </c>
      <c r="C13" s="3" t="n">
        <v>49.8</v>
      </c>
      <c r="E13" t="n">
        <v>2025</v>
      </c>
      <c r="F13" s="2" t="n">
        <v>12187400</v>
      </c>
      <c r="G13" s="3" t="n">
        <v>44.4</v>
      </c>
    </row>
    <row r="15">
      <c r="A15" s="4" t="inlineStr">
        <is>
          <t>Ontario -- mean canola yield</t>
        </is>
      </c>
      <c r="B15" s="5">
        <f>AVERAGE(C3:C13)</f>
        <v/>
      </c>
    </row>
    <row r="16">
      <c r="A16" s="4" t="inlineStr">
        <is>
          <t>Saskatchewan -- mean canola yield</t>
        </is>
      </c>
      <c r="B16" s="5">
        <f>AVERAGE(G3:G13)</f>
        <v/>
      </c>
    </row>
    <row r="17">
      <c r="A17" s="6" t="inlineStr">
        <is>
          <t>Difference (ON - SK)</t>
        </is>
      </c>
      <c r="B17" s="7">
        <f>B15-B16</f>
        <v/>
      </c>
    </row>
    <row r="18">
      <c r="A18" s="8" t="inlineStr">
        <is>
          <t>Ontario has the higher average canola yield per acre, by roughly 7 to 8 bu/ac.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9" t="inlineStr">
        <is>
          <t>Yield is per-acre performance only -- judging total output needs the Seeded_acres column, because a lower-yield province with far more acres can grow much more canola in total.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3">
      <c r="A23" s="11" t="inlineStr">
        <is>
          <t>Ontario -- mean seeded acres</t>
        </is>
      </c>
      <c r="B23" s="12">
        <f>AVERAGE(B3:B13)</f>
        <v/>
      </c>
    </row>
    <row r="24">
      <c r="A24" s="11" t="inlineStr">
        <is>
          <t>Saskatchewan -- mean seeded acres</t>
        </is>
      </c>
      <c r="B24" s="12">
        <f>AVERAGE(F3:F13)</f>
        <v/>
      </c>
    </row>
    <row r="25">
      <c r="A25" s="13" t="inlineStr">
        <is>
          <t>Saskatchewan seeds close to 12 million canola acres a year against Ontario's roughly 47 thousand -- so Saskatchewan produces far more canola overall despite the lower yield per acre.</t>
        </is>
      </c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8">
      <c r="A28" s="14" t="inlineStr">
        <is>
          <t>A rate (bu/ac) measures efficiency per unit of land; a total (production) multiplies the rate by acres -- the two can rank provinces in opposite orders.</t>
        </is>
      </c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1">
      <c r="A31" s="4" t="inlineStr">
        <is>
          <t>Part (a)</t>
        </is>
      </c>
    </row>
    <row r="32">
      <c r="A32" s="6" t="inlineStr">
        <is>
          <t>Part (b)</t>
        </is>
      </c>
    </row>
    <row r="33">
      <c r="A33" s="10" t="inlineStr">
        <is>
          <t>Part (c)</t>
        </is>
      </c>
    </row>
    <row r="34">
      <c r="A34" s="11" t="inlineStr">
        <is>
          <t>Part (d)</t>
        </is>
      </c>
    </row>
    <row r="35">
      <c r="A35" s="15" t="inlineStr">
        <is>
          <t>Part (e)</t>
        </is>
      </c>
    </row>
  </sheetData>
  <mergeCells count="4">
    <mergeCell ref="A25:H26"/>
    <mergeCell ref="A28:H29"/>
    <mergeCell ref="A18:H19"/>
    <mergeCell ref="A20:H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