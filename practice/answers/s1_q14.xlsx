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165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9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Crop</t>
        </is>
      </c>
      <c r="B1" s="1" t="inlineStr">
        <is>
          <t>2025 (bu/ac)</t>
        </is>
      </c>
      <c r="C1" s="1" t="inlineStr">
        <is>
          <t>2026 (bu/ac)</t>
        </is>
      </c>
      <c r="D1" s="2" t="inlineStr">
        <is>
          <t>Change</t>
        </is>
      </c>
      <c r="E1" s="2" t="inlineStr">
        <is>
          <t>% change</t>
        </is>
      </c>
    </row>
    <row r="2">
      <c r="A2" t="inlineStr">
        <is>
          <t>Canola</t>
        </is>
      </c>
      <c r="B2" s="3" t="n">
        <v>38.4</v>
      </c>
      <c r="C2" s="3" t="n">
        <v>41.2</v>
      </c>
      <c r="D2" s="4">
        <f>C2-B2</f>
        <v/>
      </c>
      <c r="E2" s="5">
        <f>(C2-B2)/B2</f>
        <v/>
      </c>
    </row>
    <row r="3">
      <c r="A3" t="inlineStr">
        <is>
          <t>Wheat</t>
        </is>
      </c>
      <c r="B3" s="3" t="n">
        <v>52.1</v>
      </c>
      <c r="C3" s="3" t="n">
        <v>58.6</v>
      </c>
      <c r="D3" s="4">
        <f>C3-B3</f>
        <v/>
      </c>
      <c r="E3" s="5">
        <f>(C3-B3)/B3</f>
        <v/>
      </c>
    </row>
    <row r="4">
      <c r="A4" t="inlineStr">
        <is>
          <t>Barley</t>
        </is>
      </c>
      <c r="B4" s="3" t="n">
        <v>66.8</v>
      </c>
      <c r="C4" s="3" t="n">
        <v>72.40000000000001</v>
      </c>
      <c r="D4" s="4">
        <f>C4-B4</f>
        <v/>
      </c>
      <c r="E4" s="5">
        <f>(C4-B4)/B4</f>
        <v/>
      </c>
    </row>
    <row r="5">
      <c r="A5" t="inlineStr">
        <is>
          <t>Oats</t>
        </is>
      </c>
      <c r="B5" s="3" t="n">
        <v>71.3</v>
      </c>
      <c r="C5" s="3" t="n">
        <v>68.90000000000001</v>
      </c>
      <c r="D5" s="4">
        <f>C5-B5</f>
        <v/>
      </c>
      <c r="E5" s="5">
        <f>(C5-B5)/B5</f>
        <v/>
      </c>
    </row>
    <row r="6">
      <c r="A6" t="inlineStr">
        <is>
          <t>Peas</t>
        </is>
      </c>
      <c r="B6" s="3" t="n">
        <v>34.6</v>
      </c>
      <c r="C6" s="3" t="n">
        <v>37.1</v>
      </c>
      <c r="D6" s="4">
        <f>C6-B6</f>
        <v/>
      </c>
      <c r="E6" s="5">
        <f>(C6-B6)/B6</f>
        <v/>
      </c>
    </row>
    <row r="8">
      <c r="A8" s="6" t="inlineStr">
        <is>
          <t>Largest % gain</t>
        </is>
      </c>
      <c r="B8" s="6" t="inlineStr">
        <is>
          <t>Wheat (+12.5%)</t>
        </is>
      </c>
    </row>
    <row r="9">
      <c r="A9" s="6" t="inlineStr">
        <is>
          <t>Fell</t>
        </is>
      </c>
      <c r="B9" s="6" t="inlineStr">
        <is>
          <t>Oats (-3.4%)</t>
        </is>
      </c>
    </row>
    <row r="11">
      <c r="A11" s="7" t="inlineStr">
        <is>
          <t>Barley gained 5.6 bu/ac against canola's 2.8 -- twice as many bushels. But barley started at 66.8 and canola at 38.4, so the same bushel gain is a smaller share of a bigger number: 8.4% against 7.3%.</t>
        </is>
      </c>
      <c r="B11" s="8" t="n"/>
      <c r="C11" s="8" t="n"/>
      <c r="D11" s="8" t="n"/>
      <c r="E11" s="8" t="n"/>
      <c r="F11" s="8" t="n"/>
      <c r="G11" s="8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8" t="n"/>
      <c r="B13" s="8" t="n"/>
      <c r="C13" s="8" t="n"/>
      <c r="D13" s="8" t="n"/>
      <c r="E13" s="8" t="n"/>
      <c r="F13" s="8" t="n"/>
      <c r="G13" s="8" t="n"/>
    </row>
    <row r="15">
      <c r="A15" s="9" t="inlineStr">
        <is>
          <t>AVERAGE of % change</t>
        </is>
      </c>
      <c r="B15" s="10">
        <f>AVERAGE(E2:E6)</f>
        <v/>
      </c>
    </row>
    <row r="16">
      <c r="A16" s="9" t="inlineStr">
        <is>
          <t>% change of totals</t>
        </is>
      </c>
      <c r="B16" s="10">
        <f>(SUM(C2:C6)-SUM(B2:B6))/SUM(B2:B6)</f>
        <v/>
      </c>
    </row>
    <row r="18">
      <c r="A18" s="11" t="inlineStr">
        <is>
          <t>The average treats each crop equally, while the change in totals weights each crop by how many bushels it contributes.</t>
        </is>
      </c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1">
      <c r="A21" s="13" t="inlineStr">
        <is>
          <t>Part (a)</t>
        </is>
      </c>
    </row>
    <row r="22">
      <c r="A22" s="6" t="inlineStr">
        <is>
          <t>Part (b)</t>
        </is>
      </c>
    </row>
    <row r="23">
      <c r="A23" s="8" t="inlineStr">
        <is>
          <t>Part (c)</t>
        </is>
      </c>
    </row>
    <row r="24">
      <c r="A24" s="9" t="inlineStr">
        <is>
          <t>Part (d)</t>
        </is>
      </c>
    </row>
    <row r="25">
      <c r="A25" s="12" t="inlineStr">
        <is>
          <t>Part (e)</t>
        </is>
      </c>
    </row>
  </sheetData>
  <mergeCells count="2">
    <mergeCell ref="A11:G13"/>
    <mergeCell ref="A18:G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