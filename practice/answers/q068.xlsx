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Answer" sheetId="1" state="visible" r:id="rId1"/>
    <sheet name="Data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0.0"/>
    <numFmt numFmtId="165" formatCode="#,##0.0"/>
  </numFmts>
  <fonts count="8">
    <font>
      <name val="Calibri"/>
      <family val="2"/>
      <color theme="1"/>
      <sz val="11"/>
      <scheme val="minor"/>
    </font>
    <font>
      <name val="Arial"/>
      <b val="1"/>
      <color rgb="004A7C59"/>
      <sz val="13"/>
    </font>
    <font>
      <name val="Arial"/>
      <color rgb="005C6B62"/>
      <sz val="10"/>
    </font>
    <font>
      <name val="Arial"/>
      <b val="1"/>
      <color rgb="00FFFFFF"/>
      <sz val="11"/>
    </font>
    <font>
      <name val="Arial"/>
      <color rgb="0024302A"/>
      <sz val="10"/>
    </font>
    <font>
      <name val="Arial"/>
      <b val="1"/>
      <color rgb="0024302A"/>
      <sz val="10"/>
    </font>
    <font>
      <name val="Consolas"/>
      <color rgb="002F5D46"/>
      <sz val="9"/>
    </font>
    <font>
      <name val="Arial"/>
      <color rgb="005C6B62"/>
      <sz val="9"/>
    </font>
  </fonts>
  <fills count="4">
    <fill>
      <patternFill/>
    </fill>
    <fill>
      <patternFill patternType="gray125"/>
    </fill>
    <fill>
      <patternFill patternType="solid">
        <fgColor rgb="004A7C59"/>
      </patternFill>
    </fill>
    <fill>
      <patternFill patternType="solid">
        <fgColor rgb="00F6EFD9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4">
    <xf numFmtId="0" fontId="0" fillId="0" borderId="0" pivotButton="0" quotePrefix="0" xfId="0"/>
    <xf numFmtId="0" fontId="1" fillId="0" borderId="0" pivotButton="0" quotePrefix="0" xfId="0"/>
    <xf numFmtId="0" fontId="2" fillId="0" borderId="0" applyAlignment="1" pivotButton="0" quotePrefix="0" xfId="0">
      <alignment horizontal="left" vertical="top" wrapText="1"/>
    </xf>
    <xf numFmtId="0" fontId="5" fillId="0" borderId="0" pivotButton="0" quotePrefix="0" xfId="0"/>
    <xf numFmtId="3" fontId="4" fillId="3" borderId="0" applyAlignment="1" pivotButton="0" quotePrefix="0" xfId="0">
      <alignment horizontal="center"/>
    </xf>
    <xf numFmtId="0" fontId="6" fillId="0" borderId="0" pivotButton="0" quotePrefix="0" xfId="0"/>
    <xf numFmtId="165" fontId="4" fillId="3" borderId="0" applyAlignment="1" pivotButton="0" quotePrefix="0" xfId="0">
      <alignment horizontal="center"/>
    </xf>
    <xf numFmtId="2" fontId="4" fillId="3" borderId="0" applyAlignment="1" pivotButton="0" quotePrefix="0" xfId="0">
      <alignment horizontal="center"/>
    </xf>
    <xf numFmtId="0" fontId="7" fillId="0" borderId="0" pivotButton="0" quotePrefix="0" xfId="0"/>
    <xf numFmtId="0" fontId="3" fillId="2" borderId="0" pivotButton="0" quotePrefix="0" xfId="0"/>
    <xf numFmtId="0" fontId="3" fillId="2" borderId="0" applyAlignment="1" pivotButton="0" quotePrefix="0" xfId="0">
      <alignment horizontal="center"/>
    </xf>
    <xf numFmtId="164" fontId="4" fillId="0" borderId="0" pivotButton="0" quotePrefix="0" xfId="0"/>
    <xf numFmtId="0" fontId="4" fillId="0" borderId="0" applyAlignment="1" pivotButton="0" quotePrefix="0" xfId="0">
      <alignment horizontal="center"/>
    </xf>
    <xf numFmtId="164" fontId="4" fillId="0" borderId="0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3"/>
  <sheetViews>
    <sheetView workbookViewId="0">
      <selection activeCell="A1" sqref="A1"/>
    </sheetView>
  </sheetViews>
  <sheetFormatPr baseColWidth="8" defaultRowHeight="15"/>
  <cols>
    <col width="26" customWidth="1" min="1" max="1"/>
    <col width="14" customWidth="1" min="2" max="2"/>
    <col width="40" customWidth="1" min="3" max="3"/>
    <col width="4" customWidth="1" min="4" max="4"/>
  </cols>
  <sheetData>
    <row r="1" ht="18" customHeight="1">
      <c r="A1" s="1" t="inlineStr">
        <is>
          <t>Q68 — Yield_bu_ac, 2020, 2023</t>
        </is>
      </c>
    </row>
    <row r="2" ht="32" customHeight="1">
      <c r="A2" s="2" t="inlineStr">
        <is>
          <t>The 2020, 2023 rows are on the **Data** tab. Every figure here is a live formula pointing at the Yield_bu_ac column there, so the sheet recomputes rather than repeating a number someone typed in.</t>
        </is>
      </c>
    </row>
    <row r="3" ht="18" customHeight="1"/>
    <row r="4" ht="18" customHeight="1">
      <c r="A4" s="3" t="inlineStr">
        <is>
          <t>Yield_bu_ac — 2020, 2023</t>
        </is>
      </c>
    </row>
    <row r="5" ht="18" customHeight="1">
      <c r="A5" s="3" t="inlineStr">
        <is>
          <t>Count of all values</t>
        </is>
      </c>
      <c r="B5" s="4">
        <f>COUNT('Data'!E4:E204)</f>
        <v/>
      </c>
      <c r="C5" s="5">
        <f>_xlfn.FORMULATEXT(B5)</f>
        <v/>
      </c>
    </row>
    <row r="6" ht="18" customHeight="1">
      <c r="A6" s="3" t="inlineStr">
        <is>
          <t>Count above 40</t>
        </is>
      </c>
      <c r="B6" s="4">
        <f>COUNTIF('Data'!E4:E204,"&gt;40")</f>
        <v/>
      </c>
      <c r="C6" s="5">
        <f>_xlfn.FORMULATEXT(B6)</f>
        <v/>
      </c>
    </row>
    <row r="7" ht="18" customHeight="1">
      <c r="A7" s="3" t="inlineStr">
        <is>
          <t>Count 40 or below</t>
        </is>
      </c>
      <c r="B7" s="4">
        <f>COUNTIF('Data'!E4:E204,"&lt;=40")</f>
        <v/>
      </c>
      <c r="C7" s="5">
        <f>_xlfn.FORMULATEXT(B7)</f>
        <v/>
      </c>
    </row>
    <row r="8" ht="18" customHeight="1">
      <c r="A8" s="3" t="inlineStr">
        <is>
          <t>Sum of those above 40</t>
        </is>
      </c>
      <c r="B8" s="6">
        <f>SUMIF('Data'!E4:E204,"&gt;40")</f>
        <v/>
      </c>
      <c r="C8" s="5">
        <f>_xlfn.FORMULATEXT(B8)</f>
        <v/>
      </c>
    </row>
    <row r="9" ht="18" customHeight="1">
      <c r="A9" s="3" t="inlineStr">
        <is>
          <t>Mean of those above 40</t>
        </is>
      </c>
      <c r="B9" s="7">
        <f>AVERAGEIF('Data'!E4:E204,"&gt;40")</f>
        <v/>
      </c>
      <c r="C9" s="5">
        <f>_xlfn.FORMULATEXT(B9)</f>
        <v/>
      </c>
    </row>
    <row r="10" ht="18" customHeight="1">
      <c r="A10" s="3" t="inlineStr">
        <is>
          <t>Count above the mean</t>
        </is>
      </c>
      <c r="B10" s="4">
        <f>COUNTIF('Data'!E4:E204,"&gt;"&amp;AVERAGE('Data'!E4:E204))</f>
        <v/>
      </c>
      <c r="C10" s="5">
        <f>_xlfn.FORMULATEXT(B10)</f>
        <v/>
      </c>
    </row>
    <row r="11" ht="18" customHeight="1">
      <c r="A11" s="3" t="inlineStr">
        <is>
          <t>Mean of all values</t>
        </is>
      </c>
      <c r="B11" s="7">
        <f>AVERAGE('Data'!E4:E204)</f>
        <v/>
      </c>
      <c r="C11" s="5">
        <f>_xlfn.FORMULATEXT(B11)</f>
        <v/>
      </c>
    </row>
    <row r="12" ht="18" customHeight="1"/>
    <row r="13" ht="30" customHeight="1">
      <c r="A13" s="8" t="inlineStr">
        <is>
          <t>The thresholds here are the ones the question uses; change the number inside the quotation marks to test a different one. Note the last row: to compare against a computed value you must join the operator on with &amp;, because anything inside quotes is treated as literal text.</t>
        </is>
      </c>
    </row>
    <row r="14" ht="18" customHeight="1"/>
    <row r="15" ht="18" customHeight="1"/>
  </sheetData>
  <mergeCells count="2">
    <mergeCell ref="A2:F2"/>
    <mergeCell ref="A13:D13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204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5" customWidth="1" min="1" max="1"/>
    <col width="15" customWidth="1" min="2" max="2"/>
    <col width="15" customWidth="1" min="3" max="3"/>
    <col width="15" customWidth="1" min="4" max="4"/>
    <col width="15" customWidth="1" min="5" max="5"/>
  </cols>
  <sheetData>
    <row r="1">
      <c r="A1" s="1" t="inlineStr">
        <is>
          <t>Q68 — Yield_bu_ac, 2020, 2023</t>
        </is>
      </c>
    </row>
    <row r="3">
      <c r="A3" s="9" t="inlineStr">
        <is>
          <t>Year</t>
        </is>
      </c>
      <c r="B3" s="10" t="inlineStr">
        <is>
          <t>Province</t>
        </is>
      </c>
      <c r="C3" s="10" t="inlineStr">
        <is>
          <t>Crop</t>
        </is>
      </c>
      <c r="D3" s="10" t="inlineStr">
        <is>
          <t>Seeded_acres</t>
        </is>
      </c>
      <c r="E3" s="10" t="inlineStr">
        <is>
          <t>Yield_bu_ac</t>
        </is>
      </c>
    </row>
    <row r="4">
      <c r="A4" s="11" t="n">
        <v>2020</v>
      </c>
      <c r="B4" s="12" t="inlineStr">
        <is>
          <t>Alberta</t>
        </is>
      </c>
      <c r="C4" s="12" t="inlineStr">
        <is>
          <t>Barley</t>
        </is>
      </c>
      <c r="D4" s="12" t="n">
        <v>3661700</v>
      </c>
      <c r="E4" s="13" t="n">
        <v>74</v>
      </c>
    </row>
    <row r="5">
      <c r="A5" s="11" t="n">
        <v>2020</v>
      </c>
      <c r="B5" s="12" t="inlineStr">
        <is>
          <t>Alberta</t>
        </is>
      </c>
      <c r="C5" s="12" t="inlineStr">
        <is>
          <t>Canola</t>
        </is>
      </c>
      <c r="D5" s="12" t="n">
        <v>5876000</v>
      </c>
      <c r="E5" s="13" t="n">
        <v>40.2</v>
      </c>
    </row>
    <row r="6">
      <c r="A6" s="11" t="n">
        <v>2020</v>
      </c>
      <c r="B6" s="12" t="inlineStr">
        <is>
          <t>Alberta</t>
        </is>
      </c>
      <c r="C6" s="12" t="inlineStr">
        <is>
          <t>Corn for grain</t>
        </is>
      </c>
      <c r="D6" s="12" t="n">
        <v>40800</v>
      </c>
      <c r="E6" s="13" t="n">
        <v>141.1</v>
      </c>
    </row>
    <row r="7">
      <c r="A7" s="11" t="n">
        <v>2020</v>
      </c>
      <c r="B7" s="12" t="inlineStr">
        <is>
          <t>Alberta</t>
        </is>
      </c>
      <c r="C7" s="12" t="inlineStr">
        <is>
          <t>Dry peas</t>
        </is>
      </c>
      <c r="D7" s="12" t="n">
        <v>1650100</v>
      </c>
      <c r="E7" s="13" t="n">
        <v>41.5</v>
      </c>
    </row>
    <row r="8">
      <c r="A8" s="11" t="n">
        <v>2020</v>
      </c>
      <c r="B8" s="12" t="inlineStr">
        <is>
          <t>Alberta</t>
        </is>
      </c>
      <c r="C8" s="12" t="inlineStr">
        <is>
          <t>Durum wheat</t>
        </is>
      </c>
      <c r="D8" s="12" t="n">
        <v>1012000</v>
      </c>
      <c r="E8" s="13" t="n">
        <v>48.5</v>
      </c>
    </row>
    <row r="9">
      <c r="A9" s="11" t="n">
        <v>2020</v>
      </c>
      <c r="B9" s="12" t="inlineStr">
        <is>
          <t>Alberta</t>
        </is>
      </c>
      <c r="C9" s="12" t="inlineStr">
        <is>
          <t>Flax</t>
        </is>
      </c>
      <c r="D9" s="12" t="n">
        <v>97100</v>
      </c>
      <c r="E9" s="13" t="n">
        <v>33.2</v>
      </c>
    </row>
    <row r="10">
      <c r="A10" s="11" t="n">
        <v>2020</v>
      </c>
      <c r="B10" s="12" t="inlineStr">
        <is>
          <t>Alberta</t>
        </is>
      </c>
      <c r="C10" s="12" t="inlineStr">
        <is>
          <t>Mixed grains</t>
        </is>
      </c>
      <c r="D10" s="12" t="n">
        <v>171000</v>
      </c>
      <c r="E10" s="13" t="n">
        <v>50.2</v>
      </c>
    </row>
    <row r="11">
      <c r="A11" s="11" t="n">
        <v>2020</v>
      </c>
      <c r="B11" s="12" t="inlineStr">
        <is>
          <t>Alberta</t>
        </is>
      </c>
      <c r="C11" s="12" t="inlineStr">
        <is>
          <t>Oats</t>
        </is>
      </c>
      <c r="D11" s="12" t="n">
        <v>881200</v>
      </c>
      <c r="E11" s="13" t="n">
        <v>85.90000000000001</v>
      </c>
    </row>
    <row r="12">
      <c r="A12" s="11" t="n">
        <v>2020</v>
      </c>
      <c r="B12" s="12" t="inlineStr">
        <is>
          <t>Alberta</t>
        </is>
      </c>
      <c r="C12" s="12" t="inlineStr">
        <is>
          <t>Rye</t>
        </is>
      </c>
      <c r="D12" s="12" t="n">
        <v>102800</v>
      </c>
      <c r="E12" s="13" t="n">
        <v>58.7</v>
      </c>
    </row>
    <row r="13">
      <c r="A13" s="11" t="n">
        <v>2020</v>
      </c>
      <c r="B13" s="12" t="inlineStr">
        <is>
          <t>Alberta</t>
        </is>
      </c>
      <c r="C13" s="12" t="inlineStr">
        <is>
          <t>Soybeans</t>
        </is>
      </c>
      <c r="D13" s="13" t="n">
        <v>2500</v>
      </c>
      <c r="E13" s="12" t="n"/>
    </row>
    <row r="14">
      <c r="A14" s="11" t="n">
        <v>2020</v>
      </c>
      <c r="B14" s="12" t="inlineStr">
        <is>
          <t>Alberta</t>
        </is>
      </c>
      <c r="C14" s="12" t="inlineStr">
        <is>
          <t>Spring wheat</t>
        </is>
      </c>
      <c r="D14" s="12" t="n">
        <v>6314100</v>
      </c>
      <c r="E14" s="13" t="n">
        <v>56.8</v>
      </c>
    </row>
    <row r="15">
      <c r="A15" s="11" t="n">
        <v>2020</v>
      </c>
      <c r="B15" s="12" t="inlineStr">
        <is>
          <t>Alberta</t>
        </is>
      </c>
      <c r="C15" s="12" t="inlineStr">
        <is>
          <t>Wheat (all)</t>
        </is>
      </c>
      <c r="D15" s="12" t="n">
        <v>7448400</v>
      </c>
      <c r="E15" s="13" t="n">
        <v>55.8</v>
      </c>
    </row>
    <row r="16">
      <c r="A16" s="11" t="n">
        <v>2020</v>
      </c>
      <c r="B16" s="12" t="inlineStr">
        <is>
          <t>Alberta</t>
        </is>
      </c>
      <c r="C16" s="12" t="inlineStr">
        <is>
          <t>Winter wheat</t>
        </is>
      </c>
      <c r="D16" s="12" t="n">
        <v>91700</v>
      </c>
      <c r="E16" s="13" t="n">
        <v>65.90000000000001</v>
      </c>
    </row>
    <row r="17">
      <c r="A17" s="11" t="n">
        <v>2020</v>
      </c>
      <c r="B17" s="12" t="inlineStr">
        <is>
          <t>British Columbia</t>
        </is>
      </c>
      <c r="C17" s="12" t="inlineStr">
        <is>
          <t>Barley</t>
        </is>
      </c>
      <c r="D17" s="12" t="n">
        <v>73900</v>
      </c>
      <c r="E17" s="13" t="n">
        <v>47.8</v>
      </c>
    </row>
    <row r="18">
      <c r="A18" s="11" t="n">
        <v>2020</v>
      </c>
      <c r="B18" s="12" t="inlineStr">
        <is>
          <t>British Columbia</t>
        </is>
      </c>
      <c r="C18" s="12" t="inlineStr">
        <is>
          <t>Canola</t>
        </is>
      </c>
      <c r="D18" s="12" t="n">
        <v>92100</v>
      </c>
      <c r="E18" s="13" t="n">
        <v>30</v>
      </c>
    </row>
    <row r="19">
      <c r="A19" s="11" t="n">
        <v>2020</v>
      </c>
      <c r="B19" s="12" t="inlineStr">
        <is>
          <t>British Columbia</t>
        </is>
      </c>
      <c r="C19" s="12" t="inlineStr">
        <is>
          <t>Corn for grain</t>
        </is>
      </c>
      <c r="D19" s="13" t="n">
        <v>1900</v>
      </c>
      <c r="E19" s="13" t="n">
        <v>163.5</v>
      </c>
    </row>
    <row r="20">
      <c r="A20" s="11" t="n">
        <v>2020</v>
      </c>
      <c r="B20" s="12" t="inlineStr">
        <is>
          <t>British Columbia</t>
        </is>
      </c>
      <c r="C20" s="12" t="inlineStr">
        <is>
          <t>Dry peas</t>
        </is>
      </c>
      <c r="D20" s="12" t="n">
        <v>65100</v>
      </c>
      <c r="E20" s="13" t="n">
        <v>21.6</v>
      </c>
    </row>
    <row r="21">
      <c r="A21" s="11" t="n">
        <v>2020</v>
      </c>
      <c r="B21" s="12" t="inlineStr">
        <is>
          <t>British Columbia</t>
        </is>
      </c>
      <c r="C21" s="12" t="inlineStr">
        <is>
          <t>Mixed grains</t>
        </is>
      </c>
      <c r="D21" s="13" t="n">
        <v>7700</v>
      </c>
      <c r="E21" s="13" t="n">
        <v>40.7</v>
      </c>
    </row>
    <row r="22">
      <c r="A22" s="11" t="n">
        <v>2020</v>
      </c>
      <c r="B22" s="12" t="inlineStr">
        <is>
          <t>British Columbia</t>
        </is>
      </c>
      <c r="C22" s="12" t="inlineStr">
        <is>
          <t>Oats</t>
        </is>
      </c>
      <c r="D22" s="12" t="n">
        <v>71900</v>
      </c>
      <c r="E22" s="13" t="n">
        <v>75.90000000000001</v>
      </c>
    </row>
    <row r="23">
      <c r="A23" s="11" t="n">
        <v>2020</v>
      </c>
      <c r="B23" s="12" t="inlineStr">
        <is>
          <t>British Columbia</t>
        </is>
      </c>
      <c r="C23" s="12" t="inlineStr">
        <is>
          <t>Rye</t>
        </is>
      </c>
      <c r="D23" s="13" t="n">
        <v>9800</v>
      </c>
      <c r="E23" s="13" t="n">
        <v>43.7</v>
      </c>
    </row>
    <row r="24">
      <c r="A24" s="11" t="n">
        <v>2020</v>
      </c>
      <c r="B24" s="12" t="inlineStr">
        <is>
          <t>British Columbia</t>
        </is>
      </c>
      <c r="C24" s="12" t="inlineStr">
        <is>
          <t>Spring wheat</t>
        </is>
      </c>
      <c r="D24" s="12" t="n">
        <v>44900</v>
      </c>
      <c r="E24" s="13" t="n">
        <v>42.8</v>
      </c>
    </row>
    <row r="25">
      <c r="A25" s="11" t="n">
        <v>2020</v>
      </c>
      <c r="B25" s="12" t="inlineStr">
        <is>
          <t>British Columbia</t>
        </is>
      </c>
      <c r="C25" s="12" t="inlineStr">
        <is>
          <t>Wheat (all)</t>
        </is>
      </c>
      <c r="D25" s="12" t="n">
        <v>67900</v>
      </c>
      <c r="E25" s="13" t="n">
        <v>43.7</v>
      </c>
    </row>
    <row r="26">
      <c r="A26" s="11" t="n">
        <v>2020</v>
      </c>
      <c r="B26" s="12" t="inlineStr">
        <is>
          <t>British Columbia</t>
        </is>
      </c>
      <c r="C26" s="12" t="inlineStr">
        <is>
          <t>Winter wheat</t>
        </is>
      </c>
      <c r="D26" s="12" t="n">
        <v>13300</v>
      </c>
      <c r="E26" s="13" t="n">
        <v>48.9</v>
      </c>
    </row>
    <row r="27">
      <c r="A27" s="11" t="n">
        <v>2020</v>
      </c>
      <c r="B27" s="12" t="inlineStr">
        <is>
          <t>Manitoba</t>
        </is>
      </c>
      <c r="C27" s="12" t="inlineStr">
        <is>
          <t>Barley</t>
        </is>
      </c>
      <c r="D27" s="12" t="n">
        <v>415300</v>
      </c>
      <c r="E27" s="13" t="n">
        <v>79.90000000000001</v>
      </c>
    </row>
    <row r="28">
      <c r="A28" s="11" t="n">
        <v>2020</v>
      </c>
      <c r="B28" s="12" t="inlineStr">
        <is>
          <t>Manitoba</t>
        </is>
      </c>
      <c r="C28" s="12" t="inlineStr">
        <is>
          <t>Canola</t>
        </is>
      </c>
      <c r="D28" s="12" t="n">
        <v>3414100</v>
      </c>
      <c r="E28" s="13" t="n">
        <v>41.4</v>
      </c>
    </row>
    <row r="29">
      <c r="A29" s="11" t="n">
        <v>2020</v>
      </c>
      <c r="B29" s="12" t="inlineStr">
        <is>
          <t>Manitoba</t>
        </is>
      </c>
      <c r="C29" s="12" t="inlineStr">
        <is>
          <t>Corn for grain</t>
        </is>
      </c>
      <c r="D29" s="12" t="n">
        <v>372300</v>
      </c>
      <c r="E29" s="13" t="n">
        <v>122.2</v>
      </c>
    </row>
    <row r="30">
      <c r="A30" s="11" t="n">
        <v>2020</v>
      </c>
      <c r="B30" s="12" t="inlineStr">
        <is>
          <t>Manitoba</t>
        </is>
      </c>
      <c r="C30" s="12" t="inlineStr">
        <is>
          <t>Dry peas</t>
        </is>
      </c>
      <c r="D30" s="12" t="n">
        <v>175200</v>
      </c>
      <c r="E30" s="13" t="n">
        <v>52.5</v>
      </c>
    </row>
    <row r="31">
      <c r="A31" s="11" t="n">
        <v>2020</v>
      </c>
      <c r="B31" s="12" t="inlineStr">
        <is>
          <t>Manitoba</t>
        </is>
      </c>
      <c r="C31" s="12" t="inlineStr">
        <is>
          <t>Durum wheat</t>
        </is>
      </c>
      <c r="D31" s="12" t="n">
        <v>31000</v>
      </c>
      <c r="E31" s="13" t="n">
        <v>41.8</v>
      </c>
    </row>
    <row r="32">
      <c r="A32" s="11" t="n">
        <v>2020</v>
      </c>
      <c r="B32" s="12" t="inlineStr">
        <is>
          <t>Manitoba</t>
        </is>
      </c>
      <c r="C32" s="12" t="inlineStr">
        <is>
          <t>Flax</t>
        </is>
      </c>
      <c r="D32" s="12" t="n">
        <v>65400</v>
      </c>
      <c r="E32" s="13" t="n">
        <v>29.5</v>
      </c>
    </row>
    <row r="33">
      <c r="A33" s="11" t="n">
        <v>2020</v>
      </c>
      <c r="B33" s="12" t="inlineStr">
        <is>
          <t>Manitoba</t>
        </is>
      </c>
      <c r="C33" s="12" t="inlineStr">
        <is>
          <t>Mixed grains</t>
        </is>
      </c>
      <c r="D33" s="12" t="n">
        <v>58000</v>
      </c>
      <c r="E33" s="13" t="n">
        <v>35.9</v>
      </c>
    </row>
    <row r="34">
      <c r="A34" s="11" t="n">
        <v>2020</v>
      </c>
      <c r="B34" s="12" t="inlineStr">
        <is>
          <t>Manitoba</t>
        </is>
      </c>
      <c r="C34" s="12" t="inlineStr">
        <is>
          <t>Oats</t>
        </is>
      </c>
      <c r="D34" s="12" t="n">
        <v>695100</v>
      </c>
      <c r="E34" s="13" t="n">
        <v>111.4</v>
      </c>
    </row>
    <row r="35">
      <c r="A35" s="11" t="n">
        <v>2020</v>
      </c>
      <c r="B35" s="12" t="inlineStr">
        <is>
          <t>Manitoba</t>
        </is>
      </c>
      <c r="C35" s="12" t="inlineStr">
        <is>
          <t>Rye</t>
        </is>
      </c>
      <c r="D35" s="12" t="n">
        <v>113100</v>
      </c>
      <c r="E35" s="13" t="n">
        <v>64.90000000000001</v>
      </c>
    </row>
    <row r="36">
      <c r="A36" s="11" t="n">
        <v>2020</v>
      </c>
      <c r="B36" s="12" t="inlineStr">
        <is>
          <t>Manitoba</t>
        </is>
      </c>
      <c r="C36" s="12" t="inlineStr">
        <is>
          <t>Soybeans</t>
        </is>
      </c>
      <c r="D36" s="12" t="n">
        <v>1149600</v>
      </c>
      <c r="E36" s="13" t="n">
        <v>37.3</v>
      </c>
    </row>
    <row r="37">
      <c r="A37" s="11" t="n">
        <v>2020</v>
      </c>
      <c r="B37" s="12" t="inlineStr">
        <is>
          <t>Manitoba</t>
        </is>
      </c>
      <c r="C37" s="12" t="inlineStr">
        <is>
          <t>Spring wheat</t>
        </is>
      </c>
      <c r="D37" s="12" t="n">
        <v>3106400</v>
      </c>
      <c r="E37" s="13" t="n">
        <v>61.5</v>
      </c>
    </row>
    <row r="38">
      <c r="A38" s="11" t="n">
        <v>2020</v>
      </c>
      <c r="B38" s="12" t="inlineStr">
        <is>
          <t>Manitoba</t>
        </is>
      </c>
      <c r="C38" s="12" t="inlineStr">
        <is>
          <t>Wheat (all)</t>
        </is>
      </c>
      <c r="D38" s="12" t="n">
        <v>3169400</v>
      </c>
      <c r="E38" s="13" t="n">
        <v>61.3</v>
      </c>
    </row>
    <row r="39">
      <c r="A39" s="11" t="n">
        <v>2020</v>
      </c>
      <c r="B39" s="12" t="inlineStr">
        <is>
          <t>Manitoba</t>
        </is>
      </c>
      <c r="C39" s="12" t="inlineStr">
        <is>
          <t>Winter wheat</t>
        </is>
      </c>
      <c r="D39" s="12" t="n">
        <v>29800</v>
      </c>
      <c r="E39" s="13" t="n">
        <v>67.2</v>
      </c>
    </row>
    <row r="40">
      <c r="A40" s="11" t="n">
        <v>2020</v>
      </c>
      <c r="B40" s="12" t="inlineStr">
        <is>
          <t>New Brunswick</t>
        </is>
      </c>
      <c r="C40" s="12" t="inlineStr">
        <is>
          <t>Barley</t>
        </is>
      </c>
      <c r="D40" s="12" t="n">
        <v>19900</v>
      </c>
      <c r="E40" s="13" t="n">
        <v>43.6</v>
      </c>
    </row>
    <row r="41">
      <c r="A41" s="11" t="n">
        <v>2020</v>
      </c>
      <c r="B41" s="12" t="inlineStr">
        <is>
          <t>New Brunswick</t>
        </is>
      </c>
      <c r="C41" s="12" t="inlineStr">
        <is>
          <t>Canola</t>
        </is>
      </c>
      <c r="D41" s="13" t="n">
        <v>1200</v>
      </c>
      <c r="E41" s="13" t="n">
        <v>42.1</v>
      </c>
    </row>
    <row r="42">
      <c r="A42" s="11" t="n">
        <v>2020</v>
      </c>
      <c r="B42" s="12" t="inlineStr">
        <is>
          <t>New Brunswick</t>
        </is>
      </c>
      <c r="C42" s="12" t="inlineStr">
        <is>
          <t>Corn for grain</t>
        </is>
      </c>
      <c r="D42" s="13" t="n">
        <v>8900</v>
      </c>
      <c r="E42" s="13" t="n">
        <v>103.4</v>
      </c>
    </row>
    <row r="43">
      <c r="A43" s="11" t="n">
        <v>2020</v>
      </c>
      <c r="B43" s="12" t="inlineStr">
        <is>
          <t>New Brunswick</t>
        </is>
      </c>
      <c r="C43" s="12" t="inlineStr">
        <is>
          <t>Dry peas</t>
        </is>
      </c>
      <c r="D43" s="13" t="n">
        <v>2200</v>
      </c>
      <c r="E43" s="13" t="n">
        <v>26.8</v>
      </c>
    </row>
    <row r="44">
      <c r="A44" s="11" t="n">
        <v>2020</v>
      </c>
      <c r="B44" s="12" t="inlineStr">
        <is>
          <t>New Brunswick</t>
        </is>
      </c>
      <c r="C44" s="12" t="inlineStr">
        <is>
          <t>Mixed grains</t>
        </is>
      </c>
      <c r="D44" s="13" t="n">
        <v>300</v>
      </c>
      <c r="E44" s="12" t="n"/>
    </row>
    <row r="45">
      <c r="A45" s="11" t="n">
        <v>2020</v>
      </c>
      <c r="B45" s="12" t="inlineStr">
        <is>
          <t>New Brunswick</t>
        </is>
      </c>
      <c r="C45" s="12" t="inlineStr">
        <is>
          <t>Oats</t>
        </is>
      </c>
      <c r="D45" s="12" t="n">
        <v>14100</v>
      </c>
      <c r="E45" s="13" t="n">
        <v>69.09999999999999</v>
      </c>
    </row>
    <row r="46">
      <c r="A46" s="11" t="n">
        <v>2020</v>
      </c>
      <c r="B46" s="12" t="inlineStr">
        <is>
          <t>New Brunswick</t>
        </is>
      </c>
      <c r="C46" s="12" t="inlineStr">
        <is>
          <t>Rye</t>
        </is>
      </c>
      <c r="D46" s="13" t="n">
        <v>500</v>
      </c>
      <c r="E46" s="12" t="n"/>
    </row>
    <row r="47">
      <c r="A47" s="11" t="n">
        <v>2020</v>
      </c>
      <c r="B47" s="12" t="inlineStr">
        <is>
          <t>New Brunswick</t>
        </is>
      </c>
      <c r="C47" s="12" t="inlineStr">
        <is>
          <t>Soybeans</t>
        </is>
      </c>
      <c r="D47" s="13" t="n">
        <v>7600</v>
      </c>
      <c r="E47" s="13" t="n">
        <v>27</v>
      </c>
    </row>
    <row r="48">
      <c r="A48" s="11" t="n">
        <v>2020</v>
      </c>
      <c r="B48" s="12" t="inlineStr">
        <is>
          <t>New Brunswick</t>
        </is>
      </c>
      <c r="C48" s="12" t="inlineStr">
        <is>
          <t>Spring wheat</t>
        </is>
      </c>
      <c r="D48" s="12" t="n">
        <v>12200</v>
      </c>
      <c r="E48" s="13" t="n">
        <v>40.2</v>
      </c>
    </row>
    <row r="49">
      <c r="A49" s="11" t="n">
        <v>2020</v>
      </c>
      <c r="B49" s="12" t="inlineStr">
        <is>
          <t>New Brunswick</t>
        </is>
      </c>
      <c r="C49" s="12" t="inlineStr">
        <is>
          <t>Wheat (all)</t>
        </is>
      </c>
      <c r="D49" s="12" t="n">
        <v>13400</v>
      </c>
      <c r="E49" s="13" t="n">
        <v>40.6</v>
      </c>
    </row>
    <row r="50">
      <c r="A50" s="11" t="n">
        <v>2020</v>
      </c>
      <c r="B50" s="12" t="inlineStr">
        <is>
          <t>New Brunswick</t>
        </is>
      </c>
      <c r="C50" s="12" t="inlineStr">
        <is>
          <t>Winter wheat</t>
        </is>
      </c>
      <c r="D50" s="13" t="n">
        <v>1000</v>
      </c>
      <c r="E50" s="13" t="n">
        <v>45.7</v>
      </c>
    </row>
    <row r="51">
      <c r="A51" s="11" t="n">
        <v>2020</v>
      </c>
      <c r="B51" s="12" t="inlineStr">
        <is>
          <t>Newfoundland and Labrador</t>
        </is>
      </c>
      <c r="C51" s="12" t="inlineStr">
        <is>
          <t>Oats</t>
        </is>
      </c>
      <c r="D51" s="13" t="n">
        <v>600</v>
      </c>
      <c r="E51" s="13" t="n">
        <v>58.8</v>
      </c>
    </row>
    <row r="52">
      <c r="A52" s="11" t="n">
        <v>2020</v>
      </c>
      <c r="B52" s="12" t="inlineStr">
        <is>
          <t>Nova Scotia</t>
        </is>
      </c>
      <c r="C52" s="12" t="inlineStr">
        <is>
          <t>Barley</t>
        </is>
      </c>
      <c r="D52" s="13" t="n">
        <v>2200</v>
      </c>
      <c r="E52" s="13" t="n">
        <v>51.5</v>
      </c>
    </row>
    <row r="53">
      <c r="A53" s="11" t="n">
        <v>2020</v>
      </c>
      <c r="B53" s="12" t="inlineStr">
        <is>
          <t>Nova Scotia</t>
        </is>
      </c>
      <c r="C53" s="12" t="inlineStr">
        <is>
          <t>Corn for grain</t>
        </is>
      </c>
      <c r="D53" s="12" t="n">
        <v>18000</v>
      </c>
      <c r="E53" s="13" t="n">
        <v>113.9</v>
      </c>
    </row>
    <row r="54">
      <c r="A54" s="11" t="n">
        <v>2020</v>
      </c>
      <c r="B54" s="12" t="inlineStr">
        <is>
          <t>Nova Scotia</t>
        </is>
      </c>
      <c r="C54" s="12" t="inlineStr">
        <is>
          <t>Dry peas</t>
        </is>
      </c>
      <c r="D54" s="13" t="n">
        <v>700</v>
      </c>
      <c r="E54" s="12" t="n"/>
    </row>
    <row r="55">
      <c r="A55" s="11" t="n">
        <v>2020</v>
      </c>
      <c r="B55" s="12" t="inlineStr">
        <is>
          <t>Nova Scotia</t>
        </is>
      </c>
      <c r="C55" s="12" t="inlineStr">
        <is>
          <t>Mixed grains</t>
        </is>
      </c>
      <c r="D55" s="13" t="n">
        <v>400</v>
      </c>
      <c r="E55" s="13" t="n">
        <v>60.1</v>
      </c>
    </row>
    <row r="56">
      <c r="A56" s="11" t="n">
        <v>2020</v>
      </c>
      <c r="B56" s="12" t="inlineStr">
        <is>
          <t>Nova Scotia</t>
        </is>
      </c>
      <c r="C56" s="12" t="inlineStr">
        <is>
          <t>Oats</t>
        </is>
      </c>
      <c r="D56" s="13" t="n">
        <v>4000</v>
      </c>
      <c r="E56" s="13" t="n">
        <v>59.9</v>
      </c>
    </row>
    <row r="57">
      <c r="A57" s="11" t="n">
        <v>2020</v>
      </c>
      <c r="B57" s="12" t="inlineStr">
        <is>
          <t>Nova Scotia</t>
        </is>
      </c>
      <c r="C57" s="12" t="inlineStr">
        <is>
          <t>Rye</t>
        </is>
      </c>
      <c r="D57" s="13" t="n">
        <v>600</v>
      </c>
      <c r="E57" s="13" t="n">
        <v>62</v>
      </c>
    </row>
    <row r="58">
      <c r="A58" s="11" t="n">
        <v>2020</v>
      </c>
      <c r="B58" s="12" t="inlineStr">
        <is>
          <t>Nova Scotia</t>
        </is>
      </c>
      <c r="C58" s="12" t="inlineStr">
        <is>
          <t>Soybeans</t>
        </is>
      </c>
      <c r="D58" s="13" t="n">
        <v>9900</v>
      </c>
      <c r="E58" s="13" t="n">
        <v>42.1</v>
      </c>
    </row>
    <row r="59">
      <c r="A59" s="11" t="n">
        <v>2020</v>
      </c>
      <c r="B59" s="12" t="inlineStr">
        <is>
          <t>Nova Scotia</t>
        </is>
      </c>
      <c r="C59" s="12" t="inlineStr">
        <is>
          <t>Spring wheat</t>
        </is>
      </c>
      <c r="D59" s="13" t="n">
        <v>3000</v>
      </c>
      <c r="E59" s="13" t="n">
        <v>38.6</v>
      </c>
    </row>
    <row r="60">
      <c r="A60" s="11" t="n">
        <v>2020</v>
      </c>
      <c r="B60" s="12" t="inlineStr">
        <is>
          <t>Nova Scotia</t>
        </is>
      </c>
      <c r="C60" s="12" t="inlineStr">
        <is>
          <t>Wheat (all)</t>
        </is>
      </c>
      <c r="D60" s="12" t="n">
        <v>11000</v>
      </c>
      <c r="E60" s="13" t="n">
        <v>54.2</v>
      </c>
    </row>
    <row r="61">
      <c r="A61" s="11" t="n">
        <v>2020</v>
      </c>
      <c r="B61" s="12" t="inlineStr">
        <is>
          <t>Nova Scotia</t>
        </is>
      </c>
      <c r="C61" s="12" t="inlineStr">
        <is>
          <t>Winter wheat</t>
        </is>
      </c>
      <c r="D61" s="13" t="n">
        <v>5900</v>
      </c>
      <c r="E61" s="13" t="n">
        <v>63.6</v>
      </c>
    </row>
    <row r="62">
      <c r="A62" s="11" t="n">
        <v>2020</v>
      </c>
      <c r="B62" s="12" t="inlineStr">
        <is>
          <t>Ontario</t>
        </is>
      </c>
      <c r="C62" s="12" t="inlineStr">
        <is>
          <t>Barley</t>
        </is>
      </c>
      <c r="D62" s="12" t="n">
        <v>89900</v>
      </c>
      <c r="E62" s="13" t="n">
        <v>61.8</v>
      </c>
    </row>
    <row r="63">
      <c r="A63" s="11" t="n">
        <v>2020</v>
      </c>
      <c r="B63" s="12" t="inlineStr">
        <is>
          <t>Ontario</t>
        </is>
      </c>
      <c r="C63" s="12" t="inlineStr">
        <is>
          <t>Canola</t>
        </is>
      </c>
      <c r="D63" s="12" t="n">
        <v>32400</v>
      </c>
      <c r="E63" s="13" t="n">
        <v>45.9</v>
      </c>
    </row>
    <row r="64">
      <c r="A64" s="11" t="n">
        <v>2020</v>
      </c>
      <c r="B64" s="12" t="inlineStr">
        <is>
          <t>Ontario</t>
        </is>
      </c>
      <c r="C64" s="12" t="inlineStr">
        <is>
          <t>Corn for grain</t>
        </is>
      </c>
      <c r="D64" s="12" t="n">
        <v>2191000</v>
      </c>
      <c r="E64" s="13" t="n">
        <v>163.9</v>
      </c>
    </row>
    <row r="65">
      <c r="A65" s="11" t="n">
        <v>2020</v>
      </c>
      <c r="B65" s="12" t="inlineStr">
        <is>
          <t>Ontario</t>
        </is>
      </c>
      <c r="C65" s="12" t="inlineStr">
        <is>
          <t>Dry peas</t>
        </is>
      </c>
      <c r="D65" s="12" t="n">
        <v>16200</v>
      </c>
      <c r="E65" s="13" t="n">
        <v>32.8</v>
      </c>
    </row>
    <row r="66">
      <c r="A66" s="11" t="n">
        <v>2020</v>
      </c>
      <c r="B66" s="12" t="inlineStr">
        <is>
          <t>Ontario</t>
        </is>
      </c>
      <c r="C66" s="12" t="inlineStr">
        <is>
          <t>Mixed grains</t>
        </is>
      </c>
      <c r="D66" s="12" t="n">
        <v>68900</v>
      </c>
      <c r="E66" s="13" t="n">
        <v>62.2</v>
      </c>
    </row>
    <row r="67">
      <c r="A67" s="11" t="n">
        <v>2020</v>
      </c>
      <c r="B67" s="12" t="inlineStr">
        <is>
          <t>Ontario</t>
        </is>
      </c>
      <c r="C67" s="12" t="inlineStr">
        <is>
          <t>Oats</t>
        </is>
      </c>
      <c r="D67" s="12" t="n">
        <v>104500</v>
      </c>
      <c r="E67" s="13" t="n">
        <v>72.59999999999999</v>
      </c>
    </row>
    <row r="68">
      <c r="A68" s="11" t="n">
        <v>2020</v>
      </c>
      <c r="B68" s="12" t="inlineStr">
        <is>
          <t>Ontario</t>
        </is>
      </c>
      <c r="C68" s="12" t="inlineStr">
        <is>
          <t>Rye</t>
        </is>
      </c>
      <c r="D68" s="12" t="n">
        <v>152400</v>
      </c>
      <c r="E68" s="13" t="n">
        <v>45.6</v>
      </c>
    </row>
    <row r="69">
      <c r="A69" s="11" t="n">
        <v>2020</v>
      </c>
      <c r="B69" s="12" t="inlineStr">
        <is>
          <t>Ontario</t>
        </is>
      </c>
      <c r="C69" s="12" t="inlineStr">
        <is>
          <t>Soybeans</t>
        </is>
      </c>
      <c r="D69" s="12" t="n">
        <v>2850200</v>
      </c>
      <c r="E69" s="13" t="n">
        <v>50.7</v>
      </c>
    </row>
    <row r="70">
      <c r="A70" s="11" t="n">
        <v>2020</v>
      </c>
      <c r="B70" s="12" t="inlineStr">
        <is>
          <t>Ontario</t>
        </is>
      </c>
      <c r="C70" s="12" t="inlineStr">
        <is>
          <t>Spring wheat</t>
        </is>
      </c>
      <c r="D70" s="12" t="n">
        <v>116500</v>
      </c>
      <c r="E70" s="13" t="n">
        <v>47.3</v>
      </c>
    </row>
    <row r="71">
      <c r="A71" s="11" t="n">
        <v>2020</v>
      </c>
      <c r="B71" s="12" t="inlineStr">
        <is>
          <t>Ontario</t>
        </is>
      </c>
      <c r="C71" s="12" t="inlineStr">
        <is>
          <t>Wheat (all)</t>
        </is>
      </c>
      <c r="D71" s="12" t="n">
        <v>1279200</v>
      </c>
      <c r="E71" s="13" t="n">
        <v>79.5</v>
      </c>
    </row>
    <row r="72">
      <c r="A72" s="11" t="n">
        <v>2020</v>
      </c>
      <c r="B72" s="12" t="inlineStr">
        <is>
          <t>Ontario</t>
        </is>
      </c>
      <c r="C72" s="12" t="inlineStr">
        <is>
          <t>Winter wheat</t>
        </is>
      </c>
      <c r="D72" s="12" t="n">
        <v>1036700</v>
      </c>
      <c r="E72" s="13" t="n">
        <v>83</v>
      </c>
    </row>
    <row r="73">
      <c r="A73" s="11" t="n">
        <v>2020</v>
      </c>
      <c r="B73" s="12" t="inlineStr">
        <is>
          <t>Prince Edward Island</t>
        </is>
      </c>
      <c r="C73" s="12" t="inlineStr">
        <is>
          <t>Barley</t>
        </is>
      </c>
      <c r="D73" s="12" t="n">
        <v>47800</v>
      </c>
      <c r="E73" s="13" t="n">
        <v>62.9</v>
      </c>
    </row>
    <row r="74">
      <c r="A74" s="11" t="n">
        <v>2020</v>
      </c>
      <c r="B74" s="12" t="inlineStr">
        <is>
          <t>Prince Edward Island</t>
        </is>
      </c>
      <c r="C74" s="12" t="inlineStr">
        <is>
          <t>Corn for grain</t>
        </is>
      </c>
      <c r="D74" s="12" t="n">
        <v>13000</v>
      </c>
      <c r="E74" s="13" t="n">
        <v>127.6</v>
      </c>
    </row>
    <row r="75">
      <c r="A75" s="11" t="n">
        <v>2020</v>
      </c>
      <c r="B75" s="12" t="inlineStr">
        <is>
          <t>Prince Edward Island</t>
        </is>
      </c>
      <c r="C75" s="12" t="inlineStr">
        <is>
          <t>Dry peas</t>
        </is>
      </c>
      <c r="D75" s="12" t="n">
        <v>14800</v>
      </c>
      <c r="E75" s="13" t="n">
        <v>45</v>
      </c>
    </row>
    <row r="76">
      <c r="A76" s="11" t="n">
        <v>2020</v>
      </c>
      <c r="B76" s="12" t="inlineStr">
        <is>
          <t>Prince Edward Island</t>
        </is>
      </c>
      <c r="C76" s="12" t="inlineStr">
        <is>
          <t>Mixed grains</t>
        </is>
      </c>
      <c r="D76" s="13" t="n">
        <v>3400</v>
      </c>
      <c r="E76" s="13" t="n">
        <v>45.8</v>
      </c>
    </row>
    <row r="77">
      <c r="A77" s="11" t="n">
        <v>2020</v>
      </c>
      <c r="B77" s="12" t="inlineStr">
        <is>
          <t>Prince Edward Island</t>
        </is>
      </c>
      <c r="C77" s="12" t="inlineStr">
        <is>
          <t>Oats</t>
        </is>
      </c>
      <c r="D77" s="13" t="n">
        <v>7900</v>
      </c>
      <c r="E77" s="13" t="n">
        <v>74.2</v>
      </c>
    </row>
    <row r="78">
      <c r="A78" s="11" t="n">
        <v>2020</v>
      </c>
      <c r="B78" s="12" t="inlineStr">
        <is>
          <t>Prince Edward Island</t>
        </is>
      </c>
      <c r="C78" s="12" t="inlineStr">
        <is>
          <t>Rye</t>
        </is>
      </c>
      <c r="D78" s="13" t="n">
        <v>6500</v>
      </c>
      <c r="E78" s="13" t="n">
        <v>62</v>
      </c>
    </row>
    <row r="79">
      <c r="A79" s="11" t="n">
        <v>2020</v>
      </c>
      <c r="B79" s="12" t="inlineStr">
        <is>
          <t>Prince Edward Island</t>
        </is>
      </c>
      <c r="C79" s="12" t="inlineStr">
        <is>
          <t>Soybeans</t>
        </is>
      </c>
      <c r="D79" s="12" t="n">
        <v>38300</v>
      </c>
      <c r="E79" s="13" t="n">
        <v>37.9</v>
      </c>
    </row>
    <row r="80">
      <c r="A80" s="11" t="n">
        <v>2020</v>
      </c>
      <c r="B80" s="12" t="inlineStr">
        <is>
          <t>Prince Edward Island</t>
        </is>
      </c>
      <c r="C80" s="12" t="inlineStr">
        <is>
          <t>Spring wheat</t>
        </is>
      </c>
      <c r="D80" s="12" t="n">
        <v>34800</v>
      </c>
      <c r="E80" s="13" t="n">
        <v>48.7</v>
      </c>
    </row>
    <row r="81">
      <c r="A81" s="11" t="n">
        <v>2020</v>
      </c>
      <c r="B81" s="12" t="inlineStr">
        <is>
          <t>Prince Edward Island</t>
        </is>
      </c>
      <c r="C81" s="12" t="inlineStr">
        <is>
          <t>Wheat (all)</t>
        </is>
      </c>
      <c r="D81" s="12" t="n">
        <v>49300</v>
      </c>
      <c r="E81" s="13" t="n">
        <v>51.7</v>
      </c>
    </row>
    <row r="82">
      <c r="A82" s="11" t="n">
        <v>2020</v>
      </c>
      <c r="B82" s="12" t="inlineStr">
        <is>
          <t>Prince Edward Island</t>
        </is>
      </c>
      <c r="C82" s="12" t="inlineStr">
        <is>
          <t>Winter wheat</t>
        </is>
      </c>
      <c r="D82" s="12" t="n">
        <v>12000</v>
      </c>
      <c r="E82" s="13" t="n">
        <v>62.8</v>
      </c>
    </row>
    <row r="83">
      <c r="A83" s="11" t="n">
        <v>2020</v>
      </c>
      <c r="B83" s="12" t="inlineStr">
        <is>
          <t>Quebec</t>
        </is>
      </c>
      <c r="C83" s="12" t="inlineStr">
        <is>
          <t>Barley</t>
        </is>
      </c>
      <c r="D83" s="12" t="n">
        <v>126100</v>
      </c>
      <c r="E83" s="13" t="n">
        <v>46.9</v>
      </c>
    </row>
    <row r="84">
      <c r="A84" s="11" t="n">
        <v>2020</v>
      </c>
      <c r="B84" s="12" t="inlineStr">
        <is>
          <t>Quebec</t>
        </is>
      </c>
      <c r="C84" s="12" t="inlineStr">
        <is>
          <t>Canola</t>
        </is>
      </c>
      <c r="D84" s="12" t="n">
        <v>27600</v>
      </c>
      <c r="E84" s="13" t="n">
        <v>38.6</v>
      </c>
    </row>
    <row r="85">
      <c r="A85" s="11" t="n">
        <v>2020</v>
      </c>
      <c r="B85" s="12" t="inlineStr">
        <is>
          <t>Quebec</t>
        </is>
      </c>
      <c r="C85" s="12" t="inlineStr">
        <is>
          <t>Corn for grain</t>
        </is>
      </c>
      <c r="D85" s="12" t="n">
        <v>890800</v>
      </c>
      <c r="E85" s="13" t="n">
        <v>144.7</v>
      </c>
    </row>
    <row r="86">
      <c r="A86" s="11" t="n">
        <v>2020</v>
      </c>
      <c r="B86" s="12" t="inlineStr">
        <is>
          <t>Quebec</t>
        </is>
      </c>
      <c r="C86" s="12" t="inlineStr">
        <is>
          <t>Dry peas</t>
        </is>
      </c>
      <c r="D86" s="13" t="n">
        <v>9400</v>
      </c>
      <c r="E86" s="13" t="n">
        <v>36.7</v>
      </c>
    </row>
    <row r="87">
      <c r="A87" s="11" t="n">
        <v>2020</v>
      </c>
      <c r="B87" s="12" t="inlineStr">
        <is>
          <t>Quebec</t>
        </is>
      </c>
      <c r="C87" s="12" t="inlineStr">
        <is>
          <t>Mixed grains</t>
        </is>
      </c>
      <c r="D87" s="12" t="n">
        <v>30400</v>
      </c>
      <c r="E87" s="13" t="n">
        <v>44.6</v>
      </c>
    </row>
    <row r="88">
      <c r="A88" s="11" t="n">
        <v>2020</v>
      </c>
      <c r="B88" s="12" t="inlineStr">
        <is>
          <t>Quebec</t>
        </is>
      </c>
      <c r="C88" s="12" t="inlineStr">
        <is>
          <t>Oats</t>
        </is>
      </c>
      <c r="D88" s="12" t="n">
        <v>204200</v>
      </c>
      <c r="E88" s="13" t="n">
        <v>57.1</v>
      </c>
    </row>
    <row r="89">
      <c r="A89" s="11" t="n">
        <v>2020</v>
      </c>
      <c r="B89" s="12" t="inlineStr">
        <is>
          <t>Quebec</t>
        </is>
      </c>
      <c r="C89" s="12" t="inlineStr">
        <is>
          <t>Rye</t>
        </is>
      </c>
      <c r="D89" s="12" t="n">
        <v>55300</v>
      </c>
      <c r="E89" s="13" t="n">
        <v>40</v>
      </c>
    </row>
    <row r="90">
      <c r="A90" s="11" t="n">
        <v>2020</v>
      </c>
      <c r="B90" s="12" t="inlineStr">
        <is>
          <t>Quebec</t>
        </is>
      </c>
      <c r="C90" s="12" t="inlineStr">
        <is>
          <t>Soybeans</t>
        </is>
      </c>
      <c r="D90" s="12" t="n">
        <v>885500</v>
      </c>
      <c r="E90" s="13" t="n">
        <v>48.4</v>
      </c>
    </row>
    <row r="91">
      <c r="A91" s="11" t="n">
        <v>2020</v>
      </c>
      <c r="B91" s="12" t="inlineStr">
        <is>
          <t>Quebec</t>
        </is>
      </c>
      <c r="C91" s="12" t="inlineStr">
        <is>
          <t>Spring wheat</t>
        </is>
      </c>
      <c r="D91" s="12" t="n">
        <v>241200</v>
      </c>
      <c r="E91" s="13" t="n">
        <v>34.4</v>
      </c>
    </row>
    <row r="92">
      <c r="A92" s="11" t="n">
        <v>2020</v>
      </c>
      <c r="B92" s="12" t="inlineStr">
        <is>
          <t>Quebec</t>
        </is>
      </c>
      <c r="C92" s="12" t="inlineStr">
        <is>
          <t>Wheat (all)</t>
        </is>
      </c>
      <c r="D92" s="12" t="n">
        <v>292300</v>
      </c>
      <c r="E92" s="13" t="n">
        <v>34.6</v>
      </c>
    </row>
    <row r="93">
      <c r="A93" s="11" t="n">
        <v>2020</v>
      </c>
      <c r="B93" s="12" t="inlineStr">
        <is>
          <t>Quebec</t>
        </is>
      </c>
      <c r="C93" s="12" t="inlineStr">
        <is>
          <t>Winter wheat</t>
        </is>
      </c>
      <c r="D93" s="12" t="n">
        <v>32200</v>
      </c>
      <c r="E93" s="13" t="n">
        <v>36.2</v>
      </c>
    </row>
    <row r="94">
      <c r="A94" s="11" t="n">
        <v>2020</v>
      </c>
      <c r="B94" s="12" t="inlineStr">
        <is>
          <t>Saskatchewan</t>
        </is>
      </c>
      <c r="C94" s="12" t="inlineStr">
        <is>
          <t>Barley</t>
        </is>
      </c>
      <c r="D94" s="12" t="n">
        <v>3124400</v>
      </c>
      <c r="E94" s="13" t="n">
        <v>68.7</v>
      </c>
    </row>
    <row r="95">
      <c r="A95" s="11" t="n">
        <v>2020</v>
      </c>
      <c r="B95" s="12" t="inlineStr">
        <is>
          <t>Saskatchewan</t>
        </is>
      </c>
      <c r="C95" s="12" t="inlineStr">
        <is>
          <t>Canola</t>
        </is>
      </c>
      <c r="D95" s="12" t="n">
        <v>11339200</v>
      </c>
      <c r="E95" s="13" t="n">
        <v>42.7</v>
      </c>
    </row>
    <row r="96">
      <c r="A96" s="11" t="n">
        <v>2020</v>
      </c>
      <c r="B96" s="12" t="inlineStr">
        <is>
          <t>Saskatchewan</t>
        </is>
      </c>
      <c r="C96" s="12" t="inlineStr">
        <is>
          <t>Corn for grain</t>
        </is>
      </c>
      <c r="D96" s="12" t="n">
        <v>22500</v>
      </c>
      <c r="E96" s="13" t="n">
        <v>56.8</v>
      </c>
    </row>
    <row r="97">
      <c r="A97" s="11" t="n">
        <v>2020</v>
      </c>
      <c r="B97" s="12" t="inlineStr">
        <is>
          <t>Saskatchewan</t>
        </is>
      </c>
      <c r="C97" s="12" t="inlineStr">
        <is>
          <t>Dry peas</t>
        </is>
      </c>
      <c r="D97" s="12" t="n">
        <v>2321700</v>
      </c>
      <c r="E97" s="13" t="n">
        <v>39.5</v>
      </c>
    </row>
    <row r="98">
      <c r="A98" s="11" t="n">
        <v>2020</v>
      </c>
      <c r="B98" s="12" t="inlineStr">
        <is>
          <t>Saskatchewan</t>
        </is>
      </c>
      <c r="C98" s="12" t="inlineStr">
        <is>
          <t>Durum wheat</t>
        </is>
      </c>
      <c r="D98" s="12" t="n">
        <v>4645600</v>
      </c>
      <c r="E98" s="13" t="n">
        <v>41.3</v>
      </c>
    </row>
    <row r="99">
      <c r="A99" s="11" t="n">
        <v>2020</v>
      </c>
      <c r="B99" s="12" t="inlineStr">
        <is>
          <t>Saskatchewan</t>
        </is>
      </c>
      <c r="C99" s="12" t="inlineStr">
        <is>
          <t>Flax</t>
        </is>
      </c>
      <c r="D99" s="12" t="n">
        <v>766800</v>
      </c>
      <c r="E99" s="13" t="n">
        <v>23.4</v>
      </c>
    </row>
    <row r="100">
      <c r="A100" s="11" t="n">
        <v>2020</v>
      </c>
      <c r="B100" s="12" t="inlineStr">
        <is>
          <t>Saskatchewan</t>
        </is>
      </c>
      <c r="C100" s="12" t="inlineStr">
        <is>
          <t>Mixed grains</t>
        </is>
      </c>
      <c r="D100" s="12" t="n">
        <v>75500</v>
      </c>
      <c r="E100" s="13" t="n">
        <v>38.6</v>
      </c>
    </row>
    <row r="101">
      <c r="A101" s="11" t="n">
        <v>2020</v>
      </c>
      <c r="B101" s="12" t="inlineStr">
        <is>
          <t>Saskatchewan</t>
        </is>
      </c>
      <c r="C101" s="12" t="inlineStr">
        <is>
          <t>Oats</t>
        </is>
      </c>
      <c r="D101" s="12" t="n">
        <v>1855700</v>
      </c>
      <c r="E101" s="13" t="n">
        <v>91.40000000000001</v>
      </c>
    </row>
    <row r="102">
      <c r="A102" s="11" t="n">
        <v>2020</v>
      </c>
      <c r="B102" s="12" t="inlineStr">
        <is>
          <t>Saskatchewan</t>
        </is>
      </c>
      <c r="C102" s="12" t="inlineStr">
        <is>
          <t>Rye</t>
        </is>
      </c>
      <c r="D102" s="12" t="n">
        <v>143900</v>
      </c>
      <c r="E102" s="13" t="n">
        <v>41</v>
      </c>
    </row>
    <row r="103">
      <c r="A103" s="11" t="n">
        <v>2020</v>
      </c>
      <c r="B103" s="12" t="inlineStr">
        <is>
          <t>Saskatchewan</t>
        </is>
      </c>
      <c r="C103" s="12" t="inlineStr">
        <is>
          <t>Soybeans</t>
        </is>
      </c>
      <c r="D103" s="12" t="n">
        <v>126700</v>
      </c>
      <c r="E103" s="13" t="n">
        <v>20</v>
      </c>
    </row>
    <row r="104">
      <c r="A104" s="11" t="n">
        <v>2020</v>
      </c>
      <c r="B104" s="12" t="inlineStr">
        <is>
          <t>Saskatchewan</t>
        </is>
      </c>
      <c r="C104" s="12" t="inlineStr">
        <is>
          <t>Spring wheat</t>
        </is>
      </c>
      <c r="D104" s="12" t="n">
        <v>8053000</v>
      </c>
      <c r="E104" s="13" t="n">
        <v>49.9</v>
      </c>
    </row>
    <row r="105">
      <c r="A105" s="11" t="n">
        <v>2020</v>
      </c>
      <c r="B105" s="12" t="inlineStr">
        <is>
          <t>Saskatchewan</t>
        </is>
      </c>
      <c r="C105" s="12" t="inlineStr">
        <is>
          <t>Wheat (all)</t>
        </is>
      </c>
      <c r="D105" s="12" t="n">
        <v>12858600</v>
      </c>
      <c r="E105" s="13" t="n">
        <v>46.7</v>
      </c>
    </row>
    <row r="106">
      <c r="A106" s="11" t="n">
        <v>2020</v>
      </c>
      <c r="B106" s="12" t="inlineStr">
        <is>
          <t>Saskatchewan</t>
        </is>
      </c>
      <c r="C106" s="12" t="inlineStr">
        <is>
          <t>Winter wheat</t>
        </is>
      </c>
      <c r="D106" s="12" t="n">
        <v>144900</v>
      </c>
      <c r="E106" s="13" t="n">
        <v>39.1</v>
      </c>
    </row>
    <row r="107">
      <c r="A107" s="11" t="n">
        <v>2023</v>
      </c>
      <c r="B107" s="12" t="inlineStr">
        <is>
          <t>Alberta</t>
        </is>
      </c>
      <c r="C107" s="12" t="inlineStr">
        <is>
          <t>Barley</t>
        </is>
      </c>
      <c r="D107" s="12" t="n">
        <v>3835000</v>
      </c>
      <c r="E107" s="13" t="n">
        <v>62.9</v>
      </c>
    </row>
    <row r="108">
      <c r="A108" s="11" t="n">
        <v>2023</v>
      </c>
      <c r="B108" s="12" t="inlineStr">
        <is>
          <t>Alberta</t>
        </is>
      </c>
      <c r="C108" s="12" t="inlineStr">
        <is>
          <t>Canola</t>
        </is>
      </c>
      <c r="D108" s="12" t="n">
        <v>6362800</v>
      </c>
      <c r="E108" s="13" t="n">
        <v>40.1</v>
      </c>
    </row>
    <row r="109">
      <c r="A109" s="11" t="n">
        <v>2023</v>
      </c>
      <c r="B109" s="12" t="inlineStr">
        <is>
          <t>Alberta</t>
        </is>
      </c>
      <c r="C109" s="12" t="inlineStr">
        <is>
          <t>Corn for grain</t>
        </is>
      </c>
      <c r="D109" s="12" t="n">
        <v>37600</v>
      </c>
      <c r="E109" s="13" t="n">
        <v>150</v>
      </c>
    </row>
    <row r="110">
      <c r="A110" s="11" t="n">
        <v>2023</v>
      </c>
      <c r="B110" s="12" t="inlineStr">
        <is>
          <t>Alberta</t>
        </is>
      </c>
      <c r="C110" s="12" t="inlineStr">
        <is>
          <t>Dry peas</t>
        </is>
      </c>
      <c r="D110" s="12" t="n">
        <v>1261200</v>
      </c>
      <c r="E110" s="13" t="n">
        <v>33.2</v>
      </c>
    </row>
    <row r="111">
      <c r="A111" s="11" t="n">
        <v>2023</v>
      </c>
      <c r="B111" s="12" t="inlineStr">
        <is>
          <t>Alberta</t>
        </is>
      </c>
      <c r="C111" s="12" t="inlineStr">
        <is>
          <t>Durum wheat</t>
        </is>
      </c>
      <c r="D111" s="12" t="n">
        <v>996800</v>
      </c>
      <c r="E111" s="13" t="n">
        <v>29.2</v>
      </c>
    </row>
    <row r="112">
      <c r="A112" s="11" t="n">
        <v>2023</v>
      </c>
      <c r="B112" s="12" t="inlineStr">
        <is>
          <t>Alberta</t>
        </is>
      </c>
      <c r="C112" s="12" t="inlineStr">
        <is>
          <t>Flax</t>
        </is>
      </c>
      <c r="D112" s="12" t="n">
        <v>46900</v>
      </c>
      <c r="E112" s="13" t="n">
        <v>18.7</v>
      </c>
    </row>
    <row r="113">
      <c r="A113" s="11" t="n">
        <v>2023</v>
      </c>
      <c r="B113" s="12" t="inlineStr">
        <is>
          <t>Alberta</t>
        </is>
      </c>
      <c r="C113" s="12" t="inlineStr">
        <is>
          <t>Mixed grains</t>
        </is>
      </c>
      <c r="D113" s="12" t="n">
        <v>167900</v>
      </c>
      <c r="E113" s="13" t="n">
        <v>47.2</v>
      </c>
    </row>
    <row r="114">
      <c r="A114" s="11" t="n">
        <v>2023</v>
      </c>
      <c r="B114" s="12" t="inlineStr">
        <is>
          <t>Alberta</t>
        </is>
      </c>
      <c r="C114" s="12" t="inlineStr">
        <is>
          <t>Oats</t>
        </is>
      </c>
      <c r="D114" s="12" t="n">
        <v>698700</v>
      </c>
      <c r="E114" s="13" t="n">
        <v>85.40000000000001</v>
      </c>
    </row>
    <row r="115">
      <c r="A115" s="11" t="n">
        <v>2023</v>
      </c>
      <c r="B115" s="12" t="inlineStr">
        <is>
          <t>Alberta</t>
        </is>
      </c>
      <c r="C115" s="12" t="inlineStr">
        <is>
          <t>Rye</t>
        </is>
      </c>
      <c r="D115" s="12" t="n">
        <v>75400</v>
      </c>
      <c r="E115" s="13" t="n">
        <v>51.6</v>
      </c>
    </row>
    <row r="116">
      <c r="A116" s="11" t="n">
        <v>2023</v>
      </c>
      <c r="B116" s="12" t="inlineStr">
        <is>
          <t>Alberta</t>
        </is>
      </c>
      <c r="C116" s="12" t="inlineStr">
        <is>
          <t>Spring wheat</t>
        </is>
      </c>
      <c r="D116" s="12" t="n">
        <v>6804900</v>
      </c>
      <c r="E116" s="13" t="n">
        <v>47.1</v>
      </c>
    </row>
    <row r="117">
      <c r="A117" s="11" t="n">
        <v>2023</v>
      </c>
      <c r="B117" s="12" t="inlineStr">
        <is>
          <t>Alberta</t>
        </is>
      </c>
      <c r="C117" s="12" t="inlineStr">
        <is>
          <t>Wheat (all)</t>
        </is>
      </c>
      <c r="D117" s="12" t="n">
        <v>7954600</v>
      </c>
      <c r="E117" s="13" t="n">
        <v>44.9</v>
      </c>
    </row>
    <row r="118">
      <c r="A118" s="11" t="n">
        <v>2023</v>
      </c>
      <c r="B118" s="12" t="inlineStr">
        <is>
          <t>Alberta</t>
        </is>
      </c>
      <c r="C118" s="12" t="inlineStr">
        <is>
          <t>Winter wheat</t>
        </is>
      </c>
      <c r="D118" s="12" t="n">
        <v>139200</v>
      </c>
      <c r="E118" s="13" t="n">
        <v>48.9</v>
      </c>
    </row>
    <row r="119">
      <c r="A119" s="11" t="n">
        <v>2023</v>
      </c>
      <c r="B119" s="12" t="inlineStr">
        <is>
          <t>British Columbia</t>
        </is>
      </c>
      <c r="C119" s="12" t="inlineStr">
        <is>
          <t>Barley</t>
        </is>
      </c>
      <c r="D119" s="12" t="n">
        <v>65900</v>
      </c>
      <c r="E119" s="13" t="n">
        <v>55.2</v>
      </c>
    </row>
    <row r="120">
      <c r="A120" s="11" t="n">
        <v>2023</v>
      </c>
      <c r="B120" s="12" t="inlineStr">
        <is>
          <t>British Columbia</t>
        </is>
      </c>
      <c r="C120" s="12" t="inlineStr">
        <is>
          <t>Canola</t>
        </is>
      </c>
      <c r="D120" s="12" t="n">
        <v>108600</v>
      </c>
      <c r="E120" s="13" t="n">
        <v>35.1</v>
      </c>
    </row>
    <row r="121">
      <c r="A121" s="11" t="n">
        <v>2023</v>
      </c>
      <c r="B121" s="12" t="inlineStr">
        <is>
          <t>British Columbia</t>
        </is>
      </c>
      <c r="C121" s="12" t="inlineStr">
        <is>
          <t>Corn for grain</t>
        </is>
      </c>
      <c r="D121" s="13" t="n">
        <v>2900</v>
      </c>
      <c r="E121" s="13" t="n">
        <v>135.9</v>
      </c>
    </row>
    <row r="122">
      <c r="A122" s="11" t="n">
        <v>2023</v>
      </c>
      <c r="B122" s="12" t="inlineStr">
        <is>
          <t>British Columbia</t>
        </is>
      </c>
      <c r="C122" s="12" t="inlineStr">
        <is>
          <t>Dry peas</t>
        </is>
      </c>
      <c r="D122" s="12" t="n">
        <v>14700</v>
      </c>
      <c r="E122" s="13" t="n">
        <v>32.1</v>
      </c>
    </row>
    <row r="123">
      <c r="A123" s="11" t="n">
        <v>2023</v>
      </c>
      <c r="B123" s="12" t="inlineStr">
        <is>
          <t>British Columbia</t>
        </is>
      </c>
      <c r="C123" s="12" t="inlineStr">
        <is>
          <t>Mixed grains</t>
        </is>
      </c>
      <c r="D123" s="13" t="n">
        <v>6400</v>
      </c>
      <c r="E123" s="12" t="n"/>
    </row>
    <row r="124">
      <c r="A124" s="11" t="n">
        <v>2023</v>
      </c>
      <c r="B124" s="12" t="inlineStr">
        <is>
          <t>British Columbia</t>
        </is>
      </c>
      <c r="C124" s="12" t="inlineStr">
        <is>
          <t>Oats</t>
        </is>
      </c>
      <c r="D124" s="12" t="n">
        <v>81600</v>
      </c>
      <c r="E124" s="13" t="n">
        <v>70.3</v>
      </c>
    </row>
    <row r="125">
      <c r="A125" s="11" t="n">
        <v>2023</v>
      </c>
      <c r="B125" s="12" t="inlineStr">
        <is>
          <t>British Columbia</t>
        </is>
      </c>
      <c r="C125" s="12" t="inlineStr">
        <is>
          <t>Rye</t>
        </is>
      </c>
      <c r="D125" s="12" t="n">
        <v>12400</v>
      </c>
      <c r="E125" s="12" t="n"/>
    </row>
    <row r="126">
      <c r="A126" s="11" t="n">
        <v>2023</v>
      </c>
      <c r="B126" s="12" t="inlineStr">
        <is>
          <t>British Columbia</t>
        </is>
      </c>
      <c r="C126" s="12" t="inlineStr">
        <is>
          <t>Spring wheat</t>
        </is>
      </c>
      <c r="D126" s="12" t="n">
        <v>90300</v>
      </c>
      <c r="E126" s="13" t="n">
        <v>36.2</v>
      </c>
    </row>
    <row r="127">
      <c r="A127" s="11" t="n">
        <v>2023</v>
      </c>
      <c r="B127" s="12" t="inlineStr">
        <is>
          <t>British Columbia</t>
        </is>
      </c>
      <c r="C127" s="12" t="inlineStr">
        <is>
          <t>Wheat (all)</t>
        </is>
      </c>
      <c r="D127" s="12" t="n">
        <v>110600</v>
      </c>
      <c r="E127" s="13" t="n">
        <v>36.9</v>
      </c>
    </row>
    <row r="128">
      <c r="A128" s="11" t="n">
        <v>2023</v>
      </c>
      <c r="B128" s="12" t="inlineStr">
        <is>
          <t>Manitoba</t>
        </is>
      </c>
      <c r="C128" s="12" t="inlineStr">
        <is>
          <t>Barley</t>
        </is>
      </c>
      <c r="D128" s="12" t="n">
        <v>414500</v>
      </c>
      <c r="E128" s="13" t="n">
        <v>75.40000000000001</v>
      </c>
    </row>
    <row r="129">
      <c r="A129" s="11" t="n">
        <v>2023</v>
      </c>
      <c r="B129" s="12" t="inlineStr">
        <is>
          <t>Manitoba</t>
        </is>
      </c>
      <c r="C129" s="12" t="inlineStr">
        <is>
          <t>Canola</t>
        </is>
      </c>
      <c r="D129" s="12" t="n">
        <v>3128200</v>
      </c>
      <c r="E129" s="13" t="n">
        <v>44.6</v>
      </c>
    </row>
    <row r="130">
      <c r="A130" s="11" t="n">
        <v>2023</v>
      </c>
      <c r="B130" s="12" t="inlineStr">
        <is>
          <t>Manitoba</t>
        </is>
      </c>
      <c r="C130" s="12" t="inlineStr">
        <is>
          <t>Corn for grain</t>
        </is>
      </c>
      <c r="D130" s="12" t="n">
        <v>553900</v>
      </c>
      <c r="E130" s="13" t="n">
        <v>128.4</v>
      </c>
    </row>
    <row r="131">
      <c r="A131" s="11" t="n">
        <v>2023</v>
      </c>
      <c r="B131" s="12" t="inlineStr">
        <is>
          <t>Manitoba</t>
        </is>
      </c>
      <c r="C131" s="12" t="inlineStr">
        <is>
          <t>Dry peas</t>
        </is>
      </c>
      <c r="D131" s="12" t="n">
        <v>161300</v>
      </c>
      <c r="E131" s="13" t="n">
        <v>49.9</v>
      </c>
    </row>
    <row r="132">
      <c r="A132" s="11" t="n">
        <v>2023</v>
      </c>
      <c r="B132" s="12" t="inlineStr">
        <is>
          <t>Manitoba</t>
        </is>
      </c>
      <c r="C132" s="12" t="inlineStr">
        <is>
          <t>Durum wheat</t>
        </is>
      </c>
      <c r="D132" s="12" t="n">
        <v>44400</v>
      </c>
      <c r="E132" s="13" t="n">
        <v>49.8</v>
      </c>
    </row>
    <row r="133">
      <c r="A133" s="11" t="n">
        <v>2023</v>
      </c>
      <c r="B133" s="12" t="inlineStr">
        <is>
          <t>Manitoba</t>
        </is>
      </c>
      <c r="C133" s="12" t="inlineStr">
        <is>
          <t>Flax</t>
        </is>
      </c>
      <c r="D133" s="12" t="n">
        <v>43000</v>
      </c>
      <c r="E133" s="13" t="n">
        <v>25.2</v>
      </c>
    </row>
    <row r="134">
      <c r="A134" s="11" t="n">
        <v>2023</v>
      </c>
      <c r="B134" s="12" t="inlineStr">
        <is>
          <t>Manitoba</t>
        </is>
      </c>
      <c r="C134" s="12" t="inlineStr">
        <is>
          <t>Mixed grains</t>
        </is>
      </c>
      <c r="D134" s="12" t="n">
        <v>30600</v>
      </c>
      <c r="E134" s="13" t="n">
        <v>54.8</v>
      </c>
    </row>
    <row r="135">
      <c r="A135" s="11" t="n">
        <v>2023</v>
      </c>
      <c r="B135" s="12" t="inlineStr">
        <is>
          <t>Manitoba</t>
        </is>
      </c>
      <c r="C135" s="12" t="inlineStr">
        <is>
          <t>Oats</t>
        </is>
      </c>
      <c r="D135" s="12" t="n">
        <v>474900</v>
      </c>
      <c r="E135" s="13" t="n">
        <v>92.59999999999999</v>
      </c>
    </row>
    <row r="136">
      <c r="A136" s="11" t="n">
        <v>2023</v>
      </c>
      <c r="B136" s="12" t="inlineStr">
        <is>
          <t>Manitoba</t>
        </is>
      </c>
      <c r="C136" s="12" t="inlineStr">
        <is>
          <t>Rye</t>
        </is>
      </c>
      <c r="D136" s="12" t="n">
        <v>102700</v>
      </c>
      <c r="E136" s="13" t="n">
        <v>58.9</v>
      </c>
    </row>
    <row r="137">
      <c r="A137" s="11" t="n">
        <v>2023</v>
      </c>
      <c r="B137" s="12" t="inlineStr">
        <is>
          <t>Manitoba</t>
        </is>
      </c>
      <c r="C137" s="12" t="inlineStr">
        <is>
          <t>Soybeans</t>
        </is>
      </c>
      <c r="D137" s="12" t="n">
        <v>1595400</v>
      </c>
      <c r="E137" s="13" t="n">
        <v>36.2</v>
      </c>
    </row>
    <row r="138">
      <c r="A138" s="11" t="n">
        <v>2023</v>
      </c>
      <c r="B138" s="12" t="inlineStr">
        <is>
          <t>Manitoba</t>
        </is>
      </c>
      <c r="C138" s="12" t="inlineStr">
        <is>
          <t>Spring wheat</t>
        </is>
      </c>
      <c r="D138" s="12" t="n">
        <v>3166100</v>
      </c>
      <c r="E138" s="13" t="n">
        <v>62.8</v>
      </c>
    </row>
    <row r="139">
      <c r="A139" s="11" t="n">
        <v>2023</v>
      </c>
      <c r="B139" s="12" t="inlineStr">
        <is>
          <t>Manitoba</t>
        </is>
      </c>
      <c r="C139" s="12" t="inlineStr">
        <is>
          <t>Wheat (all)</t>
        </is>
      </c>
      <c r="D139" s="12" t="n">
        <v>3291700</v>
      </c>
      <c r="E139" s="13" t="n">
        <v>62.5</v>
      </c>
    </row>
    <row r="140">
      <c r="A140" s="11" t="n">
        <v>2023</v>
      </c>
      <c r="B140" s="12" t="inlineStr">
        <is>
          <t>Manitoba</t>
        </is>
      </c>
      <c r="C140" s="12" t="inlineStr">
        <is>
          <t>Winter wheat</t>
        </is>
      </c>
      <c r="D140" s="12" t="n">
        <v>74700</v>
      </c>
      <c r="E140" s="13" t="n">
        <v>59.3</v>
      </c>
    </row>
    <row r="141">
      <c r="A141" s="11" t="n">
        <v>2023</v>
      </c>
      <c r="B141" s="12" t="inlineStr">
        <is>
          <t>New Brunswick</t>
        </is>
      </c>
      <c r="C141" s="12" t="inlineStr">
        <is>
          <t>Barley</t>
        </is>
      </c>
      <c r="D141" s="12" t="n">
        <v>16100</v>
      </c>
      <c r="E141" s="13" t="n">
        <v>54.6</v>
      </c>
    </row>
    <row r="142">
      <c r="A142" s="11" t="n">
        <v>2023</v>
      </c>
      <c r="B142" s="12" t="inlineStr">
        <is>
          <t>New Brunswick</t>
        </is>
      </c>
      <c r="C142" s="12" t="inlineStr">
        <is>
          <t>Canola</t>
        </is>
      </c>
      <c r="D142" s="13" t="n">
        <v>1600</v>
      </c>
      <c r="E142" s="13" t="n">
        <v>45.6</v>
      </c>
    </row>
    <row r="143">
      <c r="A143" s="11" t="n">
        <v>2023</v>
      </c>
      <c r="B143" s="12" t="inlineStr">
        <is>
          <t>New Brunswick</t>
        </is>
      </c>
      <c r="C143" s="12" t="inlineStr">
        <is>
          <t>Corn for grain</t>
        </is>
      </c>
      <c r="D143" s="13" t="n">
        <v>7800</v>
      </c>
      <c r="E143" s="13" t="n">
        <v>137.1</v>
      </c>
    </row>
    <row r="144">
      <c r="A144" s="11" t="n">
        <v>2023</v>
      </c>
      <c r="B144" s="12" t="inlineStr">
        <is>
          <t>New Brunswick</t>
        </is>
      </c>
      <c r="C144" s="12" t="inlineStr">
        <is>
          <t>Mixed grains</t>
        </is>
      </c>
      <c r="D144" s="13" t="n">
        <v>800</v>
      </c>
      <c r="E144" s="12" t="n"/>
    </row>
    <row r="145">
      <c r="A145" s="11" t="n">
        <v>2023</v>
      </c>
      <c r="B145" s="12" t="inlineStr">
        <is>
          <t>New Brunswick</t>
        </is>
      </c>
      <c r="C145" s="12" t="inlineStr">
        <is>
          <t>Oats</t>
        </is>
      </c>
      <c r="D145" s="12" t="n">
        <v>26500</v>
      </c>
      <c r="E145" s="13" t="n">
        <v>70.09999999999999</v>
      </c>
    </row>
    <row r="146">
      <c r="A146" s="11" t="n">
        <v>2023</v>
      </c>
      <c r="B146" s="12" t="inlineStr">
        <is>
          <t>New Brunswick</t>
        </is>
      </c>
      <c r="C146" s="12" t="inlineStr">
        <is>
          <t>Rye</t>
        </is>
      </c>
      <c r="D146" s="13" t="n">
        <v>400</v>
      </c>
      <c r="E146" s="12" t="n"/>
    </row>
    <row r="147">
      <c r="A147" s="11" t="n">
        <v>2023</v>
      </c>
      <c r="B147" s="12" t="inlineStr">
        <is>
          <t>New Brunswick</t>
        </is>
      </c>
      <c r="C147" s="12" t="inlineStr">
        <is>
          <t>Soybeans</t>
        </is>
      </c>
      <c r="D147" s="13" t="n">
        <v>7400</v>
      </c>
      <c r="E147" s="13" t="n">
        <v>41.6</v>
      </c>
    </row>
    <row r="148">
      <c r="A148" s="11" t="n">
        <v>2023</v>
      </c>
      <c r="B148" s="12" t="inlineStr">
        <is>
          <t>New Brunswick</t>
        </is>
      </c>
      <c r="C148" s="12" t="inlineStr">
        <is>
          <t>Spring wheat</t>
        </is>
      </c>
      <c r="D148" s="13" t="n">
        <v>8800</v>
      </c>
      <c r="E148" s="13" t="n">
        <v>42</v>
      </c>
    </row>
    <row r="149">
      <c r="A149" s="11" t="n">
        <v>2023</v>
      </c>
      <c r="B149" s="12" t="inlineStr">
        <is>
          <t>New Brunswick</t>
        </is>
      </c>
      <c r="C149" s="12" t="inlineStr">
        <is>
          <t>Wheat (all)</t>
        </is>
      </c>
      <c r="D149" s="13" t="n">
        <v>9900</v>
      </c>
      <c r="E149" s="13" t="n">
        <v>42.5</v>
      </c>
    </row>
    <row r="150">
      <c r="A150" s="11" t="n">
        <v>2023</v>
      </c>
      <c r="B150" s="12" t="inlineStr">
        <is>
          <t>Newfoundland and Labrador</t>
        </is>
      </c>
      <c r="C150" s="12" t="inlineStr">
        <is>
          <t>Barley</t>
        </is>
      </c>
      <c r="D150" s="13" t="n">
        <v>100</v>
      </c>
      <c r="E150" s="12" t="n"/>
    </row>
    <row r="151">
      <c r="A151" s="11" t="n">
        <v>2023</v>
      </c>
      <c r="B151" s="12" t="inlineStr">
        <is>
          <t>Newfoundland and Labrador</t>
        </is>
      </c>
      <c r="C151" s="12" t="inlineStr">
        <is>
          <t>Oats</t>
        </is>
      </c>
      <c r="D151" s="13" t="n">
        <v>400</v>
      </c>
      <c r="E151" s="12" t="n"/>
    </row>
    <row r="152">
      <c r="A152" s="11" t="n">
        <v>2023</v>
      </c>
      <c r="B152" s="12" t="inlineStr">
        <is>
          <t>Nova Scotia</t>
        </is>
      </c>
      <c r="C152" s="12" t="inlineStr">
        <is>
          <t>Barley</t>
        </is>
      </c>
      <c r="D152" s="13" t="n">
        <v>1900</v>
      </c>
      <c r="E152" s="13" t="n">
        <v>54.4</v>
      </c>
    </row>
    <row r="153">
      <c r="A153" s="11" t="n">
        <v>2023</v>
      </c>
      <c r="B153" s="12" t="inlineStr">
        <is>
          <t>Nova Scotia</t>
        </is>
      </c>
      <c r="C153" s="12" t="inlineStr">
        <is>
          <t>Corn for grain</t>
        </is>
      </c>
      <c r="D153" s="12" t="n">
        <v>18800</v>
      </c>
      <c r="E153" s="13" t="n">
        <v>108</v>
      </c>
    </row>
    <row r="154">
      <c r="A154" s="11" t="n">
        <v>2023</v>
      </c>
      <c r="B154" s="12" t="inlineStr">
        <is>
          <t>Nova Scotia</t>
        </is>
      </c>
      <c r="C154" s="12" t="inlineStr">
        <is>
          <t>Oats</t>
        </is>
      </c>
      <c r="D154" s="13" t="n">
        <v>2400</v>
      </c>
      <c r="E154" s="13" t="n">
        <v>69.3</v>
      </c>
    </row>
    <row r="155">
      <c r="A155" s="11" t="n">
        <v>2023</v>
      </c>
      <c r="B155" s="12" t="inlineStr">
        <is>
          <t>Nova Scotia</t>
        </is>
      </c>
      <c r="C155" s="12" t="inlineStr">
        <is>
          <t>Rye</t>
        </is>
      </c>
      <c r="D155" s="13" t="n">
        <v>2000</v>
      </c>
      <c r="E155" s="13" t="n">
        <v>36.7</v>
      </c>
    </row>
    <row r="156">
      <c r="A156" s="11" t="n">
        <v>2023</v>
      </c>
      <c r="B156" s="12" t="inlineStr">
        <is>
          <t>Nova Scotia</t>
        </is>
      </c>
      <c r="C156" s="12" t="inlineStr">
        <is>
          <t>Soybeans</t>
        </is>
      </c>
      <c r="D156" s="12" t="n">
        <v>11900</v>
      </c>
      <c r="E156" s="13" t="n">
        <v>49.6</v>
      </c>
    </row>
    <row r="157">
      <c r="A157" s="11" t="n">
        <v>2023</v>
      </c>
      <c r="B157" s="12" t="inlineStr">
        <is>
          <t>Nova Scotia</t>
        </is>
      </c>
      <c r="C157" s="12" t="inlineStr">
        <is>
          <t>Wheat (all)</t>
        </is>
      </c>
      <c r="D157" s="13" t="n">
        <v>7100</v>
      </c>
      <c r="E157" s="13" t="n">
        <v>69.2</v>
      </c>
    </row>
    <row r="158">
      <c r="A158" s="11" t="n">
        <v>2023</v>
      </c>
      <c r="B158" s="12" t="inlineStr">
        <is>
          <t>Nova Scotia</t>
        </is>
      </c>
      <c r="C158" s="12" t="inlineStr">
        <is>
          <t>Winter wheat</t>
        </is>
      </c>
      <c r="D158" s="13" t="n">
        <v>5800</v>
      </c>
      <c r="E158" s="13" t="n">
        <v>70.8</v>
      </c>
    </row>
    <row r="159">
      <c r="A159" s="11" t="n">
        <v>2023</v>
      </c>
      <c r="B159" s="12" t="inlineStr">
        <is>
          <t>Ontario</t>
        </is>
      </c>
      <c r="C159" s="12" t="inlineStr">
        <is>
          <t>Barley</t>
        </is>
      </c>
      <c r="D159" s="12" t="n">
        <v>52500</v>
      </c>
      <c r="E159" s="13" t="n">
        <v>69.09999999999999</v>
      </c>
    </row>
    <row r="160">
      <c r="A160" s="11" t="n">
        <v>2023</v>
      </c>
      <c r="B160" s="12" t="inlineStr">
        <is>
          <t>Ontario</t>
        </is>
      </c>
      <c r="C160" s="12" t="inlineStr">
        <is>
          <t>Canola</t>
        </is>
      </c>
      <c r="D160" s="12" t="n">
        <v>45100</v>
      </c>
      <c r="E160" s="13" t="n">
        <v>53.4</v>
      </c>
    </row>
    <row r="161">
      <c r="A161" s="11" t="n">
        <v>2023</v>
      </c>
      <c r="B161" s="12" t="inlineStr">
        <is>
          <t>Ontario</t>
        </is>
      </c>
      <c r="C161" s="12" t="inlineStr">
        <is>
          <t>Corn for grain</t>
        </is>
      </c>
      <c r="D161" s="12" t="n">
        <v>2261200</v>
      </c>
      <c r="E161" s="13" t="n">
        <v>177</v>
      </c>
    </row>
    <row r="162">
      <c r="A162" s="11" t="n">
        <v>2023</v>
      </c>
      <c r="B162" s="12" t="inlineStr">
        <is>
          <t>Ontario</t>
        </is>
      </c>
      <c r="C162" s="12" t="inlineStr">
        <is>
          <t>Dry peas</t>
        </is>
      </c>
      <c r="D162" s="13" t="n">
        <v>4100</v>
      </c>
      <c r="E162" s="13" t="n">
        <v>50.8</v>
      </c>
    </row>
    <row r="163">
      <c r="A163" s="11" t="n">
        <v>2023</v>
      </c>
      <c r="B163" s="12" t="inlineStr">
        <is>
          <t>Ontario</t>
        </is>
      </c>
      <c r="C163" s="12" t="inlineStr">
        <is>
          <t>Mixed grains</t>
        </is>
      </c>
      <c r="D163" s="12" t="n">
        <v>36600</v>
      </c>
      <c r="E163" s="13" t="n">
        <v>68.7</v>
      </c>
    </row>
    <row r="164">
      <c r="A164" s="11" t="n">
        <v>2023</v>
      </c>
      <c r="B164" s="12" t="inlineStr">
        <is>
          <t>Ontario</t>
        </is>
      </c>
      <c r="C164" s="12" t="inlineStr">
        <is>
          <t>Oats</t>
        </is>
      </c>
      <c r="D164" s="12" t="n">
        <v>60600</v>
      </c>
      <c r="E164" s="13" t="n">
        <v>86.59999999999999</v>
      </c>
    </row>
    <row r="165">
      <c r="A165" s="11" t="n">
        <v>2023</v>
      </c>
      <c r="B165" s="12" t="inlineStr">
        <is>
          <t>Ontario</t>
        </is>
      </c>
      <c r="C165" s="12" t="inlineStr">
        <is>
          <t>Rye</t>
        </is>
      </c>
      <c r="D165" s="12" t="n">
        <v>130200</v>
      </c>
      <c r="E165" s="13" t="n">
        <v>45.2</v>
      </c>
    </row>
    <row r="166">
      <c r="A166" s="11" t="n">
        <v>2023</v>
      </c>
      <c r="B166" s="12" t="inlineStr">
        <is>
          <t>Ontario</t>
        </is>
      </c>
      <c r="C166" s="12" t="inlineStr">
        <is>
          <t>Soybeans</t>
        </is>
      </c>
      <c r="D166" s="12" t="n">
        <v>2913000</v>
      </c>
      <c r="E166" s="13" t="n">
        <v>51.4</v>
      </c>
    </row>
    <row r="167">
      <c r="A167" s="11" t="n">
        <v>2023</v>
      </c>
      <c r="B167" s="12" t="inlineStr">
        <is>
          <t>Ontario</t>
        </is>
      </c>
      <c r="C167" s="12" t="inlineStr">
        <is>
          <t>Spring wheat</t>
        </is>
      </c>
      <c r="D167" s="12" t="n">
        <v>80200</v>
      </c>
      <c r="E167" s="13" t="n">
        <v>64.7</v>
      </c>
    </row>
    <row r="168">
      <c r="A168" s="11" t="n">
        <v>2023</v>
      </c>
      <c r="B168" s="12" t="inlineStr">
        <is>
          <t>Ontario</t>
        </is>
      </c>
      <c r="C168" s="12" t="inlineStr">
        <is>
          <t>Wheat (all)</t>
        </is>
      </c>
      <c r="D168" s="12" t="n">
        <v>1194900</v>
      </c>
      <c r="E168" s="13" t="n">
        <v>95.7</v>
      </c>
    </row>
    <row r="169">
      <c r="A169" s="11" t="n">
        <v>2023</v>
      </c>
      <c r="B169" s="12" t="inlineStr">
        <is>
          <t>Ontario</t>
        </is>
      </c>
      <c r="C169" s="12" t="inlineStr">
        <is>
          <t>Winter wheat</t>
        </is>
      </c>
      <c r="D169" s="12" t="n">
        <v>1087000</v>
      </c>
      <c r="E169" s="13" t="n">
        <v>97.90000000000001</v>
      </c>
    </row>
    <row r="170">
      <c r="A170" s="11" t="n">
        <v>2023</v>
      </c>
      <c r="B170" s="12" t="inlineStr">
        <is>
          <t>Prince Edward Island</t>
        </is>
      </c>
      <c r="C170" s="12" t="inlineStr">
        <is>
          <t>Barley</t>
        </is>
      </c>
      <c r="D170" s="12" t="n">
        <v>56300</v>
      </c>
      <c r="E170" s="13" t="n">
        <v>53</v>
      </c>
    </row>
    <row r="171">
      <c r="A171" s="11" t="n">
        <v>2023</v>
      </c>
      <c r="B171" s="12" t="inlineStr">
        <is>
          <t>Prince Edward Island</t>
        </is>
      </c>
      <c r="C171" s="12" t="inlineStr">
        <is>
          <t>Corn for grain</t>
        </is>
      </c>
      <c r="D171" s="12" t="n">
        <v>15600</v>
      </c>
      <c r="E171" s="13" t="n">
        <v>135.9</v>
      </c>
    </row>
    <row r="172">
      <c r="A172" s="11" t="n">
        <v>2023</v>
      </c>
      <c r="B172" s="12" t="inlineStr">
        <is>
          <t>Prince Edward Island</t>
        </is>
      </c>
      <c r="C172" s="12" t="inlineStr">
        <is>
          <t>Dry peas</t>
        </is>
      </c>
      <c r="D172" s="13" t="n">
        <v>1200</v>
      </c>
      <c r="E172" s="12" t="n"/>
    </row>
    <row r="173">
      <c r="A173" s="11" t="n">
        <v>2023</v>
      </c>
      <c r="B173" s="12" t="inlineStr">
        <is>
          <t>Prince Edward Island</t>
        </is>
      </c>
      <c r="C173" s="12" t="inlineStr">
        <is>
          <t>Mixed grains</t>
        </is>
      </c>
      <c r="D173" s="13" t="n">
        <v>1700</v>
      </c>
      <c r="E173" s="12" t="n"/>
    </row>
    <row r="174">
      <c r="A174" s="11" t="n">
        <v>2023</v>
      </c>
      <c r="B174" s="12" t="inlineStr">
        <is>
          <t>Prince Edward Island</t>
        </is>
      </c>
      <c r="C174" s="12" t="inlineStr">
        <is>
          <t>Oats</t>
        </is>
      </c>
      <c r="D174" s="13" t="n">
        <v>5200</v>
      </c>
      <c r="E174" s="13" t="n">
        <v>58.5</v>
      </c>
    </row>
    <row r="175">
      <c r="A175" s="11" t="n">
        <v>2023</v>
      </c>
      <c r="B175" s="12" t="inlineStr">
        <is>
          <t>Prince Edward Island</t>
        </is>
      </c>
      <c r="C175" s="12" t="inlineStr">
        <is>
          <t>Rye</t>
        </is>
      </c>
      <c r="D175" s="13" t="n">
        <v>7200</v>
      </c>
      <c r="E175" s="13" t="n">
        <v>45</v>
      </c>
    </row>
    <row r="176">
      <c r="A176" s="11" t="n">
        <v>2023</v>
      </c>
      <c r="B176" s="12" t="inlineStr">
        <is>
          <t>Prince Edward Island</t>
        </is>
      </c>
      <c r="C176" s="12" t="inlineStr">
        <is>
          <t>Soybeans</t>
        </is>
      </c>
      <c r="D176" s="12" t="n">
        <v>32400</v>
      </c>
      <c r="E176" s="13" t="n">
        <v>45</v>
      </c>
    </row>
    <row r="177">
      <c r="A177" s="11" t="n">
        <v>2023</v>
      </c>
      <c r="B177" s="12" t="inlineStr">
        <is>
          <t>Prince Edward Island</t>
        </is>
      </c>
      <c r="C177" s="12" t="inlineStr">
        <is>
          <t>Spring wheat</t>
        </is>
      </c>
      <c r="D177" s="12" t="n">
        <v>20100</v>
      </c>
      <c r="E177" s="13" t="n">
        <v>49.3</v>
      </c>
    </row>
    <row r="178">
      <c r="A178" s="11" t="n">
        <v>2023</v>
      </c>
      <c r="B178" s="12" t="inlineStr">
        <is>
          <t>Prince Edward Island</t>
        </is>
      </c>
      <c r="C178" s="12" t="inlineStr">
        <is>
          <t>Wheat (all)</t>
        </is>
      </c>
      <c r="D178" s="12" t="n">
        <v>47300</v>
      </c>
      <c r="E178" s="13" t="n">
        <v>63.9</v>
      </c>
    </row>
    <row r="179">
      <c r="A179" s="11" t="n">
        <v>2023</v>
      </c>
      <c r="B179" s="12" t="inlineStr">
        <is>
          <t>Prince Edward Island</t>
        </is>
      </c>
      <c r="C179" s="12" t="inlineStr">
        <is>
          <t>Winter wheat</t>
        </is>
      </c>
      <c r="D179" s="12" t="n">
        <v>20900</v>
      </c>
      <c r="E179" s="13" t="n">
        <v>78.8</v>
      </c>
    </row>
    <row r="180">
      <c r="A180" s="11" t="n">
        <v>2023</v>
      </c>
      <c r="B180" s="12" t="inlineStr">
        <is>
          <t>Quebec</t>
        </is>
      </c>
      <c r="C180" s="12" t="inlineStr">
        <is>
          <t>Barley</t>
        </is>
      </c>
      <c r="D180" s="12" t="n">
        <v>84500</v>
      </c>
      <c r="E180" s="13" t="n">
        <v>46.1</v>
      </c>
    </row>
    <row r="181">
      <c r="A181" s="11" t="n">
        <v>2023</v>
      </c>
      <c r="B181" s="12" t="inlineStr">
        <is>
          <t>Quebec</t>
        </is>
      </c>
      <c r="C181" s="12" t="inlineStr">
        <is>
          <t>Canola</t>
        </is>
      </c>
      <c r="D181" s="12" t="n">
        <v>38600</v>
      </c>
      <c r="E181" s="13" t="n">
        <v>40.9</v>
      </c>
    </row>
    <row r="182">
      <c r="A182" s="11" t="n">
        <v>2023</v>
      </c>
      <c r="B182" s="12" t="inlineStr">
        <is>
          <t>Quebec</t>
        </is>
      </c>
      <c r="C182" s="12" t="inlineStr">
        <is>
          <t>Corn for grain</t>
        </is>
      </c>
      <c r="D182" s="12" t="n">
        <v>898300</v>
      </c>
      <c r="E182" s="13" t="n">
        <v>148.1</v>
      </c>
    </row>
    <row r="183">
      <c r="A183" s="11" t="n">
        <v>2023</v>
      </c>
      <c r="B183" s="12" t="inlineStr">
        <is>
          <t>Quebec</t>
        </is>
      </c>
      <c r="C183" s="12" t="inlineStr">
        <is>
          <t>Dry peas</t>
        </is>
      </c>
      <c r="D183" s="13" t="n">
        <v>7800</v>
      </c>
      <c r="E183" s="13" t="n">
        <v>27.9</v>
      </c>
    </row>
    <row r="184">
      <c r="A184" s="11" t="n">
        <v>2023</v>
      </c>
      <c r="B184" s="12" t="inlineStr">
        <is>
          <t>Quebec</t>
        </is>
      </c>
      <c r="C184" s="12" t="inlineStr">
        <is>
          <t>Durum wheat</t>
        </is>
      </c>
      <c r="D184" s="13" t="n">
        <v>9900</v>
      </c>
      <c r="E184" s="13" t="n">
        <v>39.2</v>
      </c>
    </row>
    <row r="185">
      <c r="A185" s="11" t="n">
        <v>2023</v>
      </c>
      <c r="B185" s="12" t="inlineStr">
        <is>
          <t>Quebec</t>
        </is>
      </c>
      <c r="C185" s="12" t="inlineStr">
        <is>
          <t>Mixed grains</t>
        </is>
      </c>
      <c r="D185" s="12" t="n">
        <v>24800</v>
      </c>
      <c r="E185" s="13" t="n">
        <v>51.5</v>
      </c>
    </row>
    <row r="186">
      <c r="A186" s="11" t="n">
        <v>2023</v>
      </c>
      <c r="B186" s="12" t="inlineStr">
        <is>
          <t>Quebec</t>
        </is>
      </c>
      <c r="C186" s="12" t="inlineStr">
        <is>
          <t>Oats</t>
        </is>
      </c>
      <c r="D186" s="12" t="n">
        <v>151700</v>
      </c>
      <c r="E186" s="13" t="n">
        <v>63.3</v>
      </c>
    </row>
    <row r="187">
      <c r="A187" s="11" t="n">
        <v>2023</v>
      </c>
      <c r="B187" s="12" t="inlineStr">
        <is>
          <t>Quebec</t>
        </is>
      </c>
      <c r="C187" s="12" t="inlineStr">
        <is>
          <t>Rye</t>
        </is>
      </c>
      <c r="D187" s="12" t="n">
        <v>70200</v>
      </c>
      <c r="E187" s="13" t="n">
        <v>41.6</v>
      </c>
    </row>
    <row r="188">
      <c r="A188" s="11" t="n">
        <v>2023</v>
      </c>
      <c r="B188" s="12" t="inlineStr">
        <is>
          <t>Quebec</t>
        </is>
      </c>
      <c r="C188" s="12" t="inlineStr">
        <is>
          <t>Soybeans</t>
        </is>
      </c>
      <c r="D188" s="12" t="n">
        <v>1001500</v>
      </c>
      <c r="E188" s="13" t="n">
        <v>48.9</v>
      </c>
    </row>
    <row r="189">
      <c r="A189" s="11" t="n">
        <v>2023</v>
      </c>
      <c r="B189" s="12" t="inlineStr">
        <is>
          <t>Quebec</t>
        </is>
      </c>
      <c r="C189" s="12" t="inlineStr">
        <is>
          <t>Spring wheat</t>
        </is>
      </c>
      <c r="D189" s="12" t="n">
        <v>184800</v>
      </c>
      <c r="E189" s="13" t="n">
        <v>37.2</v>
      </c>
    </row>
    <row r="190">
      <c r="A190" s="11" t="n">
        <v>2023</v>
      </c>
      <c r="B190" s="12" t="inlineStr">
        <is>
          <t>Quebec</t>
        </is>
      </c>
      <c r="C190" s="12" t="inlineStr">
        <is>
          <t>Wheat (all)</t>
        </is>
      </c>
      <c r="D190" s="12" t="n">
        <v>262000</v>
      </c>
      <c r="E190" s="13" t="n">
        <v>41.3</v>
      </c>
    </row>
    <row r="191">
      <c r="A191" s="11" t="n">
        <v>2023</v>
      </c>
      <c r="B191" s="12" t="inlineStr">
        <is>
          <t>Quebec</t>
        </is>
      </c>
      <c r="C191" s="12" t="inlineStr">
        <is>
          <t>Winter wheat</t>
        </is>
      </c>
      <c r="D191" s="12" t="n">
        <v>62600</v>
      </c>
      <c r="E191" s="13" t="n">
        <v>54.4</v>
      </c>
    </row>
    <row r="192">
      <c r="A192" s="11" t="n">
        <v>2023</v>
      </c>
      <c r="B192" s="12" t="inlineStr">
        <is>
          <t>Saskatchewan</t>
        </is>
      </c>
      <c r="C192" s="12" t="inlineStr">
        <is>
          <t>Barley</t>
        </is>
      </c>
      <c r="D192" s="12" t="n">
        <v>2803800</v>
      </c>
      <c r="E192" s="13" t="n">
        <v>57.4</v>
      </c>
    </row>
    <row r="193">
      <c r="A193" s="11" t="n">
        <v>2023</v>
      </c>
      <c r="B193" s="12" t="inlineStr">
        <is>
          <t>Saskatchewan</t>
        </is>
      </c>
      <c r="C193" s="12" t="inlineStr">
        <is>
          <t>Canola</t>
        </is>
      </c>
      <c r="D193" s="12" t="n">
        <v>12400400</v>
      </c>
      <c r="E193" s="13" t="n">
        <v>37.4</v>
      </c>
    </row>
    <row r="194">
      <c r="A194" s="11" t="n">
        <v>2023</v>
      </c>
      <c r="B194" s="12" t="inlineStr">
        <is>
          <t>Saskatchewan</t>
        </is>
      </c>
      <c r="C194" s="12" t="inlineStr">
        <is>
          <t>Corn for grain</t>
        </is>
      </c>
      <c r="D194" s="12" t="n">
        <v>28600</v>
      </c>
      <c r="E194" s="12" t="n"/>
    </row>
    <row r="195">
      <c r="A195" s="11" t="n">
        <v>2023</v>
      </c>
      <c r="B195" s="12" t="inlineStr">
        <is>
          <t>Saskatchewan</t>
        </is>
      </c>
      <c r="C195" s="12" t="inlineStr">
        <is>
          <t>Dry peas</t>
        </is>
      </c>
      <c r="D195" s="12" t="n">
        <v>1597200</v>
      </c>
      <c r="E195" s="13" t="n">
        <v>29.8</v>
      </c>
    </row>
    <row r="196">
      <c r="A196" s="11" t="n">
        <v>2023</v>
      </c>
      <c r="B196" s="12" t="inlineStr">
        <is>
          <t>Saskatchewan</t>
        </is>
      </c>
      <c r="C196" s="12" t="inlineStr">
        <is>
          <t>Durum wheat</t>
        </is>
      </c>
      <c r="D196" s="12" t="n">
        <v>4970700</v>
      </c>
      <c r="E196" s="13" t="n">
        <v>25.6</v>
      </c>
    </row>
    <row r="197">
      <c r="A197" s="11" t="n">
        <v>2023</v>
      </c>
      <c r="B197" s="12" t="inlineStr">
        <is>
          <t>Saskatchewan</t>
        </is>
      </c>
      <c r="C197" s="12" t="inlineStr">
        <is>
          <t>Flax</t>
        </is>
      </c>
      <c r="D197" s="12" t="n">
        <v>518400</v>
      </c>
      <c r="E197" s="13" t="n">
        <v>17.6</v>
      </c>
    </row>
    <row r="198">
      <c r="A198" s="11" t="n">
        <v>2023</v>
      </c>
      <c r="B198" s="12" t="inlineStr">
        <is>
          <t>Saskatchewan</t>
        </is>
      </c>
      <c r="C198" s="12" t="inlineStr">
        <is>
          <t>Mixed grains</t>
        </is>
      </c>
      <c r="D198" s="12" t="n">
        <v>88200</v>
      </c>
      <c r="E198" s="13" t="n">
        <v>30</v>
      </c>
    </row>
    <row r="199">
      <c r="A199" s="11" t="n">
        <v>2023</v>
      </c>
      <c r="B199" s="12" t="inlineStr">
        <is>
          <t>Saskatchewan</t>
        </is>
      </c>
      <c r="C199" s="12" t="inlineStr">
        <is>
          <t>Oats</t>
        </is>
      </c>
      <c r="D199" s="12" t="n">
        <v>1033000</v>
      </c>
      <c r="E199" s="13" t="n">
        <v>83.40000000000001</v>
      </c>
    </row>
    <row r="200">
      <c r="A200" s="11" t="n">
        <v>2023</v>
      </c>
      <c r="B200" s="12" t="inlineStr">
        <is>
          <t>Saskatchewan</t>
        </is>
      </c>
      <c r="C200" s="12" t="inlineStr">
        <is>
          <t>Rye</t>
        </is>
      </c>
      <c r="D200" s="12" t="n">
        <v>53400</v>
      </c>
      <c r="E200" s="13" t="n">
        <v>40.3</v>
      </c>
    </row>
    <row r="201">
      <c r="A201" s="11" t="n">
        <v>2023</v>
      </c>
      <c r="B201" s="12" t="inlineStr">
        <is>
          <t>Saskatchewan</t>
        </is>
      </c>
      <c r="C201" s="12" t="inlineStr">
        <is>
          <t>Soybeans</t>
        </is>
      </c>
      <c r="D201" s="12" t="n">
        <v>68000</v>
      </c>
      <c r="E201" s="13" t="n">
        <v>24.2</v>
      </c>
    </row>
    <row r="202">
      <c r="A202" s="11" t="n">
        <v>2023</v>
      </c>
      <c r="B202" s="12" t="inlineStr">
        <is>
          <t>Saskatchewan</t>
        </is>
      </c>
      <c r="C202" s="12" t="inlineStr">
        <is>
          <t>Spring wheat</t>
        </is>
      </c>
      <c r="D202" s="12" t="n">
        <v>9141200</v>
      </c>
      <c r="E202" s="13" t="n">
        <v>46.9</v>
      </c>
    </row>
    <row r="203">
      <c r="A203" s="11" t="n">
        <v>2023</v>
      </c>
      <c r="B203" s="12" t="inlineStr">
        <is>
          <t>Saskatchewan</t>
        </is>
      </c>
      <c r="C203" s="12" t="inlineStr">
        <is>
          <t>Wheat (all)</t>
        </is>
      </c>
      <c r="D203" s="12" t="n">
        <v>14172100</v>
      </c>
      <c r="E203" s="13" t="n">
        <v>39.5</v>
      </c>
    </row>
    <row r="204">
      <c r="A204" s="11" t="n">
        <v>2023</v>
      </c>
      <c r="B204" s="12" t="inlineStr">
        <is>
          <t>Saskatchewan</t>
        </is>
      </c>
      <c r="C204" s="12" t="inlineStr">
        <is>
          <t>Winter wheat</t>
        </is>
      </c>
      <c r="D204" s="12" t="n">
        <v>50300</v>
      </c>
      <c r="E204" s="13" t="n">
        <v>52.3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2026-08-20T17:23:48Z</dcterms:created>
  <dcterms:modified xsi:type="dcterms:W3CDTF">2026-08-20T17:23:48Z</dcterms:modified>
</cp:coreProperties>
</file>