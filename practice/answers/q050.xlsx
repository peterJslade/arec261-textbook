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" fontId="0" fillId="3" borderId="0" pivotButton="0" quotePrefix="0" xfId="0"/>
    <xf numFmtId="1" fontId="0" fillId="5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</row>
    <row r="1005">
      <c r="A1005" t="n">
        <v>2021</v>
      </c>
      <c r="B1005" t="n">
        <v>44</v>
      </c>
      <c r="C1005" t="n">
        <v>3.9</v>
      </c>
      <c r="I1005" t="n">
        <v>46</v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</row>
    <row r="1064">
      <c r="A1064" t="n">
        <v>2008</v>
      </c>
      <c r="B1064" t="n">
        <v>46</v>
      </c>
      <c r="D1064" t="n">
        <v>19.1</v>
      </c>
    </row>
    <row r="1065">
      <c r="A1065" t="n">
        <v>2009</v>
      </c>
      <c r="B1065" t="n">
        <v>46</v>
      </c>
      <c r="D1065" t="n">
        <v>31.6</v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</row>
    <row r="2961">
      <c r="A2961" t="n">
        <v>1997</v>
      </c>
      <c r="B2961" t="n">
        <v>132</v>
      </c>
      <c r="C2961" t="n">
        <v>21.4</v>
      </c>
      <c r="D2961" t="n">
        <v>20.8</v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</row>
    <row r="2965">
      <c r="A2965" t="n">
        <v>2001</v>
      </c>
      <c r="B2965" t="n">
        <v>132</v>
      </c>
      <c r="C2965" t="n">
        <v>9.199999999999999</v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t="n">
        <v>48.3</v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t="n">
        <v>29.4</v>
      </c>
      <c r="F2972" t="n">
        <v>42.3</v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</row>
    <row r="3008">
      <c r="A3008" t="n">
        <v>2009</v>
      </c>
      <c r="B3008" t="n">
        <v>133</v>
      </c>
      <c r="D3008" t="n">
        <v>30.1</v>
      </c>
      <c r="H3008" t="n">
        <v>35.5</v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</row>
    <row r="3763">
      <c r="A3763" t="n">
        <v>2008</v>
      </c>
      <c r="B3763" t="n">
        <v>163</v>
      </c>
      <c r="C3763" t="n">
        <v>28.3</v>
      </c>
      <c r="G3763" t="n">
        <v>39</v>
      </c>
    </row>
    <row r="3764">
      <c r="A3764" t="n">
        <v>2009</v>
      </c>
      <c r="B3764" t="n">
        <v>163</v>
      </c>
      <c r="C3764" t="n">
        <v>32.7</v>
      </c>
      <c r="G3764" t="n">
        <v>43.1</v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</row>
    <row r="4554">
      <c r="A4554" t="n">
        <v>2007</v>
      </c>
      <c r="B4554" t="n">
        <v>215</v>
      </c>
      <c r="C4554" t="n">
        <v>23.1</v>
      </c>
      <c r="G4554" t="n">
        <v>64.3</v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</row>
    <row r="5059">
      <c r="A5059" t="n">
        <v>2008</v>
      </c>
      <c r="B5059" t="n">
        <v>230</v>
      </c>
      <c r="D5059" t="n">
        <v>38.5</v>
      </c>
      <c r="H5059" t="n">
        <v>31.1</v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</row>
    <row r="5886">
      <c r="A5886" t="n">
        <v>2007</v>
      </c>
      <c r="B5886" t="n">
        <v>274</v>
      </c>
      <c r="C5886" t="n">
        <v>19.6</v>
      </c>
      <c r="G5886" t="n">
        <v>38.7</v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t="n">
        <v>28.5</v>
      </c>
      <c r="F6447" t="n">
        <v>34.4</v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</row>
    <row r="6476">
      <c r="A6476" t="n">
        <v>2002</v>
      </c>
      <c r="B6476" t="n">
        <v>301</v>
      </c>
      <c r="C6476" t="n">
        <v>28.9</v>
      </c>
      <c r="F6476" t="n">
        <v>28.8</v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</row>
    <row r="6479">
      <c r="A6479" t="n">
        <v>2005</v>
      </c>
      <c r="B6479" t="n">
        <v>301</v>
      </c>
      <c r="C6479" t="n">
        <v>42.7</v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</row>
    <row r="6483">
      <c r="A6483" t="n">
        <v>2009</v>
      </c>
      <c r="B6483" t="n">
        <v>301</v>
      </c>
      <c r="C6483" t="n">
        <v>42.8</v>
      </c>
      <c r="E6483" t="n">
        <v>37.7</v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</row>
    <row r="7130">
      <c r="A7130" t="n">
        <v>2008</v>
      </c>
      <c r="B7130" t="n">
        <v>322</v>
      </c>
      <c r="C7130" t="n">
        <v>24.5</v>
      </c>
      <c r="D7130" t="n">
        <v>34.7</v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</row>
    <row r="7163">
      <c r="A7163" t="n">
        <v>2005</v>
      </c>
      <c r="B7163" t="n">
        <v>331</v>
      </c>
      <c r="C7163" t="n">
        <v>47.1</v>
      </c>
      <c r="E7163" t="n">
        <v>39.7</v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</row>
    <row r="9869">
      <c r="A9869" t="n">
        <v>2002</v>
      </c>
      <c r="B9869" t="n">
        <v>469</v>
      </c>
      <c r="C9869" t="n">
        <v>2.7</v>
      </c>
      <c r="H9869" t="n">
        <v>2.3</v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t="n">
        <v>16.7</v>
      </c>
      <c r="H9906" t="n">
        <v>15</v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</row>
    <row r="9909">
      <c r="A9909" t="n">
        <v>2006</v>
      </c>
      <c r="B9909" t="n">
        <v>470</v>
      </c>
      <c r="C9909" t="n">
        <v>39.8</v>
      </c>
    </row>
    <row r="9910">
      <c r="A9910" t="n">
        <v>2007</v>
      </c>
      <c r="B9910" t="n">
        <v>470</v>
      </c>
      <c r="C9910" t="n">
        <v>37.7</v>
      </c>
      <c r="E9910" t="n">
        <v>36.2</v>
      </c>
    </row>
    <row r="9911">
      <c r="A9911" t="n">
        <v>2008</v>
      </c>
      <c r="B9911" t="n">
        <v>470</v>
      </c>
      <c r="G9911" t="n">
        <v>79.09999999999999</v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</row>
    <row r="10511">
      <c r="A10511" t="n">
        <v>1993</v>
      </c>
      <c r="B10511" t="n">
        <v>555</v>
      </c>
      <c r="C10511" t="n">
        <v>26.7</v>
      </c>
      <c r="G10511" t="n">
        <v>85</v>
      </c>
    </row>
    <row r="10512">
      <c r="A10512" t="n">
        <v>1994</v>
      </c>
      <c r="B10512" t="n">
        <v>555</v>
      </c>
      <c r="E105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t="n">
        <v>50.4</v>
      </c>
      <c r="G10536" t="n">
        <v>81.8</v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</row>
    <row r="10541">
      <c r="A10541" t="n">
        <v>2024</v>
      </c>
      <c r="B10541" t="n">
        <v>555</v>
      </c>
      <c r="C10541" t="n">
        <v>56.9</v>
      </c>
      <c r="E10541" t="n">
        <v>30.9</v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2021</t>
        </is>
      </c>
      <c r="C1" s="1" t="inlineStr">
        <is>
          <t>2023</t>
        </is>
      </c>
    </row>
    <row r="2">
      <c r="A2" s="1" t="inlineStr">
        <is>
          <t>Average canola (a)</t>
        </is>
      </c>
      <c r="B2" s="2">
        <f>AVERAGEIF(Data!$A$2:$A$10650,2021,Data!$E$2:$E$10650)</f>
        <v/>
      </c>
      <c r="C2" s="2">
        <f>AVERAGEIF(Data!$A$2:$A$10650,2023,Data!$E$2:$E$10650)</f>
        <v/>
      </c>
    </row>
    <row r="3">
      <c r="A3" s="1" t="inlineStr">
        <is>
          <t>RMs below 20 (b/c)</t>
        </is>
      </c>
      <c r="B3" s="3">
        <f>COUNTIFS(Data!$A$2:$A$10650,2021,Data!$E$2:$E$10650,"&lt;20")</f>
        <v/>
      </c>
      <c r="C3" s="4">
        <f>COUNTIFS(Data!$A$2:$A$10650,2023,Data!$E$2:$E$10650,"&lt;20")</f>
        <v/>
      </c>
    </row>
    <row r="5" ht="64" customHeight="1">
      <c r="A5" s="5" t="inlineStr">
        <is>
          <t>(d) 120 RMs fell below 20 bu/ac in 2021 against 57 in 2023 -- more than twice as many. 2021 did not just lower the average; it pushed a much larger share of RMs to very low yields, which the average alone would not show.</t>
        </is>
      </c>
    </row>
    <row r="7">
      <c r="A7" s="1" t="inlineStr">
        <is>
          <t>Legend: colours mark question parts</t>
        </is>
      </c>
    </row>
    <row r="8">
      <c r="A8" s="6" t="inlineStr">
        <is>
          <t>Part (a)</t>
        </is>
      </c>
    </row>
    <row r="9">
      <c r="A9" s="7" t="inlineStr">
        <is>
          <t>Part (b)</t>
        </is>
      </c>
    </row>
    <row r="10">
      <c r="A10" s="8" t="inlineStr">
        <is>
          <t>Part (c)</t>
        </is>
      </c>
    </row>
    <row r="11">
      <c r="A11" s="9" t="inlineStr">
        <is>
          <t>Part (d)</t>
        </is>
      </c>
    </row>
  </sheetData>
  <mergeCells count="1"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2026-09-02T00:12:52Z</dcterms:created>
  <dcterms:modified xmlns:dcterms="http://purl.org/dc/terms/" xmlns:xsi="http://www.w3.org/2001/XMLSchema-instance" xsi:type="dcterms:W3CDTF">2026-09-02T00:12:52Z</dcterms:modified>
</cp:coreProperties>
</file>