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Question 57 -- Oats, all provinces, all years (Data sheet, column E)</t>
        </is>
      </c>
    </row>
    <row r="3">
      <c r="A3" s="2" t="inlineStr">
        <is>
          <t>Mean</t>
        </is>
      </c>
      <c r="B3" s="3">
        <f>AVERAGE('Data'!E2:E107)</f>
        <v/>
      </c>
    </row>
    <row r="4">
      <c r="A4" s="2" t="inlineStr">
        <is>
          <t>Median</t>
        </is>
      </c>
      <c r="B4" s="3">
        <f>MEDIAN('Data'!E2:E107)</f>
        <v/>
      </c>
    </row>
    <row r="5">
      <c r="A5" s="2" t="inlineStr">
        <is>
          <t>CV</t>
        </is>
      </c>
      <c r="B5" s="4">
        <f>_xlfn.STDEV.S('Data'!E2:E107)/AVERAGE('Data'!E2:E107)</f>
        <v/>
      </c>
    </row>
    <row r="6">
      <c r="A6" s="5" t="inlineStr">
        <is>
          <t>Q1</t>
        </is>
      </c>
      <c r="B6" s="6">
        <f>_xlfn.QUARTILE.INC('Data'!E2:E107,1)</f>
        <v/>
      </c>
    </row>
    <row r="7">
      <c r="A7" s="5" t="inlineStr">
        <is>
          <t>Q3</t>
        </is>
      </c>
      <c r="B7" s="6">
        <f>_xlfn.QUARTILE.INC('Data'!E2:E107,3)</f>
        <v/>
      </c>
    </row>
    <row r="8">
      <c r="A8" s="5" t="inlineStr">
        <is>
          <t>IQR</t>
        </is>
      </c>
      <c r="B8" s="6">
        <f>B7-B6</f>
        <v/>
      </c>
    </row>
    <row r="10">
      <c r="A10" s="7" t="inlineStr">
        <is>
          <t>Here the mean (79.4) sits above the median (75.9), a slight right skew. The Saskatchewan RM figures lean the same way (mean 64.7 against median 61.8), so both are right-skewed -- the provincial values are higher and less spread, but the direction of the skew survives aggregation.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4">
      <c r="A14" s="9" t="inlineStr">
        <is>
          <t>The provincial data is about 10 provinces times 11 years, and each value is already an average over many farms -- far fewer and smoother numbers than roughly 300 RMs over 36 years.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7">
      <c r="A17" s="11" t="inlineStr">
        <is>
          <t>Fine-grained data shows local variation but is noisier and patchier; coarse data is clean and comparable but hides within-province detail.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20">
      <c r="A20" s="2" t="inlineStr">
        <is>
          <t>Part (a)</t>
        </is>
      </c>
    </row>
    <row r="21">
      <c r="A21" s="5" t="inlineStr">
        <is>
          <t>Part (b)</t>
        </is>
      </c>
    </row>
    <row r="22">
      <c r="A22" s="8" t="inlineStr">
        <is>
          <t>Part (c)</t>
        </is>
      </c>
    </row>
    <row r="23">
      <c r="A23" s="10" t="inlineStr">
        <is>
          <t>Part (d)</t>
        </is>
      </c>
    </row>
    <row r="24">
      <c r="A24" s="12" t="inlineStr">
        <is>
          <t>Part (e)</t>
        </is>
      </c>
    </row>
  </sheetData>
  <mergeCells count="3">
    <mergeCell ref="A17:H18"/>
    <mergeCell ref="A10:H12"/>
    <mergeCell ref="A14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Oats</t>
        </is>
      </c>
      <c r="D2" t="n">
        <v>725000</v>
      </c>
      <c r="E2" t="n">
        <v>70.8</v>
      </c>
    </row>
    <row r="3">
      <c r="A3" t="n">
        <v>2015</v>
      </c>
      <c r="B3" t="inlineStr">
        <is>
          <t>British Columbia</t>
        </is>
      </c>
      <c r="C3" t="inlineStr">
        <is>
          <t>Oats</t>
        </is>
      </c>
      <c r="D3" t="n">
        <v>75000</v>
      </c>
      <c r="E3" t="n">
        <v>75.2</v>
      </c>
    </row>
    <row r="4">
      <c r="A4" t="n">
        <v>2015</v>
      </c>
      <c r="B4" t="inlineStr">
        <is>
          <t>Manitoba</t>
        </is>
      </c>
      <c r="C4" t="inlineStr">
        <is>
          <t>Oats</t>
        </is>
      </c>
      <c r="D4" t="n">
        <v>490000</v>
      </c>
      <c r="E4" t="n">
        <v>94.09999999999999</v>
      </c>
    </row>
    <row r="5">
      <c r="A5" t="n">
        <v>2015</v>
      </c>
      <c r="B5" t="inlineStr">
        <is>
          <t>New Brunswick</t>
        </is>
      </c>
      <c r="C5" t="inlineStr">
        <is>
          <t>Oats</t>
        </is>
      </c>
      <c r="D5" t="n">
        <v>27000</v>
      </c>
      <c r="E5" t="n">
        <v>78.90000000000001</v>
      </c>
    </row>
    <row r="6">
      <c r="A6" t="n">
        <v>2015</v>
      </c>
      <c r="B6" t="inlineStr">
        <is>
          <t>Nova Scotia</t>
        </is>
      </c>
      <c r="C6" t="inlineStr">
        <is>
          <t>Oats</t>
        </is>
      </c>
      <c r="D6" t="n">
        <v>4000</v>
      </c>
      <c r="E6" t="n">
        <v>66.5</v>
      </c>
    </row>
    <row r="7">
      <c r="A7" t="n">
        <v>2015</v>
      </c>
      <c r="B7" t="inlineStr">
        <is>
          <t>Ontario</t>
        </is>
      </c>
      <c r="C7" t="inlineStr">
        <is>
          <t>Oats</t>
        </is>
      </c>
      <c r="D7" t="n">
        <v>130000</v>
      </c>
      <c r="E7" t="n">
        <v>87</v>
      </c>
    </row>
    <row r="8">
      <c r="A8" t="n">
        <v>2015</v>
      </c>
      <c r="B8" t="inlineStr">
        <is>
          <t>Prince Edward Island</t>
        </is>
      </c>
      <c r="C8" t="inlineStr">
        <is>
          <t>Oats</t>
        </is>
      </c>
      <c r="D8" t="n">
        <v>12000</v>
      </c>
      <c r="E8" t="n">
        <v>70.8</v>
      </c>
    </row>
    <row r="9">
      <c r="A9" t="n">
        <v>2015</v>
      </c>
      <c r="B9" t="inlineStr">
        <is>
          <t>Quebec</t>
        </is>
      </c>
      <c r="C9" t="inlineStr">
        <is>
          <t>Oats</t>
        </is>
      </c>
      <c r="D9" t="n">
        <v>247200</v>
      </c>
      <c r="E9" t="n">
        <v>67.5</v>
      </c>
    </row>
    <row r="10">
      <c r="A10" t="n">
        <v>2015</v>
      </c>
      <c r="B10" t="inlineStr">
        <is>
          <t>Saskatchewan</t>
        </is>
      </c>
      <c r="C10" t="inlineStr">
        <is>
          <t>Oats</t>
        </is>
      </c>
      <c r="D10" t="n">
        <v>1650000</v>
      </c>
      <c r="E10" t="n">
        <v>90.90000000000001</v>
      </c>
    </row>
    <row r="11">
      <c r="A11" t="n">
        <v>2016</v>
      </c>
      <c r="B11" t="inlineStr">
        <is>
          <t>Alberta</t>
        </is>
      </c>
      <c r="C11" t="inlineStr">
        <is>
          <t>Oats</t>
        </is>
      </c>
      <c r="D11" t="n">
        <v>822200</v>
      </c>
      <c r="E11" t="n">
        <v>94.2</v>
      </c>
    </row>
    <row r="12">
      <c r="A12" t="n">
        <v>2016</v>
      </c>
      <c r="B12" t="inlineStr">
        <is>
          <t>British Columbia</t>
        </is>
      </c>
      <c r="C12" t="inlineStr">
        <is>
          <t>Oats</t>
        </is>
      </c>
      <c r="D12" t="n">
        <v>68000</v>
      </c>
      <c r="E12" t="n">
        <v>98.59999999999999</v>
      </c>
    </row>
    <row r="13">
      <c r="A13" t="n">
        <v>2016</v>
      </c>
      <c r="B13" t="inlineStr">
        <is>
          <t>Manitoba</t>
        </is>
      </c>
      <c r="C13" t="inlineStr">
        <is>
          <t>Oats</t>
        </is>
      </c>
      <c r="D13" t="n">
        <v>444086</v>
      </c>
      <c r="E13" t="n">
        <v>97.09999999999999</v>
      </c>
    </row>
    <row r="14">
      <c r="A14" t="n">
        <v>2016</v>
      </c>
      <c r="B14" t="inlineStr">
        <is>
          <t>New Brunswick</t>
        </is>
      </c>
      <c r="C14" t="inlineStr">
        <is>
          <t>Oats</t>
        </is>
      </c>
      <c r="D14" t="n">
        <v>25299</v>
      </c>
      <c r="E14" t="n">
        <v>74.2</v>
      </c>
    </row>
    <row r="15">
      <c r="A15" t="n">
        <v>2016</v>
      </c>
      <c r="B15" t="inlineStr">
        <is>
          <t>Nova Scotia</t>
        </is>
      </c>
      <c r="C15" t="inlineStr">
        <is>
          <t>Oats</t>
        </is>
      </c>
      <c r="D15" t="n">
        <v>4093</v>
      </c>
      <c r="E15" t="n">
        <v>73.8</v>
      </c>
    </row>
    <row r="16">
      <c r="A16" t="n">
        <v>2016</v>
      </c>
      <c r="B16" t="inlineStr">
        <is>
          <t>Ontario</t>
        </is>
      </c>
      <c r="C16" t="inlineStr">
        <is>
          <t>Oats</t>
        </is>
      </c>
      <c r="D16" t="n">
        <v>82200</v>
      </c>
      <c r="E16" t="n">
        <v>80</v>
      </c>
    </row>
    <row r="17">
      <c r="A17" t="n">
        <v>2016</v>
      </c>
      <c r="B17" t="inlineStr">
        <is>
          <t>Prince Edward Island</t>
        </is>
      </c>
      <c r="C17" t="inlineStr">
        <is>
          <t>Oats</t>
        </is>
      </c>
      <c r="D17" t="n">
        <v>10481</v>
      </c>
      <c r="E17" t="n">
        <v>74</v>
      </c>
    </row>
    <row r="18">
      <c r="A18" t="n">
        <v>2016</v>
      </c>
      <c r="B18" t="inlineStr">
        <is>
          <t>Quebec</t>
        </is>
      </c>
      <c r="C18" t="inlineStr">
        <is>
          <t>Oats</t>
        </is>
      </c>
      <c r="D18" t="n">
        <v>208700</v>
      </c>
      <c r="E18" t="n">
        <v>68</v>
      </c>
    </row>
    <row r="19">
      <c r="A19" t="n">
        <v>2016</v>
      </c>
      <c r="B19" t="inlineStr">
        <is>
          <t>Saskatchewan</t>
        </is>
      </c>
      <c r="C19" t="inlineStr">
        <is>
          <t>Oats</t>
        </is>
      </c>
      <c r="D19" t="n">
        <v>1380000</v>
      </c>
      <c r="E19" t="n">
        <v>94</v>
      </c>
    </row>
    <row r="20">
      <c r="A20" t="n">
        <v>2017</v>
      </c>
      <c r="B20" t="inlineStr">
        <is>
          <t>Alberta</t>
        </is>
      </c>
      <c r="C20" t="inlineStr">
        <is>
          <t>Oats</t>
        </is>
      </c>
      <c r="D20" t="n">
        <v>690000</v>
      </c>
      <c r="E20" t="n">
        <v>92.90000000000001</v>
      </c>
    </row>
    <row r="21">
      <c r="A21" t="n">
        <v>2017</v>
      </c>
      <c r="B21" t="inlineStr">
        <is>
          <t>British Columbia</t>
        </is>
      </c>
      <c r="C21" t="inlineStr">
        <is>
          <t>Oats</t>
        </is>
      </c>
      <c r="D21" t="n">
        <v>70000</v>
      </c>
      <c r="E21" t="n">
        <v>89.2</v>
      </c>
    </row>
    <row r="22">
      <c r="A22" t="n">
        <v>2017</v>
      </c>
      <c r="B22" t="inlineStr">
        <is>
          <t>Manitoba</t>
        </is>
      </c>
      <c r="C22" t="inlineStr">
        <is>
          <t>Oats</t>
        </is>
      </c>
      <c r="D22" t="n">
        <v>520000</v>
      </c>
      <c r="E22" t="n">
        <v>110.8</v>
      </c>
    </row>
    <row r="23">
      <c r="A23" t="n">
        <v>2017</v>
      </c>
      <c r="B23" t="inlineStr">
        <is>
          <t>New Brunswick</t>
        </is>
      </c>
      <c r="C23" t="inlineStr">
        <is>
          <t>Oats</t>
        </is>
      </c>
      <c r="D23" t="n">
        <v>26000</v>
      </c>
      <c r="E23" t="n">
        <v>77.59999999999999</v>
      </c>
    </row>
    <row r="24">
      <c r="A24" t="n">
        <v>2017</v>
      </c>
      <c r="B24" t="inlineStr">
        <is>
          <t>Nova Scotia</t>
        </is>
      </c>
      <c r="C24" t="inlineStr">
        <is>
          <t>Oats</t>
        </is>
      </c>
      <c r="D24" t="n">
        <v>4500</v>
      </c>
      <c r="E24" t="n">
        <v>60</v>
      </c>
    </row>
    <row r="25">
      <c r="A25" t="n">
        <v>2017</v>
      </c>
      <c r="B25" t="inlineStr">
        <is>
          <t>Ontario</t>
        </is>
      </c>
      <c r="C25" t="inlineStr">
        <is>
          <t>Oats</t>
        </is>
      </c>
      <c r="D25" t="n">
        <v>70000</v>
      </c>
      <c r="E25" t="n">
        <v>83.8</v>
      </c>
    </row>
    <row r="26">
      <c r="A26" t="n">
        <v>2017</v>
      </c>
      <c r="B26" t="inlineStr">
        <is>
          <t>Prince Edward Island</t>
        </is>
      </c>
      <c r="C26" t="inlineStr">
        <is>
          <t>Oats</t>
        </is>
      </c>
      <c r="D26" t="n">
        <v>11500</v>
      </c>
      <c r="E26" t="n">
        <v>65.5</v>
      </c>
    </row>
    <row r="27">
      <c r="A27" t="n">
        <v>2017</v>
      </c>
      <c r="B27" t="inlineStr">
        <is>
          <t>Quebec</t>
        </is>
      </c>
      <c r="C27" t="inlineStr">
        <is>
          <t>Oats</t>
        </is>
      </c>
      <c r="D27" t="n">
        <v>148300</v>
      </c>
      <c r="E27" t="n">
        <v>67.40000000000001</v>
      </c>
    </row>
    <row r="28">
      <c r="A28" t="n">
        <v>2017</v>
      </c>
      <c r="B28" t="inlineStr">
        <is>
          <t>Saskatchewan</t>
        </is>
      </c>
      <c r="C28" t="inlineStr">
        <is>
          <t>Oats</t>
        </is>
      </c>
      <c r="D28" t="n">
        <v>1660000</v>
      </c>
      <c r="E28" t="n">
        <v>90.8</v>
      </c>
    </row>
    <row r="29">
      <c r="A29" t="n">
        <v>2018</v>
      </c>
      <c r="B29" t="inlineStr">
        <is>
          <t>Alberta</t>
        </is>
      </c>
      <c r="C29" t="inlineStr">
        <is>
          <t>Oats</t>
        </is>
      </c>
      <c r="D29" t="n">
        <v>795100</v>
      </c>
      <c r="E29" t="n">
        <v>88.7</v>
      </c>
    </row>
    <row r="30">
      <c r="A30" t="n">
        <v>2018</v>
      </c>
      <c r="B30" t="inlineStr">
        <is>
          <t>British Columbia</t>
        </is>
      </c>
      <c r="C30" t="inlineStr">
        <is>
          <t>Oats</t>
        </is>
      </c>
      <c r="D30" t="n">
        <v>75000</v>
      </c>
      <c r="E30" t="n">
        <v>85.09999999999999</v>
      </c>
    </row>
    <row r="31">
      <c r="A31" t="n">
        <v>2018</v>
      </c>
      <c r="B31" t="inlineStr">
        <is>
          <t>Manitoba</t>
        </is>
      </c>
      <c r="C31" t="inlineStr">
        <is>
          <t>Oats</t>
        </is>
      </c>
      <c r="D31" t="n">
        <v>484900</v>
      </c>
      <c r="E31" t="n">
        <v>103.2</v>
      </c>
    </row>
    <row r="32">
      <c r="A32" t="n">
        <v>2018</v>
      </c>
      <c r="B32" t="inlineStr">
        <is>
          <t>New Brunswick</t>
        </is>
      </c>
      <c r="C32" t="inlineStr">
        <is>
          <t>Oats</t>
        </is>
      </c>
      <c r="D32" t="n">
        <v>22000</v>
      </c>
      <c r="E32" t="n">
        <v>61.9</v>
      </c>
    </row>
    <row r="33">
      <c r="A33" t="n">
        <v>2018</v>
      </c>
      <c r="B33" t="inlineStr">
        <is>
          <t>Newfoundland and Labrador</t>
        </is>
      </c>
      <c r="C33" t="inlineStr">
        <is>
          <t>Oats</t>
        </is>
      </c>
      <c r="D33" t="n">
        <v>500</v>
      </c>
      <c r="E33" t="n">
        <v>70.09999999999999</v>
      </c>
    </row>
    <row r="34">
      <c r="A34" t="n">
        <v>2018</v>
      </c>
      <c r="B34" t="inlineStr">
        <is>
          <t>Nova Scotia</t>
        </is>
      </c>
      <c r="C34" t="inlineStr">
        <is>
          <t>Oats</t>
        </is>
      </c>
      <c r="D34" t="n">
        <v>2600</v>
      </c>
      <c r="E34" t="n">
        <v>72.59999999999999</v>
      </c>
    </row>
    <row r="35">
      <c r="A35" t="n">
        <v>2018</v>
      </c>
      <c r="B35" t="inlineStr">
        <is>
          <t>Ontario</t>
        </is>
      </c>
      <c r="C35" t="inlineStr">
        <is>
          <t>Oats</t>
        </is>
      </c>
      <c r="D35" t="n">
        <v>74000</v>
      </c>
      <c r="E35" t="n">
        <v>74.2</v>
      </c>
    </row>
    <row r="36">
      <c r="A36" t="n">
        <v>2018</v>
      </c>
      <c r="B36" t="inlineStr">
        <is>
          <t>Prince Edward Island</t>
        </is>
      </c>
      <c r="C36" t="inlineStr">
        <is>
          <t>Oats</t>
        </is>
      </c>
      <c r="D36" t="n">
        <v>10500</v>
      </c>
      <c r="E36" t="n">
        <v>64</v>
      </c>
    </row>
    <row r="37">
      <c r="A37" t="n">
        <v>2018</v>
      </c>
      <c r="B37" t="inlineStr">
        <is>
          <t>Quebec</t>
        </is>
      </c>
      <c r="C37" t="inlineStr">
        <is>
          <t>Oats</t>
        </is>
      </c>
      <c r="D37" t="n">
        <v>183000</v>
      </c>
      <c r="E37" t="n">
        <v>62.3</v>
      </c>
    </row>
    <row r="38">
      <c r="A38" t="n">
        <v>2018</v>
      </c>
      <c r="B38" t="inlineStr">
        <is>
          <t>Saskatchewan</t>
        </is>
      </c>
      <c r="C38" t="inlineStr">
        <is>
          <t>Oats</t>
        </is>
      </c>
      <c r="D38" t="n">
        <v>1405000</v>
      </c>
      <c r="E38" t="n">
        <v>90.8</v>
      </c>
    </row>
    <row r="39">
      <c r="A39" t="n">
        <v>2019</v>
      </c>
      <c r="B39" t="inlineStr">
        <is>
          <t>Alberta</t>
        </is>
      </c>
      <c r="C39" t="inlineStr">
        <is>
          <t>Oats</t>
        </is>
      </c>
      <c r="D39" t="n">
        <v>899100</v>
      </c>
      <c r="E39" t="n">
        <v>93.59999999999999</v>
      </c>
    </row>
    <row r="40">
      <c r="A40" t="n">
        <v>2019</v>
      </c>
      <c r="B40" t="inlineStr">
        <is>
          <t>British Columbia</t>
        </is>
      </c>
      <c r="C40" t="inlineStr">
        <is>
          <t>Oats</t>
        </is>
      </c>
      <c r="D40" t="n">
        <v>67700</v>
      </c>
      <c r="E40" t="n">
        <v>91.2</v>
      </c>
    </row>
    <row r="41">
      <c r="A41" t="n">
        <v>2019</v>
      </c>
      <c r="B41" t="inlineStr">
        <is>
          <t>Manitoba</t>
        </is>
      </c>
      <c r="C41" t="inlineStr">
        <is>
          <t>Oats</t>
        </is>
      </c>
      <c r="D41" t="n">
        <v>525200</v>
      </c>
      <c r="E41" t="n">
        <v>106.1</v>
      </c>
    </row>
    <row r="42">
      <c r="A42" t="n">
        <v>2019</v>
      </c>
      <c r="B42" t="inlineStr">
        <is>
          <t>New Brunswick</t>
        </is>
      </c>
      <c r="C42" t="inlineStr">
        <is>
          <t>Oats</t>
        </is>
      </c>
      <c r="D42" t="n">
        <v>18800</v>
      </c>
      <c r="E42" t="n">
        <v>75.09999999999999</v>
      </c>
    </row>
    <row r="43">
      <c r="A43" t="n">
        <v>2019</v>
      </c>
      <c r="B43" t="inlineStr">
        <is>
          <t>Newfoundland and Labrador</t>
        </is>
      </c>
      <c r="C43" t="inlineStr">
        <is>
          <t>Oats</t>
        </is>
      </c>
      <c r="D43" t="n">
        <v>700</v>
      </c>
    </row>
    <row r="44">
      <c r="A44" t="n">
        <v>2019</v>
      </c>
      <c r="B44" t="inlineStr">
        <is>
          <t>Nova Scotia</t>
        </is>
      </c>
      <c r="C44" t="inlineStr">
        <is>
          <t>Oats</t>
        </is>
      </c>
      <c r="D44" t="n">
        <v>2700</v>
      </c>
      <c r="E44" t="n">
        <v>60</v>
      </c>
    </row>
    <row r="45">
      <c r="A45" t="n">
        <v>2019</v>
      </c>
      <c r="B45" t="inlineStr">
        <is>
          <t>Ontario</t>
        </is>
      </c>
      <c r="C45" t="inlineStr">
        <is>
          <t>Oats</t>
        </is>
      </c>
      <c r="D45" t="n">
        <v>93100</v>
      </c>
      <c r="E45" t="n">
        <v>82.8</v>
      </c>
    </row>
    <row r="46">
      <c r="A46" t="n">
        <v>2019</v>
      </c>
      <c r="B46" t="inlineStr">
        <is>
          <t>Prince Edward Island</t>
        </is>
      </c>
      <c r="C46" t="inlineStr">
        <is>
          <t>Oats</t>
        </is>
      </c>
      <c r="D46" t="n">
        <v>11100</v>
      </c>
      <c r="E46" t="n">
        <v>65.7</v>
      </c>
    </row>
    <row r="47">
      <c r="A47" t="n">
        <v>2019</v>
      </c>
      <c r="B47" t="inlineStr">
        <is>
          <t>Quebec</t>
        </is>
      </c>
      <c r="C47" t="inlineStr">
        <is>
          <t>Oats</t>
        </is>
      </c>
      <c r="D47" t="n">
        <v>181500</v>
      </c>
      <c r="E47" t="n">
        <v>70</v>
      </c>
    </row>
    <row r="48">
      <c r="A48" t="n">
        <v>2019</v>
      </c>
      <c r="B48" t="inlineStr">
        <is>
          <t>Saskatchewan</t>
        </is>
      </c>
      <c r="C48" t="inlineStr">
        <is>
          <t>Oats</t>
        </is>
      </c>
      <c r="D48" t="n">
        <v>1795900</v>
      </c>
      <c r="E48" t="n">
        <v>96.2</v>
      </c>
    </row>
    <row r="49">
      <c r="A49" t="n">
        <v>2020</v>
      </c>
      <c r="B49" t="inlineStr">
        <is>
          <t>Alberta</t>
        </is>
      </c>
      <c r="C49" t="inlineStr">
        <is>
          <t>Oats</t>
        </is>
      </c>
      <c r="D49" t="n">
        <v>881200</v>
      </c>
      <c r="E49" t="n">
        <v>85.90000000000001</v>
      </c>
    </row>
    <row r="50">
      <c r="A50" t="n">
        <v>2020</v>
      </c>
      <c r="B50" t="inlineStr">
        <is>
          <t>British Columbia</t>
        </is>
      </c>
      <c r="C50" t="inlineStr">
        <is>
          <t>Oats</t>
        </is>
      </c>
      <c r="D50" t="n">
        <v>71900</v>
      </c>
      <c r="E50" t="n">
        <v>75.90000000000001</v>
      </c>
    </row>
    <row r="51">
      <c r="A51" t="n">
        <v>2020</v>
      </c>
      <c r="B51" t="inlineStr">
        <is>
          <t>Manitoba</t>
        </is>
      </c>
      <c r="C51" t="inlineStr">
        <is>
          <t>Oats</t>
        </is>
      </c>
      <c r="D51" t="n">
        <v>695100</v>
      </c>
      <c r="E51" t="n">
        <v>111.4</v>
      </c>
    </row>
    <row r="52">
      <c r="A52" t="n">
        <v>2020</v>
      </c>
      <c r="B52" t="inlineStr">
        <is>
          <t>New Brunswick</t>
        </is>
      </c>
      <c r="C52" t="inlineStr">
        <is>
          <t>Oats</t>
        </is>
      </c>
      <c r="D52" t="n">
        <v>14100</v>
      </c>
      <c r="E52" t="n">
        <v>69.09999999999999</v>
      </c>
    </row>
    <row r="53">
      <c r="A53" t="n">
        <v>2020</v>
      </c>
      <c r="B53" t="inlineStr">
        <is>
          <t>Newfoundland and Labrador</t>
        </is>
      </c>
      <c r="C53" t="inlineStr">
        <is>
          <t>Oats</t>
        </is>
      </c>
      <c r="D53" t="n">
        <v>600</v>
      </c>
      <c r="E53" t="n">
        <v>58.8</v>
      </c>
    </row>
    <row r="54">
      <c r="A54" t="n">
        <v>2020</v>
      </c>
      <c r="B54" t="inlineStr">
        <is>
          <t>Nova Scotia</t>
        </is>
      </c>
      <c r="C54" t="inlineStr">
        <is>
          <t>Oats</t>
        </is>
      </c>
      <c r="D54" t="n">
        <v>4000</v>
      </c>
      <c r="E54" t="n">
        <v>59.9</v>
      </c>
    </row>
    <row r="55">
      <c r="A55" t="n">
        <v>2020</v>
      </c>
      <c r="B55" t="inlineStr">
        <is>
          <t>Ontario</t>
        </is>
      </c>
      <c r="C55" t="inlineStr">
        <is>
          <t>Oats</t>
        </is>
      </c>
      <c r="D55" t="n">
        <v>104500</v>
      </c>
      <c r="E55" t="n">
        <v>72.59999999999999</v>
      </c>
    </row>
    <row r="56">
      <c r="A56" t="n">
        <v>2020</v>
      </c>
      <c r="B56" t="inlineStr">
        <is>
          <t>Prince Edward Island</t>
        </is>
      </c>
      <c r="C56" t="inlineStr">
        <is>
          <t>Oats</t>
        </is>
      </c>
      <c r="D56" t="n">
        <v>7900</v>
      </c>
      <c r="E56" t="n">
        <v>74.2</v>
      </c>
    </row>
    <row r="57">
      <c r="A57" t="n">
        <v>2020</v>
      </c>
      <c r="B57" t="inlineStr">
        <is>
          <t>Quebec</t>
        </is>
      </c>
      <c r="C57" t="inlineStr">
        <is>
          <t>Oats</t>
        </is>
      </c>
      <c r="D57" t="n">
        <v>204200</v>
      </c>
      <c r="E57" t="n">
        <v>57.1</v>
      </c>
    </row>
    <row r="58">
      <c r="A58" t="n">
        <v>2020</v>
      </c>
      <c r="B58" t="inlineStr">
        <is>
          <t>Saskatchewan</t>
        </is>
      </c>
      <c r="C58" t="inlineStr">
        <is>
          <t>Oats</t>
        </is>
      </c>
      <c r="D58" t="n">
        <v>1855700</v>
      </c>
      <c r="E58" t="n">
        <v>91.40000000000001</v>
      </c>
    </row>
    <row r="59">
      <c r="A59" t="n">
        <v>2021</v>
      </c>
      <c r="B59" t="inlineStr">
        <is>
          <t>Alberta</t>
        </is>
      </c>
      <c r="C59" t="inlineStr">
        <is>
          <t>Oats</t>
        </is>
      </c>
      <c r="D59" t="n">
        <v>883962</v>
      </c>
      <c r="E59" t="n">
        <v>58.7</v>
      </c>
    </row>
    <row r="60">
      <c r="A60" t="n">
        <v>2021</v>
      </c>
      <c r="B60" t="inlineStr">
        <is>
          <t>British Columbia</t>
        </is>
      </c>
      <c r="C60" t="inlineStr">
        <is>
          <t>Oats</t>
        </is>
      </c>
      <c r="D60" t="n">
        <v>81486</v>
      </c>
      <c r="E60" t="n">
        <v>76.40000000000001</v>
      </c>
    </row>
    <row r="61">
      <c r="A61" t="n">
        <v>2021</v>
      </c>
      <c r="B61" t="inlineStr">
        <is>
          <t>Manitoba</t>
        </is>
      </c>
      <c r="C61" t="inlineStr">
        <is>
          <t>Oats</t>
        </is>
      </c>
      <c r="D61" t="n">
        <v>743384</v>
      </c>
      <c r="E61" t="n">
        <v>74.3</v>
      </c>
    </row>
    <row r="62">
      <c r="A62" t="n">
        <v>2021</v>
      </c>
      <c r="B62" t="inlineStr">
        <is>
          <t>New Brunswick</t>
        </is>
      </c>
      <c r="C62" t="inlineStr">
        <is>
          <t>Oats</t>
        </is>
      </c>
      <c r="D62" t="n">
        <v>31460</v>
      </c>
      <c r="E62" t="n">
        <v>89.90000000000001</v>
      </c>
    </row>
    <row r="63">
      <c r="A63" t="n">
        <v>2021</v>
      </c>
      <c r="B63" t="inlineStr">
        <is>
          <t>Nova Scotia</t>
        </is>
      </c>
      <c r="C63" t="inlineStr">
        <is>
          <t>Oats</t>
        </is>
      </c>
      <c r="D63" t="n">
        <v>3373</v>
      </c>
      <c r="E63" t="n">
        <v>78.09999999999999</v>
      </c>
    </row>
    <row r="64">
      <c r="A64" t="n">
        <v>2021</v>
      </c>
      <c r="B64" t="inlineStr">
        <is>
          <t>Ontario</t>
        </is>
      </c>
      <c r="C64" t="inlineStr">
        <is>
          <t>Oats</t>
        </is>
      </c>
      <c r="D64" t="n">
        <v>84320</v>
      </c>
      <c r="E64" t="n">
        <v>89.3</v>
      </c>
    </row>
    <row r="65">
      <c r="A65" t="n">
        <v>2021</v>
      </c>
      <c r="B65" t="inlineStr">
        <is>
          <t>Prince Edward Island</t>
        </is>
      </c>
      <c r="C65" t="inlineStr">
        <is>
          <t>Oats</t>
        </is>
      </c>
      <c r="D65" t="n">
        <v>7212</v>
      </c>
      <c r="E65" t="n">
        <v>68.59999999999999</v>
      </c>
    </row>
    <row r="66">
      <c r="A66" t="n">
        <v>2021</v>
      </c>
      <c r="B66" t="inlineStr">
        <is>
          <t>Quebec</t>
        </is>
      </c>
      <c r="C66" t="inlineStr">
        <is>
          <t>Oats</t>
        </is>
      </c>
      <c r="D66" t="n">
        <v>169001</v>
      </c>
      <c r="E66" t="n">
        <v>80</v>
      </c>
    </row>
    <row r="67">
      <c r="A67" t="n">
        <v>2021</v>
      </c>
      <c r="B67" t="inlineStr">
        <is>
          <t>Saskatchewan</t>
        </is>
      </c>
      <c r="C67" t="inlineStr">
        <is>
          <t>Oats</t>
        </is>
      </c>
      <c r="D67" t="n">
        <v>1707370</v>
      </c>
      <c r="E67" t="n">
        <v>54</v>
      </c>
    </row>
    <row r="68">
      <c r="A68" t="n">
        <v>2022</v>
      </c>
      <c r="B68" t="inlineStr">
        <is>
          <t>Alberta</t>
        </is>
      </c>
      <c r="C68" t="inlineStr">
        <is>
          <t>Oats</t>
        </is>
      </c>
      <c r="D68" t="n">
        <v>943400</v>
      </c>
      <c r="E68" t="n">
        <v>90.90000000000001</v>
      </c>
    </row>
    <row r="69">
      <c r="A69" t="n">
        <v>2022</v>
      </c>
      <c r="B69" t="inlineStr">
        <is>
          <t>British Columbia</t>
        </is>
      </c>
      <c r="C69" t="inlineStr">
        <is>
          <t>Oats</t>
        </is>
      </c>
      <c r="D69" t="n">
        <v>85700</v>
      </c>
      <c r="E69" t="n">
        <v>60.3</v>
      </c>
    </row>
    <row r="70">
      <c r="A70" t="n">
        <v>2022</v>
      </c>
      <c r="B70" t="inlineStr">
        <is>
          <t>Manitoba</t>
        </is>
      </c>
      <c r="C70" t="inlineStr">
        <is>
          <t>Oats</t>
        </is>
      </c>
      <c r="D70" t="n">
        <v>697000</v>
      </c>
      <c r="E70" t="n">
        <v>116.7</v>
      </c>
    </row>
    <row r="71">
      <c r="A71" t="n">
        <v>2022</v>
      </c>
      <c r="B71" t="inlineStr">
        <is>
          <t>New Brunswick</t>
        </is>
      </c>
      <c r="C71" t="inlineStr">
        <is>
          <t>Oats</t>
        </is>
      </c>
      <c r="D71" t="n">
        <v>28800</v>
      </c>
      <c r="E71" t="n">
        <v>89.7</v>
      </c>
    </row>
    <row r="72">
      <c r="A72" t="n">
        <v>2022</v>
      </c>
      <c r="B72" t="inlineStr">
        <is>
          <t>Newfoundland and Labrador</t>
        </is>
      </c>
      <c r="C72" t="inlineStr">
        <is>
          <t>Oats</t>
        </is>
      </c>
      <c r="D72" t="n">
        <v>300</v>
      </c>
    </row>
    <row r="73">
      <c r="A73" t="n">
        <v>2022</v>
      </c>
      <c r="B73" t="inlineStr">
        <is>
          <t>Nova Scotia</t>
        </is>
      </c>
      <c r="C73" t="inlineStr">
        <is>
          <t>Oats</t>
        </is>
      </c>
      <c r="D73" t="n">
        <v>2800</v>
      </c>
      <c r="E73" t="n">
        <v>64.40000000000001</v>
      </c>
    </row>
    <row r="74">
      <c r="A74" t="n">
        <v>2022</v>
      </c>
      <c r="B74" t="inlineStr">
        <is>
          <t>Ontario</t>
        </is>
      </c>
      <c r="C74" t="inlineStr">
        <is>
          <t>Oats</t>
        </is>
      </c>
      <c r="D74" t="n">
        <v>88700</v>
      </c>
      <c r="E74" t="n">
        <v>93.09999999999999</v>
      </c>
    </row>
    <row r="75">
      <c r="A75" t="n">
        <v>2022</v>
      </c>
      <c r="B75" t="inlineStr">
        <is>
          <t>Prince Edward Island</t>
        </is>
      </c>
      <c r="C75" t="inlineStr">
        <is>
          <t>Oats</t>
        </is>
      </c>
      <c r="D75" t="n">
        <v>5700</v>
      </c>
      <c r="E75" t="n">
        <v>73.8</v>
      </c>
    </row>
    <row r="76">
      <c r="A76" t="n">
        <v>2022</v>
      </c>
      <c r="B76" t="inlineStr">
        <is>
          <t>Quebec</t>
        </is>
      </c>
      <c r="C76" t="inlineStr">
        <is>
          <t>Oats</t>
        </is>
      </c>
      <c r="D76" t="n">
        <v>195800</v>
      </c>
      <c r="E76" t="n">
        <v>72.09999999999999</v>
      </c>
    </row>
    <row r="77">
      <c r="A77" t="n">
        <v>2022</v>
      </c>
      <c r="B77" t="inlineStr">
        <is>
          <t>Saskatchewan</t>
        </is>
      </c>
      <c r="C77" t="inlineStr">
        <is>
          <t>Oats</t>
        </is>
      </c>
      <c r="D77" t="n">
        <v>1888600</v>
      </c>
      <c r="E77" t="n">
        <v>98.59999999999999</v>
      </c>
    </row>
    <row r="78">
      <c r="A78" t="n">
        <v>2023</v>
      </c>
      <c r="B78" t="inlineStr">
        <is>
          <t>Alberta</t>
        </is>
      </c>
      <c r="C78" t="inlineStr">
        <is>
          <t>Oats</t>
        </is>
      </c>
      <c r="D78" t="n">
        <v>698700</v>
      </c>
      <c r="E78" t="n">
        <v>85.40000000000001</v>
      </c>
    </row>
    <row r="79">
      <c r="A79" t="n">
        <v>2023</v>
      </c>
      <c r="B79" t="inlineStr">
        <is>
          <t>British Columbia</t>
        </is>
      </c>
      <c r="C79" t="inlineStr">
        <is>
          <t>Oats</t>
        </is>
      </c>
      <c r="D79" t="n">
        <v>81600</v>
      </c>
      <c r="E79" t="n">
        <v>70.3</v>
      </c>
    </row>
    <row r="80">
      <c r="A80" t="n">
        <v>2023</v>
      </c>
      <c r="B80" t="inlineStr">
        <is>
          <t>Manitoba</t>
        </is>
      </c>
      <c r="C80" t="inlineStr">
        <is>
          <t>Oats</t>
        </is>
      </c>
      <c r="D80" t="n">
        <v>474900</v>
      </c>
      <c r="E80" t="n">
        <v>92.59999999999999</v>
      </c>
    </row>
    <row r="81">
      <c r="A81" t="n">
        <v>2023</v>
      </c>
      <c r="B81" t="inlineStr">
        <is>
          <t>New Brunswick</t>
        </is>
      </c>
      <c r="C81" t="inlineStr">
        <is>
          <t>Oats</t>
        </is>
      </c>
      <c r="D81" t="n">
        <v>26500</v>
      </c>
      <c r="E81" t="n">
        <v>70.09999999999999</v>
      </c>
    </row>
    <row r="82">
      <c r="A82" t="n">
        <v>2023</v>
      </c>
      <c r="B82" t="inlineStr">
        <is>
          <t>Newfoundland and Labrador</t>
        </is>
      </c>
      <c r="C82" t="inlineStr">
        <is>
          <t>Oats</t>
        </is>
      </c>
      <c r="D82" t="n">
        <v>400</v>
      </c>
    </row>
    <row r="83">
      <c r="A83" t="n">
        <v>2023</v>
      </c>
      <c r="B83" t="inlineStr">
        <is>
          <t>Nova Scotia</t>
        </is>
      </c>
      <c r="C83" t="inlineStr">
        <is>
          <t>Oats</t>
        </is>
      </c>
      <c r="D83" t="n">
        <v>2400</v>
      </c>
      <c r="E83" t="n">
        <v>69.3</v>
      </c>
    </row>
    <row r="84">
      <c r="A84" t="n">
        <v>2023</v>
      </c>
      <c r="B84" t="inlineStr">
        <is>
          <t>Ontario</t>
        </is>
      </c>
      <c r="C84" t="inlineStr">
        <is>
          <t>Oats</t>
        </is>
      </c>
      <c r="D84" t="n">
        <v>60600</v>
      </c>
      <c r="E84" t="n">
        <v>86.59999999999999</v>
      </c>
    </row>
    <row r="85">
      <c r="A85" t="n">
        <v>2023</v>
      </c>
      <c r="B85" t="inlineStr">
        <is>
          <t>Prince Edward Island</t>
        </is>
      </c>
      <c r="C85" t="inlineStr">
        <is>
          <t>Oats</t>
        </is>
      </c>
      <c r="D85" t="n">
        <v>5200</v>
      </c>
      <c r="E85" t="n">
        <v>58.5</v>
      </c>
    </row>
    <row r="86">
      <c r="A86" t="n">
        <v>2023</v>
      </c>
      <c r="B86" t="inlineStr">
        <is>
          <t>Quebec</t>
        </is>
      </c>
      <c r="C86" t="inlineStr">
        <is>
          <t>Oats</t>
        </is>
      </c>
      <c r="D86" t="n">
        <v>151700</v>
      </c>
      <c r="E86" t="n">
        <v>63.3</v>
      </c>
    </row>
    <row r="87">
      <c r="A87" t="n">
        <v>2023</v>
      </c>
      <c r="B87" t="inlineStr">
        <is>
          <t>Saskatchewan</t>
        </is>
      </c>
      <c r="C87" t="inlineStr">
        <is>
          <t>Oats</t>
        </is>
      </c>
      <c r="D87" t="n">
        <v>1033000</v>
      </c>
      <c r="E87" t="n">
        <v>83.40000000000001</v>
      </c>
    </row>
    <row r="88">
      <c r="A88" t="n">
        <v>2024</v>
      </c>
      <c r="B88" t="inlineStr">
        <is>
          <t>Alberta</t>
        </is>
      </c>
      <c r="C88" t="inlineStr">
        <is>
          <t>Oats</t>
        </is>
      </c>
      <c r="D88" t="n">
        <v>789300</v>
      </c>
      <c r="E88" t="n">
        <v>73.3</v>
      </c>
    </row>
    <row r="89">
      <c r="A89" t="n">
        <v>2024</v>
      </c>
      <c r="B89" t="inlineStr">
        <is>
          <t>British Columbia</t>
        </is>
      </c>
      <c r="C89" t="inlineStr">
        <is>
          <t>Oats</t>
        </is>
      </c>
      <c r="D89" t="n">
        <v>78400</v>
      </c>
      <c r="E89" t="n">
        <v>67</v>
      </c>
    </row>
    <row r="90">
      <c r="A90" t="n">
        <v>2024</v>
      </c>
      <c r="B90" t="inlineStr">
        <is>
          <t>Manitoba</t>
        </is>
      </c>
      <c r="C90" t="inlineStr">
        <is>
          <t>Oats</t>
        </is>
      </c>
      <c r="D90" t="n">
        <v>522700</v>
      </c>
      <c r="E90" t="n">
        <v>119.4</v>
      </c>
    </row>
    <row r="91">
      <c r="A91" t="n">
        <v>2024</v>
      </c>
      <c r="B91" t="inlineStr">
        <is>
          <t>New Brunswick</t>
        </is>
      </c>
      <c r="C91" t="inlineStr">
        <is>
          <t>Oats</t>
        </is>
      </c>
      <c r="D91" t="n">
        <v>14200</v>
      </c>
      <c r="E91" t="n">
        <v>69.59999999999999</v>
      </c>
    </row>
    <row r="92">
      <c r="A92" t="n">
        <v>2024</v>
      </c>
      <c r="B92" t="inlineStr">
        <is>
          <t>Newfoundland and Labrador</t>
        </is>
      </c>
      <c r="C92" t="inlineStr">
        <is>
          <t>Oats</t>
        </is>
      </c>
      <c r="D92" t="n">
        <v>300</v>
      </c>
    </row>
    <row r="93">
      <c r="A93" t="n">
        <v>2024</v>
      </c>
      <c r="B93" t="inlineStr">
        <is>
          <t>Nova Scotia</t>
        </is>
      </c>
      <c r="C93" t="inlineStr">
        <is>
          <t>Oats</t>
        </is>
      </c>
      <c r="D93" t="n">
        <v>2600</v>
      </c>
      <c r="E93" t="n">
        <v>49.1</v>
      </c>
    </row>
    <row r="94">
      <c r="A94" t="n">
        <v>2024</v>
      </c>
      <c r="B94" t="inlineStr">
        <is>
          <t>Ontario</t>
        </is>
      </c>
      <c r="C94" t="inlineStr">
        <is>
          <t>Oats</t>
        </is>
      </c>
      <c r="D94" t="n">
        <v>77500</v>
      </c>
      <c r="E94" t="n">
        <v>90.5</v>
      </c>
    </row>
    <row r="95">
      <c r="A95" t="n">
        <v>2024</v>
      </c>
      <c r="B95" t="inlineStr">
        <is>
          <t>Prince Edward Island</t>
        </is>
      </c>
      <c r="C95" t="inlineStr">
        <is>
          <t>Oats</t>
        </is>
      </c>
      <c r="D95" t="n">
        <v>9600</v>
      </c>
      <c r="E95" t="n">
        <v>77</v>
      </c>
    </row>
    <row r="96">
      <c r="A96" t="n">
        <v>2024</v>
      </c>
      <c r="B96" t="inlineStr">
        <is>
          <t>Quebec</t>
        </is>
      </c>
      <c r="C96" t="inlineStr">
        <is>
          <t>Oats</t>
        </is>
      </c>
      <c r="D96" t="n">
        <v>142200</v>
      </c>
      <c r="E96" t="n">
        <v>67.7</v>
      </c>
    </row>
    <row r="97">
      <c r="A97" t="n">
        <v>2024</v>
      </c>
      <c r="B97" t="inlineStr">
        <is>
          <t>Saskatchewan</t>
        </is>
      </c>
      <c r="C97" t="inlineStr">
        <is>
          <t>Oats</t>
        </is>
      </c>
      <c r="D97" t="n">
        <v>1263100</v>
      </c>
      <c r="E97" t="n">
        <v>86.5</v>
      </c>
    </row>
    <row r="98">
      <c r="A98" t="n">
        <v>2025</v>
      </c>
      <c r="B98" t="inlineStr">
        <is>
          <t>Alberta</t>
        </is>
      </c>
      <c r="C98" t="inlineStr">
        <is>
          <t>Oats</t>
        </is>
      </c>
      <c r="D98" t="n">
        <v>839900</v>
      </c>
      <c r="E98" t="n">
        <v>86.40000000000001</v>
      </c>
    </row>
    <row r="99">
      <c r="A99" t="n">
        <v>2025</v>
      </c>
      <c r="B99" t="inlineStr">
        <is>
          <t>British Columbia</t>
        </is>
      </c>
      <c r="C99" t="inlineStr">
        <is>
          <t>Oats</t>
        </is>
      </c>
      <c r="D99" t="n">
        <v>91000</v>
      </c>
      <c r="E99" t="n">
        <v>100.2</v>
      </c>
    </row>
    <row r="100">
      <c r="A100" t="n">
        <v>2025</v>
      </c>
      <c r="B100" t="inlineStr">
        <is>
          <t>Manitoba</t>
        </is>
      </c>
      <c r="C100" t="inlineStr">
        <is>
          <t>Oats</t>
        </is>
      </c>
      <c r="D100" t="n">
        <v>555900</v>
      </c>
      <c r="E100" t="n">
        <v>116.5</v>
      </c>
    </row>
    <row r="101">
      <c r="A101" t="n">
        <v>2025</v>
      </c>
      <c r="B101" t="inlineStr">
        <is>
          <t>New Brunswick</t>
        </is>
      </c>
      <c r="C101" t="inlineStr">
        <is>
          <t>Oats</t>
        </is>
      </c>
      <c r="D101" t="n">
        <v>19800</v>
      </c>
      <c r="E101" t="n">
        <v>75.09999999999999</v>
      </c>
    </row>
    <row r="102">
      <c r="A102" t="n">
        <v>2025</v>
      </c>
      <c r="B102" t="inlineStr">
        <is>
          <t>Newfoundland and Labrador</t>
        </is>
      </c>
      <c r="C102" t="inlineStr">
        <is>
          <t>Oats</t>
        </is>
      </c>
      <c r="D102" t="n">
        <v>300</v>
      </c>
    </row>
    <row r="103">
      <c r="A103" t="n">
        <v>2025</v>
      </c>
      <c r="B103" t="inlineStr">
        <is>
          <t>Nova Scotia</t>
        </is>
      </c>
      <c r="C103" t="inlineStr">
        <is>
          <t>Oats</t>
        </is>
      </c>
      <c r="D103" t="n">
        <v>2700</v>
      </c>
      <c r="E103" t="n">
        <v>46.2</v>
      </c>
    </row>
    <row r="104">
      <c r="A104" t="n">
        <v>2025</v>
      </c>
      <c r="B104" t="inlineStr">
        <is>
          <t>Ontario</t>
        </is>
      </c>
      <c r="C104" t="inlineStr">
        <is>
          <t>Oats</t>
        </is>
      </c>
      <c r="D104" t="n">
        <v>63100</v>
      </c>
      <c r="E104" t="n">
        <v>89.90000000000001</v>
      </c>
    </row>
    <row r="105">
      <c r="A105" t="n">
        <v>2025</v>
      </c>
      <c r="B105" t="inlineStr">
        <is>
          <t>Prince Edward Island</t>
        </is>
      </c>
      <c r="C105" t="inlineStr">
        <is>
          <t>Oats</t>
        </is>
      </c>
      <c r="D105" t="n">
        <v>8500</v>
      </c>
      <c r="E105" t="n">
        <v>69.3</v>
      </c>
    </row>
    <row r="106">
      <c r="A106" t="n">
        <v>2025</v>
      </c>
      <c r="B106" t="inlineStr">
        <is>
          <t>Quebec</t>
        </is>
      </c>
      <c r="C106" t="inlineStr">
        <is>
          <t>Oats</t>
        </is>
      </c>
      <c r="D106" t="n">
        <v>129600</v>
      </c>
      <c r="E106" t="n">
        <v>63.9</v>
      </c>
    </row>
    <row r="107">
      <c r="A107" t="n">
        <v>2025</v>
      </c>
      <c r="B107" t="inlineStr">
        <is>
          <t>Saskatchewan</t>
        </is>
      </c>
      <c r="C107" t="inlineStr">
        <is>
          <t>Oats</t>
        </is>
      </c>
      <c r="D107" t="n">
        <v>1285400</v>
      </c>
      <c r="E10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2026-08-30T19:32:56Z</dcterms:created>
  <dcterms:modified xmlns:dcterms="http://purl.org/dc/terms/" xmlns:xsi="http://www.w3.org/2001/XMLSchema-instance" xsi:type="dcterms:W3CDTF">2026-08-30T19:32:56Z</dcterms:modified>
</cp:coreProperties>
</file>