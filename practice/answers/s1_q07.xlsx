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CFE2F3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3" borderId="0" pivotButton="0" quotePrefix="0" xfId="0"/>
    <xf numFmtId="164" fontId="0" fillId="2" borderId="0" pivotButton="0" quotePrefix="0" xfId="0"/>
    <xf numFmtId="164" fontId="0" fillId="4" borderId="0" pivotButton="0" quotePrefix="0" xfId="0"/>
    <xf numFmtId="0" fontId="0" fillId="2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2" customWidth="1" min="3" max="3"/>
    <col width="11" customWidth="1" min="5" max="5"/>
    <col width="10" customWidth="1" min="6" max="6"/>
    <col width="12" customWidth="1" min="7" max="7"/>
  </cols>
  <sheetData>
    <row r="1">
      <c r="A1" s="1" t="inlineStr">
        <is>
          <t>Plot</t>
        </is>
      </c>
      <c r="B1" s="1" t="inlineStr">
        <is>
          <t>Yield (bu/ac)</t>
        </is>
      </c>
      <c r="C1" s="1" t="inlineStr">
        <is>
          <t>Updated (c)</t>
        </is>
      </c>
      <c r="E1" s="1" t="inlineStr">
        <is>
          <t>Statistic</t>
        </is>
      </c>
      <c r="F1" s="1" t="inlineStr">
        <is>
          <t>Original</t>
        </is>
      </c>
      <c r="G1" s="1" t="inlineStr">
        <is>
          <t>Updated (c)</t>
        </is>
      </c>
    </row>
    <row r="2">
      <c r="A2" t="inlineStr">
        <is>
          <t>A</t>
        </is>
      </c>
      <c r="B2" t="n">
        <v>47.2</v>
      </c>
      <c r="C2" s="2" t="n">
        <v>47.2</v>
      </c>
      <c r="E2" t="inlineStr">
        <is>
          <t>MIN</t>
        </is>
      </c>
      <c r="F2" s="3">
        <f>MIN(B2:B8)</f>
        <v/>
      </c>
      <c r="G2" s="4">
        <f>MIN(C2:C8)</f>
        <v/>
      </c>
    </row>
    <row r="3">
      <c r="A3" t="inlineStr">
        <is>
          <t>B</t>
        </is>
      </c>
      <c r="B3" t="n">
        <v>61.8</v>
      </c>
      <c r="C3" s="2" t="n">
        <v>91.8</v>
      </c>
      <c r="E3" t="inlineStr">
        <is>
          <t>MAX</t>
        </is>
      </c>
      <c r="F3" s="3">
        <f>MAX(B2:B8)</f>
        <v/>
      </c>
      <c r="G3" s="4">
        <f>MAX(C2:C8)</f>
        <v/>
      </c>
    </row>
    <row r="4">
      <c r="A4" t="inlineStr">
        <is>
          <t>C</t>
        </is>
      </c>
      <c r="B4" t="n">
        <v>39.5</v>
      </c>
      <c r="C4" s="2" t="n">
        <v>39.5</v>
      </c>
      <c r="E4" t="inlineStr">
        <is>
          <t>AVERAGE</t>
        </is>
      </c>
      <c r="F4" s="3">
        <f>AVERAGE(B2:B8)</f>
        <v/>
      </c>
      <c r="G4" s="4">
        <f>AVERAGE(C2:C8)</f>
        <v/>
      </c>
    </row>
    <row r="5">
      <c r="A5" t="inlineStr">
        <is>
          <t>D</t>
        </is>
      </c>
      <c r="B5" t="n">
        <v>55.1</v>
      </c>
      <c r="C5" s="2" t="n">
        <v>55.1</v>
      </c>
      <c r="E5" t="inlineStr">
        <is>
          <t>MEDIAN</t>
        </is>
      </c>
      <c r="F5" s="3">
        <f>MEDIAN(B2:B8)</f>
        <v/>
      </c>
      <c r="G5" s="4">
        <f>MEDIAN(C2:C8)</f>
        <v/>
      </c>
    </row>
    <row r="6">
      <c r="A6" t="inlineStr">
        <is>
          <t>E</t>
        </is>
      </c>
      <c r="B6" t="n">
        <v>43.7</v>
      </c>
      <c r="C6" s="2" t="n">
        <v>43.7</v>
      </c>
      <c r="E6" t="inlineStr">
        <is>
          <t>Range</t>
        </is>
      </c>
      <c r="F6" s="5">
        <f>F3-F2</f>
        <v/>
      </c>
      <c r="G6" s="4">
        <f>G3-G2</f>
        <v/>
      </c>
    </row>
    <row r="7">
      <c r="A7" t="inlineStr">
        <is>
          <t>F</t>
        </is>
      </c>
      <c r="B7" t="n">
        <v>58.9</v>
      </c>
      <c r="C7" s="2" t="n">
        <v>58.9</v>
      </c>
    </row>
    <row r="8">
      <c r="A8" t="inlineStr">
        <is>
          <t>G</t>
        </is>
      </c>
      <c r="B8" t="n">
        <v>50.3</v>
      </c>
      <c r="C8" s="2" t="n">
        <v>50.3</v>
      </c>
    </row>
    <row r="10" ht="64" customHeight="1">
      <c r="A10" s="6" t="inlineStr">
        <is>
          <t>(c) The maximum, the mean and the range changed; the minimum and the median did not. (91.8 replaces 61.8, which was already the largest value, so the middle of the ordered list is untouched.)</t>
        </is>
      </c>
    </row>
    <row r="11" ht="64" customHeight="1">
      <c r="A11" s="7" t="inlineStr">
        <is>
          <t>(d) The median depends only on the middle of the ordered yields, and plot B stays at the top end, so the middle value never moves. The mean adds the whole 30-bushel increase and spreads it over seven plots, rising by about 4.3 bu/ac.</t>
        </is>
      </c>
    </row>
    <row r="13">
      <c r="A13" s="1" t="inlineStr">
        <is>
          <t>Legend: colours mark question parts</t>
        </is>
      </c>
    </row>
    <row r="14">
      <c r="A14" s="8" t="inlineStr">
        <is>
          <t>Part (a)</t>
        </is>
      </c>
    </row>
    <row r="15">
      <c r="A15" s="9" t="inlineStr">
        <is>
          <t>Part (b)</t>
        </is>
      </c>
    </row>
    <row r="16">
      <c r="A16" s="2" t="inlineStr">
        <is>
          <t>Part (c)</t>
        </is>
      </c>
    </row>
    <row r="17">
      <c r="A17" s="10" t="inlineStr">
        <is>
          <t>Part (d)</t>
        </is>
      </c>
    </row>
  </sheetData>
  <mergeCells count="2">
    <mergeCell ref="A11:F11"/>
    <mergeCell ref="A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2026-09-02T00:12:50Z</dcterms:created>
  <dcterms:modified xmlns:dcterms="http://purl.org/dc/terms/" xmlns:xsi="http://www.w3.org/2001/XMLSchema-instance" xsi:type="dcterms:W3CDTF">2026-09-02T00:12:50Z</dcterms:modified>
</cp:coreProperties>
</file>