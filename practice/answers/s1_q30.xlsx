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"/>
  </numFmts>
  <fonts count="8">
    <font>
      <name val="Calibri"/>
      <family val="2"/>
      <color theme="1"/>
      <sz val="11"/>
      <scheme val="minor"/>
    </font>
    <font>
      <name val="Arial"/>
      <b val="1"/>
      <color rgb="004A7C59"/>
      <sz val="13"/>
    </font>
    <font>
      <name val="Arial"/>
      <color rgb="005C6B62"/>
      <sz val="10"/>
    </font>
    <font>
      <name val="Arial"/>
      <b val="1"/>
      <color rgb="0024302A"/>
      <sz val="10"/>
    </font>
    <font>
      <name val="Arial"/>
      <color rgb="0024302A"/>
      <sz val="10"/>
    </font>
    <font>
      <name val="Arial"/>
      <b val="1"/>
      <color rgb="00FFFFFF"/>
      <sz val="11"/>
    </font>
    <font>
      <name val="Consolas"/>
      <color rgb="002F5D46"/>
      <sz val="9"/>
    </font>
    <font>
      <name val="Arial"/>
      <color rgb="005C6B62"/>
      <sz val="9"/>
    </font>
  </fonts>
  <fills count="4">
    <fill>
      <patternFill/>
    </fill>
    <fill>
      <patternFill patternType="gray125"/>
    </fill>
    <fill>
      <patternFill patternType="solid">
        <fgColor rgb="00F6EFD9"/>
      </patternFill>
    </fill>
    <fill>
      <patternFill patternType="solid">
        <fgColor rgb="004A7C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3" fillId="0" borderId="0" pivotButton="0" quotePrefix="0" xfId="0"/>
    <xf numFmtId="164" fontId="4" fillId="2" borderId="0" applyAlignment="1" pivotButton="0" quotePrefix="0" xfId="0">
      <alignment horizontal="center"/>
    </xf>
    <xf numFmtId="0" fontId="5" fillId="3" borderId="0" pivotButton="0" quotePrefix="0" xfId="0"/>
    <xf numFmtId="0" fontId="5" fillId="3" borderId="0" applyAlignment="1" pivotButton="0" quotePrefix="0" xfId="0">
      <alignment horizontal="center"/>
    </xf>
    <xf numFmtId="0" fontId="4" fillId="0" borderId="0" pivotButton="0" quotePrefix="0" xfId="0"/>
    <xf numFmtId="165" fontId="4" fillId="0" borderId="0" applyAlignment="1" pivotButton="0" quotePrefix="0" xfId="0">
      <alignment horizontal="center"/>
    </xf>
    <xf numFmtId="3" fontId="4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44" customWidth="1" min="4" max="4"/>
  </cols>
  <sheetData>
    <row r="1" ht="18" customHeight="1">
      <c r="A1" s="1" t="inlineStr">
        <is>
          <t>Four formulas, one right</t>
        </is>
      </c>
    </row>
    <row r="2" ht="32" customHeight="1">
      <c r="A2" s="2" t="inlineStr">
        <is>
          <t>The same intended calculation written four ways. Only the first brackets the netting before the scaling.</t>
        </is>
      </c>
    </row>
    <row r="3" ht="18" customHeight="1"/>
    <row r="4" ht="18" customHeight="1">
      <c r="A4" s="3" t="inlineStr">
        <is>
          <t>Price ($/bu)</t>
        </is>
      </c>
      <c r="B4" s="4" t="n">
        <v>14.2</v>
      </c>
    </row>
    <row r="5" ht="18" customHeight="1">
      <c r="A5" s="3" t="inlineStr">
        <is>
          <t>Input cost ($/ac)</t>
        </is>
      </c>
      <c r="B5" s="4" t="n">
        <v>212.5</v>
      </c>
    </row>
    <row r="6" ht="18" customHeight="1"/>
    <row r="7" ht="18" customHeight="1">
      <c r="A7" s="5" t="inlineStr">
        <is>
          <t>Field</t>
        </is>
      </c>
      <c r="B7" s="6" t="inlineStr">
        <is>
          <t>Yield (bu/ac)</t>
        </is>
      </c>
      <c r="C7" s="6" t="inlineStr">
        <is>
          <t>Acres</t>
        </is>
      </c>
    </row>
    <row r="8" ht="18" customHeight="1">
      <c r="A8" s="7" t="inlineStr">
        <is>
          <t>Rosetown</t>
        </is>
      </c>
      <c r="B8" s="8" t="n">
        <v>44.8</v>
      </c>
      <c r="C8" s="9" t="n">
        <v>95</v>
      </c>
    </row>
    <row r="9" ht="18" customHeight="1"/>
    <row r="10" ht="18" customHeight="1">
      <c r="A10" s="5" t="inlineStr"/>
      <c r="B10" s="6" t="inlineStr">
        <is>
          <t>Formula</t>
        </is>
      </c>
      <c r="C10" s="6" t="inlineStr">
        <is>
          <t>Result</t>
        </is>
      </c>
      <c r="D10" s="6" t="inlineStr">
        <is>
          <t>Right?</t>
        </is>
      </c>
    </row>
    <row r="11" ht="18" customHeight="1">
      <c r="A11" s="3" t="inlineStr">
        <is>
          <t>Correct</t>
        </is>
      </c>
      <c r="B11" s="4">
        <f>($B$8*$B$4-$B$5)*$C$8</f>
        <v/>
      </c>
      <c r="C11" s="10">
        <f>_xlfn.FORMULATEXT(B11)</f>
        <v/>
      </c>
      <c r="D11" s="11" t="inlineStr">
        <is>
          <t>Nets revenue against cost per acre, then scales by acres.</t>
        </is>
      </c>
    </row>
    <row r="12" ht="18" customHeight="1">
      <c r="A12" s="7" t="inlineStr">
        <is>
          <t>No brackets</t>
        </is>
      </c>
      <c r="B12" s="4">
        <f>$B$8*$B$4-$B$5*$C$8</f>
        <v/>
      </c>
      <c r="C12" s="10">
        <f>_xlfn.FORMULATEXT(B12)</f>
        <v/>
      </c>
      <c r="D12" s="11" t="inlineStr">
        <is>
          <t>Subtracts the whole field's cost from one acre's revenue.</t>
        </is>
      </c>
    </row>
    <row r="13" ht="18" customHeight="1">
      <c r="A13" s="7" t="inlineStr">
        <is>
          <t>Brackets misplaced</t>
        </is>
      </c>
      <c r="B13" s="4">
        <f>$B$8*($B$4-$B$5)*$C$8</f>
        <v/>
      </c>
      <c r="C13" s="10">
        <f>_xlfn.FORMULATEXT(B13)</f>
        <v/>
      </c>
      <c r="D13" s="11" t="inlineStr">
        <is>
          <t>Subtracts the cost from the price -- $14.20 less $212.50.</t>
        </is>
      </c>
    </row>
    <row r="14" ht="18" customHeight="1">
      <c r="A14" s="7" t="inlineStr">
        <is>
          <t>Cost charged twice</t>
        </is>
      </c>
      <c r="B14" s="4">
        <f>($B$8*$B$4-$B$5)*$C$8-$B$5</f>
        <v/>
      </c>
      <c r="C14" s="10">
        <f>_xlfn.FORMULATEXT(B14)</f>
        <v/>
      </c>
      <c r="D14" s="11" t="inlineStr">
        <is>
          <t>Right, except the per-acre cost is charged once more at the end.</t>
        </is>
      </c>
    </row>
    <row r="15" ht="18" customHeight="1"/>
    <row r="16" ht="30" customHeight="1">
      <c r="A16" s="11" t="inlineStr">
        <is>
          <t>$40,247.70 / -$19,551.34 / -$843,964.80 / $40,035.20. A net return of minus eight hundred thousand dollars on 95 acres is not a rounding problem -- check the magnitude before trusting a column of these.</t>
        </is>
      </c>
    </row>
    <row r="17" ht="18" customHeight="1"/>
  </sheetData>
  <mergeCells count="2">
    <mergeCell ref="A2:F2"/>
    <mergeCell ref="A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2026-08-20T23:51:02Z</dcterms:created>
  <dcterms:modified xsi:type="dcterms:W3CDTF">2026-08-20T23:51:02Z</dcterms:modified>
</cp:coreProperties>
</file>