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sw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&quot;$&quot;#,##0.00"/>
  </numFmts>
  <fonts count="2">
    <font>
      <name val="Calibri"/>
      <family val="2"/>
      <color theme="1"/>
      <sz val="11"/>
      <scheme val="minor"/>
    </font>
    <font>
      <b val="1"/>
    </font>
  </fonts>
  <fills count="7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D9EAD3"/>
      </patternFill>
    </fill>
    <fill>
      <patternFill patternType="solid">
        <fgColor rgb="00CFE2F3"/>
      </patternFill>
    </fill>
    <fill>
      <patternFill patternType="solid">
        <fgColor rgb="00F4CCCC"/>
      </patternFill>
    </fill>
    <fill>
      <patternFill patternType="solid">
        <fgColor rgb="00D9D2E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1" fillId="2" borderId="0" pivotButton="0" quotePrefix="0" xfId="0"/>
    <xf numFmtId="165" fontId="0" fillId="2" borderId="0" pivotButton="0" quotePrefix="0" xfId="0"/>
    <xf numFmtId="164" fontId="0" fillId="0" borderId="0" pivotButton="0" quotePrefix="0" xfId="0"/>
    <xf numFmtId="3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  <xf numFmtId="165" fontId="0" fillId="3" borderId="0" pivotButton="0" quotePrefix="0" xfId="0"/>
    <xf numFmtId="0" fontId="0" fillId="4" borderId="0" applyAlignment="1" pivotButton="0" quotePrefix="0" xfId="0">
      <alignment vertical="top" wrapText="1"/>
    </xf>
    <xf numFmtId="0" fontId="0" fillId="4" borderId="0" pivotButton="0" quotePrefix="0" xfId="0"/>
    <xf numFmtId="0" fontId="0" fillId="5" borderId="0" applyAlignment="1" pivotButton="0" quotePrefix="0" xfId="0">
      <alignment vertical="top" wrapText="1"/>
    </xf>
    <xf numFmtId="0" fontId="0" fillId="5" borderId="0" pivotButton="0" quotePrefix="0" xfId="0"/>
    <xf numFmtId="0" fontId="0" fillId="6" borderId="0" applyAlignment="1" pivotButton="0" quotePrefix="0" xfId="0">
      <alignment vertical="top" wrapText="1"/>
    </xf>
    <xf numFmtId="0" fontId="0" fillId="6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5"/>
  <sheetViews>
    <sheetView workbookViewId="0">
      <selection activeCell="A1" sqref="A1"/>
    </sheetView>
  </sheetViews>
  <sheetFormatPr baseColWidth="8" defaultRowHeight="15"/>
  <cols>
    <col width="33" customWidth="1" min="1" max="1"/>
    <col width="13" customWidth="1" min="2" max="2"/>
    <col width="8" customWidth="1" min="3" max="3"/>
    <col width="14" customWidth="1" min="4" max="4"/>
    <col width="13" customWidth="1" min="5" max="5"/>
    <col width="10" customWidth="1" min="6" max="6"/>
    <col width="12" customWidth="1" min="7" max="7"/>
  </cols>
  <sheetData>
    <row r="1">
      <c r="A1" s="1" t="inlineStr">
        <is>
          <t>Field</t>
        </is>
      </c>
      <c r="B1" s="1" t="inlineStr">
        <is>
          <t>Yield (bu/ac)</t>
        </is>
      </c>
      <c r="C1" s="1" t="inlineStr">
        <is>
          <t>Acres</t>
        </is>
      </c>
      <c r="E1" s="2" t="inlineStr">
        <is>
          <t>Price ($/bu)</t>
        </is>
      </c>
      <c r="F1" s="3" t="n">
        <v>14.2</v>
      </c>
    </row>
    <row r="2">
      <c r="A2" t="inlineStr">
        <is>
          <t>Rosetown</t>
        </is>
      </c>
      <c r="B2" s="4" t="n">
        <v>44.8</v>
      </c>
      <c r="C2" s="5" t="n">
        <v>95</v>
      </c>
      <c r="E2" s="2" t="inlineStr">
        <is>
          <t>Cost ($/ac)</t>
        </is>
      </c>
      <c r="F2" s="3" t="n">
        <v>212.5</v>
      </c>
    </row>
    <row r="4">
      <c r="A4" s="6" t="inlineStr">
        <is>
          <t>Net return</t>
        </is>
      </c>
      <c r="B4" s="3">
        <f>(B2*$F$1-$F$2)*C2</f>
        <v/>
      </c>
    </row>
    <row r="6">
      <c r="A6" s="7" t="inlineStr">
        <is>
          <t>Formula 1:  =(B2*$F$1-$F$2)*C2</t>
        </is>
      </c>
      <c r="B6" s="7" t="n"/>
      <c r="C6" s="7" t="n"/>
      <c r="D6" s="8">
        <f>(B2*$F$1-$F$2)*C2</f>
        <v/>
      </c>
    </row>
    <row r="7">
      <c r="A7" s="7" t="inlineStr">
        <is>
          <t>Formula 2:  =B2*$F$1-$F$2*C2</t>
        </is>
      </c>
      <c r="B7" s="7" t="n"/>
      <c r="C7" s="7" t="n"/>
      <c r="D7" s="8">
        <f>B2*$F$1-$F$2*C2</f>
        <v/>
      </c>
    </row>
    <row r="8">
      <c r="A8" s="7" t="inlineStr">
        <is>
          <t>Formula 3:  =B2*($F$1-$F$2)*C2</t>
        </is>
      </c>
      <c r="B8" s="7" t="n"/>
      <c r="C8" s="7" t="n"/>
      <c r="D8" s="8">
        <f>B2*($F$1-$F$2)*C2</f>
        <v/>
      </c>
    </row>
    <row r="9">
      <c r="A9" s="7" t="inlineStr">
        <is>
          <t>Formula 4:  =(B2*$F$1-$F$2)*C2-$F$2</t>
        </is>
      </c>
      <c r="B9" s="7" t="n"/>
      <c r="C9" s="7" t="n"/>
      <c r="D9" s="8">
        <f>(B2*$F$1-$F$2)*C2-$F$2</f>
        <v/>
      </c>
    </row>
    <row r="11">
      <c r="A11" s="9" t="inlineStr">
        <is>
          <t>The first is correct. The second subtracts the input cost for the whole field from the revenue of a single acre. The third subtracts the cost from the price -- $14.20 less $212.50 -- before multiplying by anything. The fourth is right except that it charges the per-acre cost once more at the end.</t>
        </is>
      </c>
      <c r="B11" s="10" t="n"/>
      <c r="C11" s="10" t="n"/>
      <c r="D11" s="10" t="n"/>
      <c r="E11" s="10" t="n"/>
      <c r="F11" s="10" t="n"/>
      <c r="G11" s="10" t="n"/>
    </row>
    <row r="12">
      <c r="A12" s="10" t="n"/>
      <c r="B12" s="10" t="n"/>
      <c r="C12" s="10" t="n"/>
      <c r="D12" s="10" t="n"/>
      <c r="E12" s="10" t="n"/>
      <c r="F12" s="10" t="n"/>
      <c r="G12" s="10" t="n"/>
    </row>
    <row r="13">
      <c r="A13" s="10" t="n"/>
      <c r="B13" s="10" t="n"/>
      <c r="C13" s="10" t="n"/>
      <c r="D13" s="10" t="n"/>
      <c r="E13" s="10" t="n"/>
      <c r="F13" s="10" t="n"/>
      <c r="G13" s="10" t="n"/>
    </row>
    <row r="15">
      <c r="A15" s="11" t="inlineStr">
        <is>
          <t>Excel multiplies before it subtracts, so B2*$F$1-$F$2*C2 computes both products first and then subtracts, instead of netting revenue against cost before scaling by acres.</t>
        </is>
      </c>
      <c r="B15" s="12" t="n"/>
      <c r="C15" s="12" t="n"/>
      <c r="D15" s="12" t="n"/>
      <c r="E15" s="12" t="n"/>
      <c r="F15" s="12" t="n"/>
      <c r="G15" s="12" t="n"/>
    </row>
    <row r="16">
      <c r="A16" s="12" t="n"/>
      <c r="B16" s="12" t="n"/>
      <c r="C16" s="12" t="n"/>
      <c r="D16" s="12" t="n"/>
      <c r="E16" s="12" t="n"/>
      <c r="F16" s="12" t="n"/>
      <c r="G16" s="12" t="n"/>
    </row>
    <row r="18">
      <c r="A18" s="13" t="inlineStr">
        <is>
          <t>Work one row out by hand and compare, or sanity-check the magnitude -- a net return of minus eight hundred thousand dollars on 95 acres is not a rounding problem.</t>
        </is>
      </c>
      <c r="B18" s="14" t="n"/>
      <c r="C18" s="14" t="n"/>
      <c r="D18" s="14" t="n"/>
      <c r="E18" s="14" t="n"/>
      <c r="F18" s="14" t="n"/>
      <c r="G18" s="14" t="n"/>
    </row>
    <row r="19">
      <c r="A19" s="14" t="n"/>
      <c r="B19" s="14" t="n"/>
      <c r="C19" s="14" t="n"/>
      <c r="D19" s="14" t="n"/>
      <c r="E19" s="14" t="n"/>
      <c r="F19" s="14" t="n"/>
      <c r="G19" s="14" t="n"/>
    </row>
    <row r="21">
      <c r="A21" s="6" t="inlineStr">
        <is>
          <t>Part (a)</t>
        </is>
      </c>
    </row>
    <row r="22">
      <c r="A22" s="7" t="inlineStr">
        <is>
          <t>Part (b)</t>
        </is>
      </c>
    </row>
    <row r="23">
      <c r="A23" s="10" t="inlineStr">
        <is>
          <t>Part (c)</t>
        </is>
      </c>
    </row>
    <row r="24">
      <c r="A24" s="12" t="inlineStr">
        <is>
          <t>Part (d)</t>
        </is>
      </c>
    </row>
    <row r="25">
      <c r="A25" s="14" t="inlineStr">
        <is>
          <t>Part (e)</t>
        </is>
      </c>
    </row>
  </sheetData>
  <mergeCells count="3">
    <mergeCell ref="A15:G16"/>
    <mergeCell ref="A11:G13"/>
    <mergeCell ref="A18:G1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2026-08-30T19:30:07Z</dcterms:created>
  <dcterms:modified xmlns:dcterms="http://purl.org/dc/terms/" xmlns:xsi="http://www.w3.org/2001/XMLSchema-instance" xsi:type="dcterms:W3CDTF">2026-08-30T19:30:07Z</dcterms:modified>
</cp:coreProperties>
</file>