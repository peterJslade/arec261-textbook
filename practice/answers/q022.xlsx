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3" borderId="0" pivotButton="0" quotePrefix="0" xfId="0"/>
    <xf numFmtId="2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90th percentile (bu/ac)</t>
        </is>
      </c>
      <c r="B1" s="2">
        <f>_xlfn.PERCENTILE.INC(Data!D2:D2399,0.9)</f>
        <v/>
      </c>
    </row>
    <row r="2">
      <c r="A2" s="3" t="inlineStr">
        <is>
          <t>90% of reported results were at or below about 75.8 bu/ac -- only the top tenth of results exceeded it.</t>
        </is>
      </c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5">
      <c r="A5" s="4" t="inlineStr">
        <is>
          <t>Minimum reported yield (bu/ac)</t>
        </is>
      </c>
      <c r="B5" s="5">
        <f>MIN(Data!D2:D2399)</f>
        <v/>
      </c>
    </row>
    <row r="7">
      <c r="A7" s="6" t="inlineStr">
        <is>
          <t>Q1 (bu/ac)</t>
        </is>
      </c>
      <c r="B7" s="7">
        <f>_xlfn.QUARTILE.INC(Data!D2:D2399,1)</f>
        <v/>
      </c>
    </row>
    <row r="8">
      <c r="A8" s="6" t="inlineStr">
        <is>
          <t>Q3 (bu/ac)</t>
        </is>
      </c>
      <c r="B8" s="7">
        <f>_xlfn.QUARTILE.INC(Data!D2:D2399,3)</f>
        <v/>
      </c>
    </row>
    <row r="9">
      <c r="A9" s="6" t="inlineStr">
        <is>
          <t>Lower fence (Q1 - 1.5 x IQR)</t>
        </is>
      </c>
      <c r="B9" s="7">
        <f>B7-1.5*(B8-B7)</f>
        <v/>
      </c>
    </row>
    <row r="10">
      <c r="A10" s="8" t="inlineStr">
        <is>
          <t>The lower fence is 53.9 - 1.5 x 15.7, about 30.4 bu/ac. The minimum of 4.5 sits far below it -- an extreme low value, well outside the bulk of the data.</t>
        </is>
      </c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3">
      <c r="A13" s="9" t="inlineStr">
        <is>
          <t>Removing the 4.5 would raise the mean noticeably, because the mean sums every value -- the median would barely move, because it depends only on the position of the middle value.</t>
        </is>
      </c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6">
      <c r="A16" s="11" t="inlineStr">
        <is>
          <t>The median -- it is not distorted by the one extreme low value, so it better represents a typical result.</t>
        </is>
      </c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9">
      <c r="A19" s="1" t="inlineStr">
        <is>
          <t>Part (a)</t>
        </is>
      </c>
    </row>
    <row r="20">
      <c r="A20" s="4" t="inlineStr">
        <is>
          <t>Part (b)</t>
        </is>
      </c>
    </row>
    <row r="21">
      <c r="A21" s="6" t="inlineStr">
        <is>
          <t>Part (c)</t>
        </is>
      </c>
    </row>
    <row r="22">
      <c r="A22" s="10" t="inlineStr">
        <is>
          <t>Part (d)</t>
        </is>
      </c>
    </row>
    <row r="23">
      <c r="A23" s="12" t="inlineStr">
        <is>
          <t>Part (e)</t>
        </is>
      </c>
    </row>
  </sheetData>
  <mergeCells count="4">
    <mergeCell ref="A10:G11"/>
    <mergeCell ref="A13:G14"/>
    <mergeCell ref="A16:G17"/>
    <mergeCell ref="A2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99"/>
  <sheetViews>
    <sheetView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13" customWidth="1" min="4" max="4"/>
  </cols>
  <sheetData>
    <row r="1">
      <c r="A1" s="13" t="inlineStr">
        <is>
          <t>Year</t>
        </is>
      </c>
      <c r="B1" s="13" t="inlineStr">
        <is>
          <t>Municipality</t>
        </is>
      </c>
      <c r="C1" s="13" t="inlineStr">
        <is>
          <t>Variety</t>
        </is>
      </c>
      <c r="D1" s="13" t="inlineStr">
        <is>
          <t>Yield (bu/ac)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50.3</v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73.09999999999999</v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65.09999999999999</v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59.4</v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47.8</v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30</v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58.6</v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68.5</v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79.09999999999999</v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72.3</v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77.3</v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71.5</v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74.2</v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68.3</v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69.5</v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67.59999999999999</v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75.7</v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64.7</v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63</v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62</v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64.7</v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65.2</v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68.90000000000001</v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77.2</v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64.59999999999999</v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46.6</v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67.8</v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64</v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61.9</v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56</v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59.6</v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53.8</v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45.8</v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47.5</v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49.4</v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65.7</v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62.8</v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72.8</v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52.6</v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69.3</v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68.90000000000001</v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60.9</v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61.8</v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73.59999999999999</v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74.40000000000001</v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63.8</v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47.6</v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68.3</v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64.2</v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70</v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68.90000000000001</v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69.8</v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72.90000000000001</v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51.6</v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74.90000000000001</v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75.3</v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55.3</v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59.2</v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54.3</v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65.7</v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63.2</v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74.8</v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60.3</v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65.2</v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65</v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65.3</v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62.2</v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57.8</v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69.5</v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53</v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57.9</v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75.09999999999999</v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45.9</v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45.2</v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64</v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56.8</v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71.2</v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68.40000000000001</v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70</v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73.90000000000001</v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50</v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65.3</v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63.8</v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70</v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62.4</v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59.3</v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63.4</v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59.6</v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65.5</v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47.6</v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41.7</v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68.59999999999999</v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69.90000000000001</v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65.8</v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70.90000000000001</v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73.09999999999999</v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70.90000000000001</v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68.40000000000001</v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66.3</v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62.7</v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61.5</v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61.2</v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54.6</v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54.9</v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52.7</v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48.5</v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46.5</v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71.7</v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64</v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66.5</v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65.3</v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63.3</v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61</v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55.2</v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53.1</v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76.2</v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69.5</v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65.2</v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57.5</v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45.6</v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56.7</v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56.6</v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29.1</v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72</v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72.59999999999999</v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60.9</v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73</v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67.3</v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68.40000000000001</v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45.7</v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46.2</v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28.2</v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33.2</v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33.4</v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66.40000000000001</v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67.7</v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66.09999999999999</v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66.5</v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55.4</v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60.3</v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45.6</v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61.6</v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83.8</v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78.7</v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82.40000000000001</v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63.7</v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52</v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65.8</v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49.9</v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71.59999999999999</v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66.5</v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64.2</v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75.7</v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61.8</v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60.4</v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64.40000000000001</v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73</v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65.2</v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65.3</v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71.59999999999999</v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74.8</v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80.09999999999999</v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77.59999999999999</v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75</v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57.2</v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48.5</v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72.59999999999999</v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68.90000000000001</v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59.5</v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76.59999999999999</v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68</v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60.5</v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60.4</v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54.8</v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59.8</v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54.8</v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68.09999999999999</v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71.2</v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66.8</v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68.59999999999999</v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74.40000000000001</v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55</v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74.59999999999999</v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58.3</v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60</v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67.7</v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65.90000000000001</v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66.59999999999999</v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65.90000000000001</v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71.59999999999999</v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61.7</v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77.5</v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62.9</v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64.7</v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62.9</v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66.59999999999999</v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62.8</v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61.2</v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58.8</v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58.5</v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63.9</v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59.6</v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56.5</v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67.2</v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57.5</v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63.8</v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70.7</v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55.9</v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53.4</v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57.9</v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60.1</v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54.8</v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56.2</v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59.1</v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45.6</v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69.8</v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59</v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55.6</v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78.3</v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43.2</v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53.9</v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55.9</v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51.3</v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48.7</v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56.6</v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51.6</v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54.6</v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68.8</v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73.2</v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61.5</v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71</v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54.9</v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57.4</v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61.9</v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54.9</v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74.8</v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65</v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48.7</v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64</v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56.2</v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70</v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61.7</v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42.8</v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54.1</v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63.1</v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62.2</v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61.2</v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47.3</v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67.5</v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66.3</v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62.8</v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64.90000000000001</v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55.6</v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63.9</v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65.7</v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65</v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63.7</v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73.5</v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70.7</v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73.2</v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57.6</v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48.6</v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61.1</v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65.8</v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60.6</v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67.8</v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77.59999999999999</v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66.59999999999999</v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66.40000000000001</v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60.3</v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68.5</v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63.7</v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74.5</v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61.4</v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57.9</v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57.9</v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63.1</v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71.09999999999999</v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62.8</v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81.59999999999999</v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64.8</v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60.2</v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66.7</v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68.3</v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60.5</v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63.5</v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50.9</v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63.7</v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57.9</v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61.6</v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69.3</v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69.7</v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84.7</v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72.09999999999999</v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70.8</v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60.4</v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70.2</v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76</v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64.8</v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63.8</v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71.09999999999999</v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76.90000000000001</v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66.7</v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27.6</v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68.2</v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67.2</v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55.8</v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69.3</v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68.2</v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64.3</v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56.8</v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66.5</v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59.2</v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57.7</v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56</v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72.40000000000001</v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59</v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67.8</v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63.6</v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52.1</v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67.8</v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66.09999999999999</v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58.8</v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48.5</v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56.7</v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52.6</v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50.7</v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57.6</v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59.5</v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67.59999999999999</v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62.6</v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65.5</v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43.9</v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76</v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65.2</v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68.09999999999999</v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59</v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54.7</v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59.4</v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53.8</v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63.7</v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53.4</v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68.2</v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43.4</v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53.9</v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65.5</v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57.4</v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51.7</v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77</v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62.2</v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54.8</v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72.40000000000001</v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40.2</v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40.3</v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54</v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71.40000000000001</v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68.8</v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61.2</v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59.2</v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58.8</v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57.8</v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54.3</v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70.5</v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90.90000000000001</v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77.3</v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34.6</v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28.1</v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46.8</v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52.5</v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20.7</v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31.4</v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38.2</v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37.9</v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40.2</v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36.2</v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37.2</v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50.7</v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54.8</v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55.5</v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47.7</v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52.9</v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53.7</v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48.9</v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43.5</v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49.5</v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46.2</v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61.3</v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72.5</v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60</v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50.6</v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67.7</v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57.7</v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48.9</v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53.1</v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52.4</v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50.8</v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42.6</v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53.1</v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51.6</v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55.2</v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50.6</v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64.8</v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48.8</v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55.4</v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56.2</v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47.7</v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35.5</v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49.3</v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61.6</v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41.3</v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53.9</v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44.5</v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44.8</v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71.3</v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53.3</v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62.5</v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61.4</v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55.2</v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41.1</v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38.7</v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60.8</v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63.9</v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58.9</v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56.8</v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39.7</v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29.3</v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35.7</v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32.2</v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45.1</v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51.1</v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56.2</v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49.7</v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49.9</v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64.09999999999999</v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67.8</v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67.40000000000001</v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78.59999999999999</v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65.09999999999999</v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64.90000000000001</v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49.7</v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45.5</v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41.9</v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38.9</v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41.1</v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27.9</v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16.8</v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37.4</v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20.7</v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12.9</v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43.1</v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51.5</v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44.6</v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57.9</v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50</v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50.1</v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53.1</v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46.7</v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39</v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44.5</v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42.8</v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41.8</v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36.6</v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35.5</v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30.8</v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30.5</v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45</v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30.7</v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14.3</v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56.7</v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49.3</v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49.2</v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54.3</v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51.6</v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51.9</v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49.2</v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52.3</v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48.1</v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51.3</v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48.8</v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50.9</v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45.7</v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44.2</v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24</v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54.2</v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59.4</v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55.3</v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59.1</v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52</v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64.3</v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56.5</v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53.7</v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60.3</v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48</v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72.8</v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60</v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64.8</v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27</v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48.6</v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57.6</v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47.1</v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40.7</v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52</v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50.5</v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55.9</v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51</v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33.4</v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64.2</v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56.7</v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47.7</v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46.4</v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46.4</v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45.5</v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48.1</v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50.4</v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44.5</v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72.8</v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89.8</v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65</v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81.8</v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44</v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46.8</v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48.3</v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35.7</v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41</v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46.8</v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62.1</v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53.9</v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64.40000000000001</v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44.9</v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58.8</v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61.5</v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63.6</v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55.7</v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64</v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60.3</v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35.5</v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35.6</v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34.8</v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39.7</v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36.3</v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39.7</v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31.1</v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61.6</v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55.8</v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47.3</v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59.9</v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77.8</v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56.8</v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59.2</v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56.1</v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66.2</v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61.3</v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69.5</v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60.3</v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66.3</v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61.8</v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52.2</v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56.3</v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58.8</v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55.3</v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58.3</v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25.9</v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54.1</v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49.5</v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52</v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50.9</v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62.8</v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60.7</v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62.2</v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65.7</v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55</v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67.7</v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73.09999999999999</v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48.7</v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57.8</v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47.2</v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32</v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43.3</v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43.2</v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38.4</v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47.6</v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42.5</v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34.1</v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58.2</v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46.4</v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52.1</v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54</v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57</v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60.3</v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56.7</v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59.6</v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51.4</v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51.6</v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63.5</v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61.2</v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52.2</v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58.4</v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44.8</v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55.8</v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58.1</v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41.8</v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41.7</v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37.2</v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38.1</v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38.5</v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36.6</v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45</v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55.5</v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59.2</v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42.8</v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55.8</v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50</v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54.7</v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56.1</v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41.3</v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46</v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70.3</v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55.3</v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52.6</v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58.8</v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58.1</v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53.4</v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57.9</v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57</v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63.2</v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71.5</v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61</v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46.6</v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63.8</v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57.6</v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62.2</v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67.3</v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59.6</v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57.6</v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58.1</v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51.4</v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51.7</v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51.6</v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58.6</v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33.3</v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41</v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29.8</v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33.2</v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31</v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38.7</v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38.6</v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33.9</v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44.2</v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41.8</v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42.6</v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60</v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38.7</v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60.1</v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52.2</v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62.3</v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52.9</v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62.4</v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54.7</v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49.2</v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39.8</v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38.8</v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43</v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42</v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61</v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58.6</v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59</v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66.2</v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61.6</v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40.9</v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44.7</v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57.6</v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62.8</v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56.4</v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73.40000000000001</v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46.5</v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44.2</v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44.8</v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49.4</v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47.2</v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46.6</v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45</v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39.3</v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35.7</v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51.8</v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36.7</v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46.4</v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15.7</v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54.2</v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65.90000000000001</v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71.2</v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49.9</v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57.1</v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38.3</v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29.5</v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37.3</v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31.8</v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38.3</v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62.6</v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49.4</v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33.6</v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48.4</v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45.4</v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56.7</v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34.3</v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57</v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49</v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57.5</v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55.5</v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46.8</v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48.7</v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32.9</v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54.7</v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59.1</v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40.6</v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43.4</v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40</v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39.5</v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30.9</v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31.6</v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42.8</v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46.7</v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37.5</v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30.4</v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47.1</v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51.2</v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61.7</v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45</v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40.2</v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45.2</v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34</v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39.1</v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56.1</v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37.5</v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20.8</v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35.2</v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4.5</v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51.4</v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29.5</v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30.9</v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34.6</v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36.4</v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31.1</v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21.6</v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49.4</v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56.3</v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55.2</v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55.2</v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53.8</v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71.40000000000001</v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38.5</v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38.4</v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34.1</v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53.8</v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62.6</v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63.1</v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50.2</v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54.2</v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60.1</v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57.1</v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53.4</v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65.90000000000001</v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56.4</v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67.5</v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49.6</v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54.7</v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59.3</v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60.6</v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42.9</v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40.5</v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38.4</v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37.3</v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30.9</v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52.7</v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45.3</v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62.3</v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64.3</v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68.7</v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59.4</v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55.3</v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59.5</v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53.5</v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62.9</v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58.7</v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58.8</v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65.7</v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63.6</v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51.2</v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63.2</v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70</v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76.40000000000001</v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56.4</v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67.2</v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63</v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56.6</v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51.7</v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54.2</v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53.8</v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64.7</v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51.5</v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55.1</v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61.3</v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50.7</v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67</v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59.6</v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62</v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50.4</v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62.9</v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49</v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66</v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68.90000000000001</v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70.5</v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66.59999999999999</v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68.5</v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63.8</v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71.09999999999999</v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50.4</v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66.40000000000001</v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55.4</v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56.1</v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47.7</v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60</v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63</v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69.3</v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56.7</v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58.9</v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52.6</v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23.4</v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40</v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33.3</v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37</v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55.3</v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56.2</v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54.2</v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55.5</v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59.7</v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51.5</v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33.8</v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50.8</v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51.1</v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34</v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35.4</v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61.6</v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54.5</v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67</v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49.1</v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40</v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48.2</v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60.4</v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61.9</v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54.3</v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75.59999999999999</v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51.6</v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63</v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55.5</v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62.1</v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58.8</v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53.7</v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48</v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56.1</v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41.3</v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52.8</v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60.4</v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61.7</v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66.09999999999999</v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60.6</v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73</v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63.3</v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70.5</v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57.4</v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60.2</v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62.4</v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56.1</v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50.3</v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48</v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46.9</v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50.8</v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53</v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47.6</v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64.5</v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58.4</v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79.8</v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73.90000000000001</v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97.8</v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66.3</v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69.09999999999999</v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70.3</v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71</v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62.2</v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70</v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73.2</v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74.8</v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69.2</v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79.5</v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70.40000000000001</v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75.90000000000001</v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57.1</v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54.2</v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61.7</v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70.3</v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66.5</v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72.3</v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61.5</v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62</v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71.40000000000001</v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73.09999999999999</v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67.40000000000001</v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62.8</v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66.09999999999999</v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58.1</v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78.3</v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70.09999999999999</v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41.1</v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78.09999999999999</v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82.40000000000001</v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83.40000000000001</v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74.40000000000001</v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65.90000000000001</v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56.7</v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62.6</v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67.5</v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54</v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61.6</v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62.5</v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62.6</v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61.6</v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66.90000000000001</v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64.2</v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65.09999999999999</v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72.90000000000001</v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51.4</v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52.2</v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63</v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48.8</v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36.9</v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72.5</v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65.8</v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63.6</v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66.59999999999999</v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67.40000000000001</v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68</v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74</v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58</v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68.8</v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64.90000000000001</v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62.3</v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42.5</v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39.3</v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52.9</v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61</v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55.2</v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59.5</v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53.1</v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60.7</v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54.4</v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53.8</v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62.9</v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57.9</v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59.9</v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69</v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68.90000000000001</v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51.4</v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66.59999999999999</v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68.2</v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50.1</v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49.4</v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54.2</v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42.6</v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52.8</v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42.4</v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56.5</v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52.2</v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63.1</v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66.5</v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51.7</v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50.5</v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36</v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55.9</v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59.1</v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61.9</v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49.6</v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66.3</v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52.1</v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63.8</v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64.59999999999999</v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58</v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74.90000000000001</v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63.3</v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65.40000000000001</v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65.40000000000001</v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56.4</v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61.9</v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78</v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60.1</v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53.4</v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63.2</v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66.7</v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67.8</v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60.4</v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69.5</v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55.5</v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62.5</v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71.09999999999999</v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58.1</v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60.9</v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59.9</v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56</v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67.90000000000001</v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65.2</v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64</v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57.4</v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58.3</v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71.8</v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60.3</v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59.3</v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70.59999999999999</v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51.8</v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61.3</v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60.3</v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57</v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61.2</v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63</v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51.4</v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64.5</v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64.5</v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72.3</v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64.8</v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54.8</v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70.59999999999999</v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61.2</v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62.4</v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65.90000000000001</v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68.90000000000001</v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41.7</v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52.6</v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53.4</v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56.3</v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57.7</v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62.4</v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64.09999999999999</v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44.7</v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66.8</v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61.6</v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55.6</v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63.4</v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73.8</v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47.7</v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61</v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58.8</v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72.09999999999999</v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67.5</v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66.3</v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64.40000000000001</v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65.3</v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60.7</v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64.40000000000001</v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44.9</v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59</v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65.7</v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60.3</v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66.5</v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69.59999999999999</v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53.5</v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93.5</v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68.2</v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74.59999999999999</v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75.8</v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81</v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48.8</v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68.90000000000001</v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64.5</v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75.90000000000001</v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66.40000000000001</v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65.7</v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52.2</v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50.2</v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55.9</v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41.4</v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49.1</v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39</v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55.6</v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43.3</v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61</v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61.3</v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45.5</v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54.7</v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68.3</v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61.9</v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50.9</v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50</v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76.90000000000001</v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62.7</v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51.4</v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65.09999999999999</v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54.7</v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48.1</v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59</v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46.4</v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60.8</v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56.5</v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53.5</v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57.9</v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60.8</v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43.2</v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57.6</v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48.9</v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63.7</v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68.5</v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65.7</v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62.6</v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67.7</v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51.6</v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57.8</v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56.6</v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61.8</v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70.40000000000001</v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65</v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84.2</v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55.7</v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57.6</v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64.59999999999999</v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67.8</v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59.3</v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46.3</v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60.3</v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60.2</v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58.9</v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69.90000000000001</v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58.3</v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68.8</v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73.90000000000001</v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69.90000000000001</v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70.8</v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68.3</v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71.3</v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62.4</v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70.2</v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70.3</v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56.7</v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44.5</v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49.6</v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48.7</v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61</v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57.3</v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50.5</v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74.40000000000001</v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74.7</v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73.90000000000001</v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58.5</v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53.5</v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40.3</v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68.3</v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70.90000000000001</v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75</v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54.6</v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54.5</v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53.9</v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59.5</v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52.5</v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68.5</v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58.7</v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38.4</v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73</v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57.5</v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48.7</v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82.8</v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54.6</v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58.6</v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60.6</v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53.1</v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60.8</v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54.1</v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66.09999999999999</v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61.8</v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82.2</v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61.9</v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72.3</v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73.5</v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48.6</v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52.6</v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51</v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54.2</v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45.2</v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53.7</v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53.8</v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72</v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48.4</v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53.9</v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57</v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78.59999999999999</v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76.09999999999999</v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77.59999999999999</v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75.90000000000001</v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79.2</v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70.2</v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69.09999999999999</v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80.59999999999999</v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52.8</v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45.4</v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33.1</v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58.9</v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59.1</v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76.09999999999999</v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77.5</v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42.9</v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39.1</v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64.09999999999999</v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63.1</v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66.8</v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61.2</v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61.7</v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51.3</v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71.3</v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73.3</v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56.4</v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61.5</v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59</v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60.9</v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53.7</v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50.9</v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64.59999999999999</v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48.4</v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41.9</v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50.5</v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68.90000000000001</v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67.09999999999999</v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61.7</v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61.9</v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64.2</v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60.7</v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61.3</v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58.4</v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61.8</v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56.3</v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63.6</v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59.6</v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65.09999999999999</v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64.2</v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56.9</v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54.7</v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60.8</v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59</v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55.1</v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55.5</v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61.2</v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54.8</v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66.09999999999999</v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76.09999999999999</v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67.40000000000001</v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73.3</v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77.8</v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77.3</v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65</v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78.40000000000001</v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72.7</v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63.8</v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76.40000000000001</v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56.8</v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53.4</v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73.09999999999999</v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72</v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52.1</v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65.40000000000001</v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71</v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65.7</v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67.7</v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66.3</v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62.9</v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65.09999999999999</v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25.6</v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56.1</v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65.2</v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58</v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63.9</v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73.3</v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46.9</v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68.2</v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68.2</v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64</v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66.09999999999999</v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76</v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58.4</v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47.1</v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41.9</v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48.8</v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64.59999999999999</v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67.90000000000001</v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60</v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43.8</v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62.6</v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70.2</v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68.2</v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52.2</v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69.09999999999999</v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52.2</v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52.7</v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51.5</v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57.5</v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50</v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39.7</v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55.2</v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68.2</v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66.09999999999999</v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68.3</v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64.2</v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63</v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62.8</v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72.59999999999999</v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80</v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77.59999999999999</v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82.90000000000001</v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68.7</v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61.6</v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60.7</v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41.3</v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41.3</v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41</v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43.2</v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41.6</v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43.1</v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29.4</v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32.6</v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36.9</v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18.7</v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45.8</v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67.5</v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43.4</v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60.8</v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67.40000000000001</v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58.7</v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61.2</v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63.2</v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63.5</v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72.3</v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77.5</v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77.09999999999999</v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72.5</v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79.8</v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53.2</v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47.4</v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56.8</v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59.5</v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57.1</v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60.5</v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68.40000000000001</v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60.5</v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77.7</v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67.90000000000001</v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75.59999999999999</v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67.7</v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70.7</v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72.3</v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61.4</v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72.3</v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74.3</v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72</v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63.2</v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69.59999999999999</v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60.7</v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55</v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65.59999999999999</v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70.59999999999999</v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57.1</v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48.7</v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48.4</v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48.5</v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52.8</v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43.9</v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53.7</v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52.8</v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42.2</v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67.5</v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68.90000000000001</v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76.40000000000001</v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67.3</v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64.90000000000001</v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55.8</v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60.5</v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65.7</v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66.8</v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64.3</v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54.6</v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66.5</v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69.2</v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62.9</v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47.8</v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70.7</v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66.7</v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59.3</v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82.40000000000001</v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59.5</v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59</v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68.8</v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68.3</v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68.90000000000001</v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70</v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71.59999999999999</v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63.1</v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71.2</v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71.8</v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65.59999999999999</v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62</v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69.59999999999999</v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81.3</v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61.5</v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59.9</v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61</v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70.7</v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58.2</v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59.2</v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60.6</v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75.90000000000001</v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57.5</v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54.9</v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59.3</v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58.4</v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43.4</v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49.2</v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58.1</v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45.4</v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48.3</v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72.8</v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71.09999999999999</v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72.90000000000001</v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77.90000000000001</v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69.5</v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66.5</v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70.2</v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59.8</v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67.40000000000001</v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55.9</v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69.7</v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43.7</v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65.3</v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67.09999999999999</v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61.7</v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62.6</v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62.1</v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68.3</v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63.3</v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60.3</v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63.4</v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69.3</v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77.90000000000001</v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50.1</v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34.2</v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63.7</v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60.9</v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59.5</v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74.90000000000001</v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65.40000000000001</v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73.40000000000001</v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83</v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78.40000000000001</v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71.3</v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76.59999999999999</v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74.7</v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69.40000000000001</v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69.3</v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71.3</v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70.09999999999999</v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55.4</v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55.8</v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54.6</v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83.59999999999999</v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59.3</v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68.7</v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67.8</v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68.40000000000001</v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57</v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57.4</v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70.90000000000001</v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60.8</v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71</v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37.8</v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65.2</v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65.40000000000001</v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64.40000000000001</v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67.8</v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40.6</v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57.8</v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73</v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57.5</v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66.2</v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70.3</v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46.2</v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59.1</v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66</v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65.90000000000001</v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67.09999999999999</v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73.8</v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66</v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49.3</v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46.9</v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40.8</v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4.5</v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44</v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46.7</v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46.7</v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44.1</v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37.3</v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50.3</v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60.4</v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57.3</v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57.3</v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61.6</v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58.6</v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62</v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54.2</v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60.5</v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62.1</v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64.40000000000001</v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41.6</v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44.2</v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22</v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61.7</v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59.4</v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58.1</v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58.5</v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49.4</v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61.5</v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64</v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60.8</v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61.3</v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63.6</v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71</v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53.2</v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68.40000000000001</v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56.1</v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55.1</v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64.3</v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62.3</v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77.8</v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73.8</v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78.40000000000001</v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64.3</v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70.5</v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74.2</v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79.09999999999999</v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79.09999999999999</v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69.3</v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79.8</v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69.8</v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67.2</v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51.1</v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67.2</v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48.4</v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64.59999999999999</v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71.8</v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71.59999999999999</v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71.3</v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76.8</v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46.1</v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42.4</v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50.8</v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63.5</v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54.7</v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47</v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58.5</v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72.8</v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74.59999999999999</v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75.59999999999999</v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75.59999999999999</v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76.5</v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65.90000000000001</v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62.5</v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77</v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73.09999999999999</v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59.3</v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53</v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67.59999999999999</v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53.8</v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71</v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65.40000000000001</v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60.7</v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67.59999999999999</v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69.40000000000001</v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72.5</v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91.40000000000001</v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67.90000000000001</v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61.3</v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60.8</v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74.2</v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66.8</v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40.3</v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53.6</v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53.2</v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60.9</v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60.8</v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57.2</v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69.90000000000001</v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49.7</v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52.5</v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46.4</v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53.1</v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49.5</v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49.6</v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61.6</v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68.09999999999999</v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75</v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65.5</v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64.59999999999999</v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71.2</v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74.7</v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71.5</v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78.40000000000001</v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76.5</v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71.40000000000001</v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75.7</v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73.2</v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65.3</v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52.3</v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58.6</v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79.59999999999999</v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68.90000000000001</v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64.7</v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69.7</v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60.6</v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60</v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69.5</v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66.3</v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60.8</v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69.59999999999999</v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70.90000000000001</v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66</v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72</v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76.8</v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73.2</v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18.3</v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33.9</v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44.9</v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56</v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24.7</v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50.9</v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58.7</v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51.2</v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56.3</v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55.3</v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50.6</v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56.1</v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65.5</v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56</v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66.3</v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60.2</v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61.9</v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68.59999999999999</v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56.5</v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66.8</v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46.3</v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45.8</v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53.1</v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57.5</v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53.7</v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29</v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68.8</v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61.4</v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52.2</v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45.4</v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48.1</v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65.3</v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66.7</v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63.2</v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60.4</v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74.8</v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74</v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73.8</v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75.90000000000001</v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68.40000000000001</v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60.3</v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71.59999999999999</v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62.7</v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76.09999999999999</v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69.8</v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60.9</v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71.59999999999999</v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67.5</v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75.09999999999999</v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69.8</v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58.8</v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75.09999999999999</v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55.1</v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63.2</v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48.3</v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56.7</v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60.6</v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75</v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72.59999999999999</v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71.40000000000001</v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61.7</v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63.4</v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73.90000000000001</v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73.90000000000001</v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68.8</v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71.59999999999999</v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66.2</v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49.6</v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69.3</v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65.90000000000001</v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63.6</v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76.5</v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76.09999999999999</v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77.5</v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67.5</v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35.7</v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70.3</v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72.8</v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78.90000000000001</v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56.4</v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50.1</v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66</v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73.40000000000001</v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49.9</v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66.8</v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73.09999999999999</v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73.3</v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69.59999999999999</v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78.2</v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73.09999999999999</v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68.59999999999999</v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78.2</v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86.90000000000001</v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92.7</v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69.09999999999999</v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73.8</v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78</v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54.3</v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77.2</v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84.09999999999999</v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54.9</v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48.4</v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70.7</v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72.5</v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51.1</v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77.2</v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73</v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82.3</v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51.8</v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66.90000000000001</v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56.5</v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65.7</v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59.7</v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61.8</v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75.09999999999999</v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74.3</v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73.09999999999999</v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76.09999999999999</v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74.8</v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75.90000000000001</v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83.40000000000001</v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84.59999999999999</v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49.7</v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76.59999999999999</v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36.6</v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74.5</v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63.8</v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71.40000000000001</v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73.90000000000001</v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69.8</v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64.59999999999999</v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73.7</v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58.2</v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52.7</v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59.7</v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75.3</v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56.4</v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51.6</v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62.6</v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43.5</v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54.5</v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59.7</v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73.09999999999999</v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63.6</v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52</v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68.8</v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71.5</v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61</v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66</v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59.9</v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53.8</v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66.8</v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71.3</v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70.59999999999999</v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72.2</v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78.8</v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75.8</v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67.90000000000001</v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79.40000000000001</v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75.8</v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82.09999999999999</v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87.40000000000001</v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43.8</v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57.8</v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51.9</v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42.5</v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54.1</v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52.7</v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64.7</v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67</v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68.09999999999999</v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63.9</v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54.7</v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70.5</v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60.6</v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62</v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62.3</v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66.59999999999999</v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66.8</v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60.9</v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57</v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70</v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59</v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66.7</v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69.90000000000001</v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62</v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72.2</v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78.90000000000001</v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75.90000000000001</v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73.40000000000001</v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85.8</v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59.8</v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70.8</v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69.59999999999999</v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54</v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67.09999999999999</v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57.9</v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66.7</v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46.7</v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65.8</v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73</v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63.8</v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75.8</v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73.40000000000001</v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68.5</v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68.5</v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69.7</v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60</v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66.40000000000001</v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64.8</v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67.8</v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78.5</v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76.8</v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81.90000000000001</v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66.90000000000001</v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74.09999999999999</v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85.90000000000001</v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65.09999999999999</v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60.8</v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68</v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71.09999999999999</v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81.3</v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62</v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63.9</v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45</v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63.8</v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59.9</v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61.1</v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58.3</v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69.59999999999999</v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63.8</v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83</v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67.09999999999999</v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61.6</v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68.2</v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84.5</v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52.8</v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69.40000000000001</v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55.5</v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67</v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66.09999999999999</v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66.3</v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74.3</v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69</v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54.4</v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60</v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56.2</v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64.90000000000001</v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58.5</v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83.2</v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65.09999999999999</v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41.3</v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57.1</v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49.3</v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64.90000000000001</v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69.59999999999999</v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49.4</v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66.09999999999999</v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74.3</v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46</v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43.6</v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66.7</v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69.2</v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73.09999999999999</v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71.40000000000001</v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66.2</v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70.90000000000001</v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75.09999999999999</v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70.40000000000001</v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71.09999999999999</v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73.7</v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60.6</v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66.2</v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60.8</v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71.59999999999999</v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74.7</v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77.7</v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70.3</v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73.40000000000001</v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78.7</v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69.59999999999999</v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49.4</v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72.09999999999999</v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69.5</v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61.6</v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59.9</v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54.5</v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66.2</v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57.5</v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55.5</v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65</v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67.40000000000001</v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71.7</v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47.6</v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59.6</v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77.3</v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74.3</v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55</v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64.5</v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59.6</v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57.5</v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56.4</v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71.59999999999999</v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47.9</v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52.1</v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55.7</v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63.1</v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46.8</v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64.40000000000001</v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56.2</v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69.90000000000001</v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63.3</v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57.7</v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66.09999999999999</v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62.7</v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64.2</v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60.6</v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62.2</v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63.9</v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67.7</v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55.2</v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54.2</v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71.59999999999999</v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48.5</v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62.7</v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55.8</v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67.5</v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64.09999999999999</v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55.7</v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68.90000000000001</v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76.3</v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72.7</v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74.09999999999999</v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70.2</v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87.59999999999999</v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82.2</v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68</v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50.7</v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45.1</v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45.1</v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67.7</v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64.09999999999999</v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66.8</v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66.90000000000001</v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22.3</v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42.9</v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50.9</v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55.2</v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57.2</v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55.3</v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59.1</v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58.6</v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57.3</v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53.6</v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71.2</v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68.3</v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66.59999999999999</v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67.90000000000001</v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66.8</v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78.7</v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90.90000000000001</v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60.3</v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47.5</v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46.2</v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63.6</v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61.1</v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66.7</v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57.4</v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57.5</v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65.8</v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72.40000000000001</v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57.5</v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67.90000000000001</v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74.7</v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83.59999999999999</v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77.09999999999999</v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78.59999999999999</v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69</v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58</v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69.2</v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66.2</v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79.3</v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46</v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63</v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65</v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60.1</v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51.2</v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81.40000000000001</v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63.7</v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72.90000000000001</v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71.8</v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84.5</v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64.59999999999999</v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49</v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74.40000000000001</v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67.8</v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55.1</v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74.5</v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61.2</v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73.2</v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70.59999999999999</v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71.3</v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78.09999999999999</v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68</v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82.40000000000001</v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83.59999999999999</v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76.8</v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78.40000000000001</v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80.8</v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90.8</v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78.2</v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63.7</v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69.09999999999999</v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67.2</v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87.7</v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65.09999999999999</v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63.9</v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78</v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75.2</v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80.59999999999999</v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73.2</v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76.5</v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74.09999999999999</v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86.5</v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53.3</v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57.9</v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45.5</v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62.1</v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47.9</v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74.90000000000001</v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72.3</v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78.40000000000001</v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80.2</v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71.2</v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91.7</v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80.90000000000001</v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66.7</v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63.9</v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65.40000000000001</v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53.8</v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63</v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52.3</v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54</v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47.6</v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49</v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58.1</v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78.5</v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39.8</v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26.8</v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86.40000000000001</v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71.09999999999999</v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58.4</v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75.59999999999999</v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90.2</v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77.5</v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79.90000000000001</v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70.7</v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75.5</v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65.40000000000001</v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64.7</v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28.5</v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66.09999999999999</v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68.40000000000001</v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57.6</v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81.5</v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77.2</v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71</v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68.2</v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75.8</v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59.4</v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73.5</v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67.90000000000001</v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72.09999999999999</v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74.2</v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71.90000000000001</v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68.5</v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75.90000000000001</v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63.6</v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67</v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54</v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63.3</v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67.3</v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68.40000000000001</v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70.09999999999999</v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72.40000000000001</v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70.90000000000001</v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70.40000000000001</v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76.3</v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47.3</v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82.09999999999999</v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68.8</v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80.90000000000001</v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68.5</v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36</v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71.7</v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72.8</v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76.09999999999999</v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83.8</v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64.90000000000001</v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61.2</v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68.09999999999999</v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68.3</v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61.9</v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51</v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55.6</v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50.6</v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51.2</v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80.40000000000001</v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75.5</v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69.2</v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71.90000000000001</v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76.5</v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90.7</v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76</v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74.3</v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81.40000000000001</v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84.40000000000001</v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91.3</v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83</v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96.3</v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69.59999999999999</v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71.40000000000001</v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74.09999999999999</v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70.40000000000001</v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73.3</v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50.3</v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61.4</v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51.1</v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93</v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78.90000000000001</v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75.7</v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73.3</v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63.8</v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67.3</v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70.59999999999999</v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63.8</v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77.8</v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71.7</v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74.2</v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82.59999999999999</v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72.09999999999999</v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74.3</v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80.3</v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71</v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65</v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77.5</v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81.3</v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71</v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76.40000000000001</v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52</v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64.5</v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74.7</v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72.3</v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65.90000000000001</v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73.3</v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77.8</v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76.8</v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69.3</v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77.8</v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63.4</v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81.59999999999999</v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70.7</v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76.59999999999999</v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67.40000000000001</v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57.9</v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62.8</v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62.8</v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71.59999999999999</v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68.09999999999999</v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73.59999999999999</v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70</v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64</v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72.59999999999999</v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50.9</v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64</v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69.7</v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74.3</v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73.2</v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72.40000000000001</v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78.40000000000001</v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64.09999999999999</v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70.5</v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74.09999999999999</v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95.90000000000001</v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78.40000000000001</v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88</v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58.9</v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60.9</v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65.90000000000001</v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46.5</v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63</v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65</v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65.40000000000001</v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75.3</v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80.09999999999999</v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83.3</v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68.40000000000001</v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63.4</v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55.2</v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81.40000000000001</v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68.90000000000001</v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14.4</v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70.40000000000001</v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72.7</v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64.7</v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64.3</v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76.5</v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62.3</v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73.5</v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80.3</v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71.8</v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60.1</v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66.8</v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80.2</v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77.40000000000001</v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91.8</v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73.7</v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80.09999999999999</v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71.2</v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72.09999999999999</v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65.2</v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59.1</v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79.7</v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87.3</v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87.7</v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72.7</v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43.4</v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72.3</v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77.7</v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75.90000000000001</v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74.59999999999999</v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66.8</v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76.59999999999999</v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48.3</v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65.8</v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57.4</v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73.8</v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56.3</v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55.1</v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55.1</v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55.4</v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66.59999999999999</v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59.1</v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79.2</v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84.3</v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82.8</v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79.59999999999999</v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88.59999999999999</v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65.90000000000001</v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59.9</v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57</v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66.5</v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69.09999999999999</v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65.7</v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56.5</v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71.5</v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49.1</v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76.90000000000001</v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81.7</v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75.90000000000001</v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62.1</v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64.90000000000001</v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63</v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83</v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60.4</v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84</v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79.8</v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39.8</v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32.7</v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52.6</v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66.2</v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77.40000000000001</v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66.7</v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74.8</v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70.2</v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55.6</v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69.5</v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71.8</v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91</v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79.2</v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78.40000000000001</v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83.40000000000001</v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72.3</v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64.09999999999999</v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62.2</v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72.09999999999999</v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57.3</v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49.8</v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60.4</v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60.1</v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60.5</v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69.90000000000001</v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78.7</v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88.8</v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68.40000000000001</v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70.09999999999999</v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76.59999999999999</v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75.3</v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80.8</v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72.3</v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76.3</v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78.8</v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87.90000000000001</v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59.5</v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66.59999999999999</v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64.90000000000001</v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70.59999999999999</v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71.90000000000001</v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59.8</v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31.8</v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64.40000000000001</v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55.3</v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60.6</v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59.2</v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78.59999999999999</v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80.2</v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74.8</v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77.90000000000001</v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92.8</v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77</v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79.8</v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86.2</v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59.5</v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47.6</v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57.9</v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49.9</v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50.9</v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51.1</v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62.9</v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65.8</v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67.09999999999999</v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66.59999999999999</v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57.3</v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72.59999999999999</v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78.3</v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57.2</v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77.40000000000001</v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64.90000000000001</v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69.09999999999999</v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52.4</v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66.59999999999999</v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61.2</v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70.8</v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60.3</v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72.09999999999999</v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71.40000000000001</v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59.3</v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64.09999999999999</v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63.5</v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69.90000000000001</v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60.1</v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67.5</v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68.59999999999999</v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75</v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62.5</v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73</v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63.5</v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61.7</v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69</v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56.4</v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41.7</v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54.5</v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56.2</v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52</v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56.2</v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68.40000000000001</v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61.8</v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50.3</v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68.8</v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72.90000000000001</v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2026-08-30T19:31:19Z</dcterms:created>
  <dcterms:modified xmlns:dcterms="http://purl.org/dc/terms/" xmlns:xsi="http://www.w3.org/2001/XMLSchema-instance" xsi:type="dcterms:W3CDTF">2026-08-30T19:31:19Z</dcterms:modified>
</cp:coreProperties>
</file>