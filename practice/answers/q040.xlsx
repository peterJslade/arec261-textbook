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Yield_bu_ac</t>
        </is>
      </c>
    </row>
    <row r="2">
      <c r="A2" t="inlineStr">
        <is>
          <t>Alberta</t>
        </is>
      </c>
      <c r="B2" s="2" t="n">
        <v>62.9</v>
      </c>
    </row>
    <row r="3">
      <c r="A3" t="inlineStr">
        <is>
          <t>British Columbia</t>
        </is>
      </c>
      <c r="B3" s="2" t="n">
        <v>55.2</v>
      </c>
    </row>
    <row r="4">
      <c r="A4" t="inlineStr">
        <is>
          <t>Manitoba</t>
        </is>
      </c>
      <c r="B4" s="2" t="n">
        <v>75.40000000000001</v>
      </c>
    </row>
    <row r="5">
      <c r="A5" t="inlineStr">
        <is>
          <t>New Brunswick</t>
        </is>
      </c>
      <c r="B5" s="2" t="n">
        <v>54.6</v>
      </c>
    </row>
    <row r="6">
      <c r="A6" t="inlineStr">
        <is>
          <t>Newfoundland and Labrador</t>
        </is>
      </c>
      <c r="B6" s="2" t="n"/>
    </row>
    <row r="7">
      <c r="A7" t="inlineStr">
        <is>
          <t>Nova Scotia</t>
        </is>
      </c>
      <c r="B7" s="2" t="n">
        <v>54.4</v>
      </c>
    </row>
    <row r="8">
      <c r="A8" t="inlineStr">
        <is>
          <t>Ontario</t>
        </is>
      </c>
      <c r="B8" s="2" t="n">
        <v>69.09999999999999</v>
      </c>
    </row>
    <row r="9">
      <c r="A9" t="inlineStr">
        <is>
          <t>Prince Edward Island</t>
        </is>
      </c>
      <c r="B9" s="2" t="n">
        <v>53</v>
      </c>
    </row>
    <row r="10">
      <c r="A10" t="inlineStr">
        <is>
          <t>Quebec</t>
        </is>
      </c>
      <c r="B10" s="2" t="n">
        <v>46.1</v>
      </c>
    </row>
    <row r="11">
      <c r="A11" t="inlineStr">
        <is>
          <t>Saskatchewan</t>
        </is>
      </c>
      <c r="B11" s="2" t="n">
        <v>57.4</v>
      </c>
    </row>
    <row r="13">
      <c r="A13" s="3" t="inlineStr">
        <is>
          <t>Mean</t>
        </is>
      </c>
      <c r="B13" s="4">
        <f>AVERAGE(B2:B11)</f>
        <v/>
      </c>
    </row>
    <row r="14">
      <c r="A14" s="3" t="inlineStr">
        <is>
          <t>Median</t>
        </is>
      </c>
      <c r="B14" s="4">
        <f>MEDIAN(B2:B11)</f>
        <v/>
      </c>
    </row>
    <row r="15">
      <c r="A15" s="5" t="inlineStr">
        <is>
          <t>Standard deviation</t>
        </is>
      </c>
      <c r="B15" s="6">
        <f>_xlfn.STDEV.S(B2:B11)</f>
        <v/>
      </c>
    </row>
    <row r="16">
      <c r="A16" s="5" t="inlineStr">
        <is>
          <t>CV</t>
        </is>
      </c>
      <c r="B16" s="7">
        <f>_xlfn.STDEV.S(B2:B11)/AVERAGE(B2:B11)</f>
        <v/>
      </c>
    </row>
    <row r="17">
      <c r="A17" s="8" t="inlineStr">
        <is>
          <t>Highest province</t>
        </is>
      </c>
      <c r="B17" s="8">
        <f>INDEX(A2:A11,MATCH(MAX(B2:B11),B2:B11,0))</f>
        <v/>
      </c>
    </row>
    <row r="18">
      <c r="A18" s="8" t="inlineStr">
        <is>
          <t>Highest yield</t>
        </is>
      </c>
      <c r="B18" s="9">
        <f>MAX(B2:B11)</f>
        <v/>
      </c>
    </row>
    <row r="19">
      <c r="A19" s="8" t="inlineStr">
        <is>
          <t>Lowest province</t>
        </is>
      </c>
      <c r="B19" s="8">
        <f>INDEX(A2:A11,MATCH(MIN(B2:B11),B2:B11,0))</f>
        <v/>
      </c>
    </row>
    <row r="20">
      <c r="A20" s="8" t="inlineStr">
        <is>
          <t>Lowest yield</t>
        </is>
      </c>
      <c r="B20" s="9">
        <f>MIN(B2:B11)</f>
        <v/>
      </c>
    </row>
    <row r="21">
      <c r="A21" s="10" t="inlineStr">
        <is>
          <t>Range (top - bottom)</t>
        </is>
      </c>
      <c r="B21" s="11">
        <f>B18-B20</f>
        <v/>
      </c>
    </row>
    <row r="23">
      <c r="A23" s="12" t="inlineStr">
        <is>
          <t>The 29.3 bu/ac gap between Manitoba (75.4) and Quebec (46.1) is the range across provinces -- a spread measure, because it says how far apart the extremes of the provincial yields sit.</t>
        </is>
      </c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7">
      <c r="A27" s="13" t="inlineStr">
        <is>
          <t>In 2023, barley averaged about 59 bu/ac across provinces (median 55), with a CV of 0.15 indicating fairly modest variation from province to province.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30">
      <c r="A30" s="3" t="inlineStr">
        <is>
          <t>Part (a)</t>
        </is>
      </c>
    </row>
    <row r="31">
      <c r="A31" s="5" t="inlineStr">
        <is>
          <t>Part (b)</t>
        </is>
      </c>
    </row>
    <row r="32">
      <c r="A32" s="8" t="inlineStr">
        <is>
          <t>Part (c)</t>
        </is>
      </c>
    </row>
    <row r="33">
      <c r="A33" s="10" t="inlineStr">
        <is>
          <t>Part (d)</t>
        </is>
      </c>
    </row>
    <row r="34">
      <c r="A34" s="14" t="inlineStr">
        <is>
          <t>Part (e)</t>
        </is>
      </c>
    </row>
  </sheetData>
  <mergeCells count="2">
    <mergeCell ref="A27:H28"/>
    <mergeCell ref="A23:H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