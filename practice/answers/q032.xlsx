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2" fontId="0" fillId="2" borderId="0" pivotButton="0" quotePrefix="0" xfId="0"/>
    <xf numFmtId="165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Question 52 -- Canola, all provinces, all years (Data sheet, column E)</t>
        </is>
      </c>
    </row>
    <row r="3">
      <c r="A3" s="2" t="inlineStr">
        <is>
          <t>Mean</t>
        </is>
      </c>
      <c r="B3" s="3">
        <f>AVERAGE('Data'!E2:E76)</f>
        <v/>
      </c>
    </row>
    <row r="4">
      <c r="A4" s="2" t="inlineStr">
        <is>
          <t>Standard deviation</t>
        </is>
      </c>
      <c r="B4" s="4">
        <f>_xlfn.STDEV.S('Data'!E2:E76)</f>
        <v/>
      </c>
    </row>
    <row r="5">
      <c r="A5" s="2" t="inlineStr">
        <is>
          <t>CV</t>
        </is>
      </c>
      <c r="B5" s="5">
        <f>_xlfn.STDEV.S('Data'!E2:E76)/AVERAGE('Data'!E2:E76)</f>
        <v/>
      </c>
    </row>
    <row r="7">
      <c r="A7" s="6" t="inlineStr">
        <is>
          <t>Canola's CV (about 0.13) is below spring wheat's (about 0.15), so canola's provincial yields are slightly more consistent across the country.</t>
        </is>
      </c>
      <c r="B7" s="7" t="n"/>
      <c r="C7" s="7" t="n"/>
      <c r="D7" s="7" t="n"/>
      <c r="E7" s="7" t="n"/>
      <c r="F7" s="7" t="n"/>
      <c r="G7" s="7" t="n"/>
      <c r="H7" s="7" t="n"/>
    </row>
    <row r="8">
      <c r="A8" s="7" t="n"/>
      <c r="B8" s="7" t="n"/>
      <c r="C8" s="7" t="n"/>
      <c r="D8" s="7" t="n"/>
      <c r="E8" s="7" t="n"/>
      <c r="F8" s="7" t="n"/>
      <c r="G8" s="7" t="n"/>
      <c r="H8" s="7" t="n"/>
    </row>
    <row r="10">
      <c r="A10" s="8" t="inlineStr">
        <is>
          <t>A yield of 0 would be a huge deviation from values near 41 -- treating it as real pulls the mean down and inflates the standard deviation, corrupting both.</t>
        </is>
      </c>
      <c r="B10" s="9" t="n"/>
      <c r="C10" s="9" t="n"/>
      <c r="D10" s="9" t="n"/>
      <c r="E10" s="9" t="n"/>
      <c r="F10" s="9" t="n"/>
      <c r="G10" s="9" t="n"/>
      <c r="H10" s="9" t="n"/>
    </row>
    <row r="11">
      <c r="A11" s="9" t="n"/>
      <c r="B11" s="9" t="n"/>
      <c r="C11" s="9" t="n"/>
      <c r="D11" s="9" t="n"/>
      <c r="E11" s="9" t="n"/>
      <c r="F11" s="9" t="n"/>
      <c r="G11" s="9" t="n"/>
      <c r="H11" s="9" t="n"/>
    </row>
    <row r="13">
      <c r="A13" s="10" t="inlineStr">
        <is>
          <t>The 0 was a placeholder for negligible or near-zero acreage (for example Newfoundland), not a measured yield -- the cleaned file leaves the cell blank so the summary functions skip it.</t>
        </is>
      </c>
      <c r="B13" s="11" t="n"/>
      <c r="C13" s="11" t="n"/>
      <c r="D13" s="11" t="n"/>
      <c r="E13" s="11" t="n"/>
      <c r="F13" s="11" t="n"/>
      <c r="G13" s="11" t="n"/>
      <c r="H13" s="11" t="n"/>
    </row>
    <row r="14">
      <c r="A14" s="11" t="n"/>
      <c r="B14" s="11" t="n"/>
      <c r="C14" s="11" t="n"/>
      <c r="D14" s="11" t="n"/>
      <c r="E14" s="11" t="n"/>
      <c r="F14" s="11" t="n"/>
      <c r="G14" s="11" t="n"/>
      <c r="H14" s="11" t="n"/>
    </row>
    <row r="16">
      <c r="A16" s="12" t="inlineStr">
        <is>
          <t>A blank means no data; 0 means a real measurement of zero -- never substitute one for the other.</t>
        </is>
      </c>
      <c r="B16" s="13" t="n"/>
      <c r="C16" s="13" t="n"/>
      <c r="D16" s="13" t="n"/>
      <c r="E16" s="13" t="n"/>
      <c r="F16" s="13" t="n"/>
      <c r="G16" s="13" t="n"/>
      <c r="H16" s="13" t="n"/>
    </row>
    <row r="17">
      <c r="A17" s="13" t="n"/>
      <c r="B17" s="13" t="n"/>
      <c r="C17" s="13" t="n"/>
      <c r="D17" s="13" t="n"/>
      <c r="E17" s="13" t="n"/>
      <c r="F17" s="13" t="n"/>
      <c r="G17" s="13" t="n"/>
      <c r="H17" s="13" t="n"/>
    </row>
    <row r="19">
      <c r="A19" s="2" t="inlineStr">
        <is>
          <t>Part (a)</t>
        </is>
      </c>
    </row>
    <row r="20">
      <c r="A20" s="7" t="inlineStr">
        <is>
          <t>Part (b)</t>
        </is>
      </c>
    </row>
    <row r="21">
      <c r="A21" s="9" t="inlineStr">
        <is>
          <t>Part (c)</t>
        </is>
      </c>
    </row>
    <row r="22">
      <c r="A22" s="11" t="inlineStr">
        <is>
          <t>Part (d)</t>
        </is>
      </c>
    </row>
    <row r="23">
      <c r="A23" s="13" t="inlineStr">
        <is>
          <t>Part (e)</t>
        </is>
      </c>
    </row>
  </sheetData>
  <mergeCells count="4">
    <mergeCell ref="A10:H11"/>
    <mergeCell ref="A7:H8"/>
    <mergeCell ref="A13:H14"/>
    <mergeCell ref="A16:H1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7" customWidth="1" min="1" max="1"/>
    <col width="26" customWidth="1" min="2" max="2"/>
    <col width="16" customWidth="1" min="3" max="3"/>
    <col width="13" customWidth="1" min="4" max="4"/>
    <col width="12" customWidth="1" min="5" max="5"/>
  </cols>
  <sheetData>
    <row r="1">
      <c r="A1" s="1" t="inlineStr">
        <is>
          <t>Year</t>
        </is>
      </c>
      <c r="B1" s="1" t="inlineStr">
        <is>
          <t>Province</t>
        </is>
      </c>
      <c r="C1" s="1" t="inlineStr">
        <is>
          <t>Crop</t>
        </is>
      </c>
      <c r="D1" s="1" t="inlineStr">
        <is>
          <t>Seeded_acres</t>
        </is>
      </c>
      <c r="E1" s="1" t="inlineStr">
        <is>
          <t>Yield_bu_ac</t>
        </is>
      </c>
    </row>
    <row r="2">
      <c r="A2" t="n">
        <v>2015</v>
      </c>
      <c r="B2" t="inlineStr">
        <is>
          <t>Alberta</t>
        </is>
      </c>
      <c r="C2" t="inlineStr">
        <is>
          <t>Canola</t>
        </is>
      </c>
      <c r="D2" t="n">
        <v>6265000</v>
      </c>
      <c r="E2" t="n">
        <v>41.4</v>
      </c>
    </row>
    <row r="3">
      <c r="A3" t="n">
        <v>2015</v>
      </c>
      <c r="B3" t="inlineStr">
        <is>
          <t>British Columbia</t>
        </is>
      </c>
      <c r="C3" t="inlineStr">
        <is>
          <t>Canola</t>
        </is>
      </c>
      <c r="D3" t="n">
        <v>90000</v>
      </c>
      <c r="E3" t="n">
        <v>34.7</v>
      </c>
    </row>
    <row r="4">
      <c r="A4" t="n">
        <v>2015</v>
      </c>
      <c r="B4" t="inlineStr">
        <is>
          <t>Manitoba</t>
        </is>
      </c>
      <c r="C4" t="inlineStr">
        <is>
          <t>Canola</t>
        </is>
      </c>
      <c r="D4" t="n">
        <v>3215000</v>
      </c>
      <c r="E4" t="n">
        <v>39.5</v>
      </c>
    </row>
    <row r="5">
      <c r="A5" t="n">
        <v>2015</v>
      </c>
      <c r="B5" t="inlineStr">
        <is>
          <t>Ontario</t>
        </is>
      </c>
      <c r="C5" t="inlineStr">
        <is>
          <t>Canola</t>
        </is>
      </c>
      <c r="D5" t="n">
        <v>35000</v>
      </c>
      <c r="E5" t="n">
        <v>42.9</v>
      </c>
    </row>
    <row r="6">
      <c r="A6" t="n">
        <v>2015</v>
      </c>
      <c r="B6" t="inlineStr">
        <is>
          <t>Quebec</t>
        </is>
      </c>
      <c r="C6" t="inlineStr">
        <is>
          <t>Canola</t>
        </is>
      </c>
      <c r="D6" t="n">
        <v>29700</v>
      </c>
      <c r="E6" t="n">
        <v>39.7</v>
      </c>
    </row>
    <row r="7">
      <c r="A7" t="n">
        <v>2015</v>
      </c>
      <c r="B7" t="inlineStr">
        <is>
          <t>Saskatchewan</t>
        </is>
      </c>
      <c r="C7" t="inlineStr">
        <is>
          <t>Canola</t>
        </is>
      </c>
      <c r="D7" t="n">
        <v>11150000</v>
      </c>
      <c r="E7" t="n">
        <v>37.9</v>
      </c>
    </row>
    <row r="8">
      <c r="A8" t="n">
        <v>2016</v>
      </c>
      <c r="B8" t="inlineStr">
        <is>
          <t>Alberta</t>
        </is>
      </c>
      <c r="C8" t="inlineStr">
        <is>
          <t>Canola</t>
        </is>
      </c>
      <c r="D8" t="n">
        <v>6165700</v>
      </c>
      <c r="E8" t="n">
        <v>45.4</v>
      </c>
    </row>
    <row r="9">
      <c r="A9" t="n">
        <v>2016</v>
      </c>
      <c r="B9" t="inlineStr">
        <is>
          <t>British Columbia</t>
        </is>
      </c>
      <c r="C9" t="inlineStr">
        <is>
          <t>Canola</t>
        </is>
      </c>
      <c r="D9" t="n">
        <v>95000</v>
      </c>
      <c r="E9" t="n">
        <v>41.9</v>
      </c>
    </row>
    <row r="10">
      <c r="A10" t="n">
        <v>2016</v>
      </c>
      <c r="B10" t="inlineStr">
        <is>
          <t>Manitoba</t>
        </is>
      </c>
      <c r="C10" t="inlineStr">
        <is>
          <t>Canola</t>
        </is>
      </c>
      <c r="D10" t="n">
        <v>3199644</v>
      </c>
      <c r="E10" t="n">
        <v>37.1</v>
      </c>
    </row>
    <row r="11">
      <c r="A11" t="n">
        <v>2016</v>
      </c>
      <c r="B11" t="inlineStr">
        <is>
          <t>Ontario</t>
        </is>
      </c>
      <c r="C11" t="inlineStr">
        <is>
          <t>Canola</t>
        </is>
      </c>
      <c r="D11" t="n">
        <v>39500</v>
      </c>
      <c r="E11" t="n">
        <v>41.9</v>
      </c>
    </row>
    <row r="12">
      <c r="A12" t="n">
        <v>2016</v>
      </c>
      <c r="B12" t="inlineStr">
        <is>
          <t>Quebec</t>
        </is>
      </c>
      <c r="C12" t="inlineStr">
        <is>
          <t>Canola</t>
        </is>
      </c>
      <c r="D12" t="n">
        <v>34200</v>
      </c>
      <c r="E12" t="n">
        <v>42.1</v>
      </c>
    </row>
    <row r="13">
      <c r="A13" t="n">
        <v>2016</v>
      </c>
      <c r="B13" t="inlineStr">
        <is>
          <t>Saskatchewan</t>
        </is>
      </c>
      <c r="C13" t="inlineStr">
        <is>
          <t>Canola</t>
        </is>
      </c>
      <c r="D13" t="n">
        <v>11250000</v>
      </c>
      <c r="E13" t="n">
        <v>42.1</v>
      </c>
    </row>
    <row r="14">
      <c r="A14" t="n">
        <v>2017</v>
      </c>
      <c r="B14" t="inlineStr">
        <is>
          <t>Alberta</t>
        </is>
      </c>
      <c r="C14" t="inlineStr">
        <is>
          <t>Canola</t>
        </is>
      </c>
      <c r="D14" t="n">
        <v>6930000</v>
      </c>
      <c r="E14" t="n">
        <v>43.7</v>
      </c>
    </row>
    <row r="15">
      <c r="A15" t="n">
        <v>2017</v>
      </c>
      <c r="B15" t="inlineStr">
        <is>
          <t>British Columbia</t>
        </is>
      </c>
      <c r="C15" t="inlineStr">
        <is>
          <t>Canola</t>
        </is>
      </c>
      <c r="D15" t="n">
        <v>112000</v>
      </c>
      <c r="E15" t="n">
        <v>36.3</v>
      </c>
    </row>
    <row r="16">
      <c r="A16" t="n">
        <v>2017</v>
      </c>
      <c r="B16" t="inlineStr">
        <is>
          <t>Manitoba</t>
        </is>
      </c>
      <c r="C16" t="inlineStr">
        <is>
          <t>Canola</t>
        </is>
      </c>
      <c r="D16" t="n">
        <v>3160000</v>
      </c>
      <c r="E16" t="n">
        <v>44</v>
      </c>
    </row>
    <row r="17">
      <c r="A17" t="n">
        <v>2017</v>
      </c>
      <c r="B17" t="inlineStr">
        <is>
          <t>Ontario</t>
        </is>
      </c>
      <c r="C17" t="inlineStr">
        <is>
          <t>Canola</t>
        </is>
      </c>
      <c r="D17" t="n">
        <v>45000</v>
      </c>
      <c r="E17" t="n">
        <v>46.5</v>
      </c>
    </row>
    <row r="18">
      <c r="A18" t="n">
        <v>2017</v>
      </c>
      <c r="B18" t="inlineStr">
        <is>
          <t>Quebec</t>
        </is>
      </c>
      <c r="C18" t="inlineStr">
        <is>
          <t>Canola</t>
        </is>
      </c>
      <c r="D18" t="n">
        <v>37100</v>
      </c>
      <c r="E18" t="n">
        <v>44.3</v>
      </c>
    </row>
    <row r="19">
      <c r="A19" t="n">
        <v>2017</v>
      </c>
      <c r="B19" t="inlineStr">
        <is>
          <t>Saskatchewan</t>
        </is>
      </c>
      <c r="C19" t="inlineStr">
        <is>
          <t>Canola</t>
        </is>
      </c>
      <c r="D19" t="n">
        <v>12730000</v>
      </c>
      <c r="E19" t="n">
        <v>39.3</v>
      </c>
    </row>
    <row r="20">
      <c r="A20" t="n">
        <v>2018</v>
      </c>
      <c r="B20" t="inlineStr">
        <is>
          <t>Alberta</t>
        </is>
      </c>
      <c r="C20" t="inlineStr">
        <is>
          <t>Canola</t>
        </is>
      </c>
      <c r="D20" t="n">
        <v>6810000</v>
      </c>
      <c r="E20" t="n">
        <v>38.8</v>
      </c>
    </row>
    <row r="21">
      <c r="A21" t="n">
        <v>2018</v>
      </c>
      <c r="B21" t="inlineStr">
        <is>
          <t>British Columbia</t>
        </is>
      </c>
      <c r="C21" t="inlineStr">
        <is>
          <t>Canola</t>
        </is>
      </c>
      <c r="D21" t="n">
        <v>137000</v>
      </c>
      <c r="E21" t="n">
        <v>40.7</v>
      </c>
    </row>
    <row r="22">
      <c r="A22" t="n">
        <v>2018</v>
      </c>
      <c r="B22" t="inlineStr">
        <is>
          <t>Manitoba</t>
        </is>
      </c>
      <c r="C22" t="inlineStr">
        <is>
          <t>Canola</t>
        </is>
      </c>
      <c r="D22" t="n">
        <v>3416000</v>
      </c>
      <c r="E22" t="n">
        <v>43.3</v>
      </c>
    </row>
    <row r="23">
      <c r="A23" t="n">
        <v>2018</v>
      </c>
      <c r="B23" t="inlineStr">
        <is>
          <t>New Brunswick</t>
        </is>
      </c>
      <c r="C23" t="inlineStr">
        <is>
          <t>Canola</t>
        </is>
      </c>
      <c r="D23" t="n">
        <v>1000</v>
      </c>
      <c r="E23" t="n">
        <v>34.5</v>
      </c>
    </row>
    <row r="24">
      <c r="A24" t="n">
        <v>2018</v>
      </c>
      <c r="B24" t="inlineStr">
        <is>
          <t>Ontario</t>
        </is>
      </c>
      <c r="C24" t="inlineStr">
        <is>
          <t>Canola</t>
        </is>
      </c>
      <c r="D24" t="n">
        <v>63000</v>
      </c>
      <c r="E24" t="n">
        <v>47.1</v>
      </c>
    </row>
    <row r="25">
      <c r="A25" t="n">
        <v>2018</v>
      </c>
      <c r="B25" t="inlineStr">
        <is>
          <t>Quebec</t>
        </is>
      </c>
      <c r="C25" t="inlineStr">
        <is>
          <t>Canola</t>
        </is>
      </c>
      <c r="D25" t="n">
        <v>36200</v>
      </c>
      <c r="E25" t="n">
        <v>43.8</v>
      </c>
    </row>
    <row r="26">
      <c r="A26" t="n">
        <v>2018</v>
      </c>
      <c r="B26" t="inlineStr">
        <is>
          <t>Saskatchewan</t>
        </is>
      </c>
      <c r="C26" t="inlineStr">
        <is>
          <t>Canola</t>
        </is>
      </c>
      <c r="D26" t="n">
        <v>12350000</v>
      </c>
      <c r="E26" t="n">
        <v>40.7</v>
      </c>
    </row>
    <row r="27">
      <c r="A27" t="n">
        <v>2019</v>
      </c>
      <c r="B27" t="inlineStr">
        <is>
          <t>Alberta</t>
        </is>
      </c>
      <c r="C27" t="inlineStr">
        <is>
          <t>Canola</t>
        </is>
      </c>
      <c r="D27" t="n">
        <v>5933500</v>
      </c>
      <c r="E27" t="n">
        <v>40.3</v>
      </c>
    </row>
    <row r="28">
      <c r="A28" t="n">
        <v>2019</v>
      </c>
      <c r="B28" t="inlineStr">
        <is>
          <t>British Columbia</t>
        </is>
      </c>
      <c r="C28" t="inlineStr">
        <is>
          <t>Canola</t>
        </is>
      </c>
      <c r="D28" t="n">
        <v>85800</v>
      </c>
      <c r="E28" t="n">
        <v>41.6</v>
      </c>
    </row>
    <row r="29">
      <c r="A29" t="n">
        <v>2019</v>
      </c>
      <c r="B29" t="inlineStr">
        <is>
          <t>Manitoba</t>
        </is>
      </c>
      <c r="C29" t="inlineStr">
        <is>
          <t>Canola</t>
        </is>
      </c>
      <c r="D29" t="n">
        <v>3307800</v>
      </c>
      <c r="E29" t="n">
        <v>42</v>
      </c>
    </row>
    <row r="30">
      <c r="A30" t="n">
        <v>2019</v>
      </c>
      <c r="B30" t="inlineStr">
        <is>
          <t>New Brunswick</t>
        </is>
      </c>
      <c r="C30" t="inlineStr">
        <is>
          <t>Canola</t>
        </is>
      </c>
      <c r="D30" t="n">
        <v>1400</v>
      </c>
      <c r="E30" t="n">
        <v>37.3</v>
      </c>
    </row>
    <row r="31">
      <c r="A31" t="n">
        <v>2019</v>
      </c>
      <c r="B31" t="inlineStr">
        <is>
          <t>Ontario</t>
        </is>
      </c>
      <c r="C31" t="inlineStr">
        <is>
          <t>Canola</t>
        </is>
      </c>
      <c r="D31" t="n">
        <v>46600</v>
      </c>
      <c r="E31" t="n">
        <v>43.2</v>
      </c>
    </row>
    <row r="32">
      <c r="A32" t="n">
        <v>2019</v>
      </c>
      <c r="B32" t="inlineStr">
        <is>
          <t>Prince Edward Island</t>
        </is>
      </c>
      <c r="C32" t="inlineStr">
        <is>
          <t>Canola</t>
        </is>
      </c>
      <c r="D32" t="n">
        <v>900</v>
      </c>
      <c r="E32" t="n">
        <v>40.7</v>
      </c>
    </row>
    <row r="33">
      <c r="A33" t="n">
        <v>2019</v>
      </c>
      <c r="B33" t="inlineStr">
        <is>
          <t>Quebec</t>
        </is>
      </c>
      <c r="C33" t="inlineStr">
        <is>
          <t>Canola</t>
        </is>
      </c>
      <c r="D33" t="n">
        <v>29900</v>
      </c>
      <c r="E33" t="n">
        <v>39.5</v>
      </c>
    </row>
    <row r="34">
      <c r="A34" t="n">
        <v>2019</v>
      </c>
      <c r="B34" t="inlineStr">
        <is>
          <t>Saskatchewan</t>
        </is>
      </c>
      <c r="C34" t="inlineStr">
        <is>
          <t>Canola</t>
        </is>
      </c>
      <c r="D34" t="n">
        <v>11775000</v>
      </c>
      <c r="E34" t="n">
        <v>42.8</v>
      </c>
    </row>
    <row r="35">
      <c r="A35" t="n">
        <v>2020</v>
      </c>
      <c r="B35" t="inlineStr">
        <is>
          <t>Alberta</t>
        </is>
      </c>
      <c r="C35" t="inlineStr">
        <is>
          <t>Canola</t>
        </is>
      </c>
      <c r="D35" t="n">
        <v>5876000</v>
      </c>
      <c r="E35" t="n">
        <v>40.2</v>
      </c>
    </row>
    <row r="36">
      <c r="A36" t="n">
        <v>2020</v>
      </c>
      <c r="B36" t="inlineStr">
        <is>
          <t>British Columbia</t>
        </is>
      </c>
      <c r="C36" t="inlineStr">
        <is>
          <t>Canola</t>
        </is>
      </c>
      <c r="D36" t="n">
        <v>92100</v>
      </c>
      <c r="E36" t="n">
        <v>30</v>
      </c>
    </row>
    <row r="37">
      <c r="A37" t="n">
        <v>2020</v>
      </c>
      <c r="B37" t="inlineStr">
        <is>
          <t>Manitoba</t>
        </is>
      </c>
      <c r="C37" t="inlineStr">
        <is>
          <t>Canola</t>
        </is>
      </c>
      <c r="D37" t="n">
        <v>3414100</v>
      </c>
      <c r="E37" t="n">
        <v>41.4</v>
      </c>
    </row>
    <row r="38">
      <c r="A38" t="n">
        <v>2020</v>
      </c>
      <c r="B38" t="inlineStr">
        <is>
          <t>New Brunswick</t>
        </is>
      </c>
      <c r="C38" t="inlineStr">
        <is>
          <t>Canola</t>
        </is>
      </c>
      <c r="D38" t="n">
        <v>1200</v>
      </c>
      <c r="E38" t="n">
        <v>42.1</v>
      </c>
    </row>
    <row r="39">
      <c r="A39" t="n">
        <v>2020</v>
      </c>
      <c r="B39" t="inlineStr">
        <is>
          <t>Ontario</t>
        </is>
      </c>
      <c r="C39" t="inlineStr">
        <is>
          <t>Canola</t>
        </is>
      </c>
      <c r="D39" t="n">
        <v>32400</v>
      </c>
      <c r="E39" t="n">
        <v>45.9</v>
      </c>
    </row>
    <row r="40">
      <c r="A40" t="n">
        <v>2020</v>
      </c>
      <c r="B40" t="inlineStr">
        <is>
          <t>Quebec</t>
        </is>
      </c>
      <c r="C40" t="inlineStr">
        <is>
          <t>Canola</t>
        </is>
      </c>
      <c r="D40" t="n">
        <v>27600</v>
      </c>
      <c r="E40" t="n">
        <v>38.6</v>
      </c>
    </row>
    <row r="41">
      <c r="A41" t="n">
        <v>2020</v>
      </c>
      <c r="B41" t="inlineStr">
        <is>
          <t>Saskatchewan</t>
        </is>
      </c>
      <c r="C41" t="inlineStr">
        <is>
          <t>Canola</t>
        </is>
      </c>
      <c r="D41" t="n">
        <v>11339200</v>
      </c>
      <c r="E41" t="n">
        <v>42.7</v>
      </c>
    </row>
    <row r="42">
      <c r="A42" t="n">
        <v>2021</v>
      </c>
      <c r="B42" t="inlineStr">
        <is>
          <t>Alberta</t>
        </is>
      </c>
      <c r="C42" t="inlineStr">
        <is>
          <t>Canola</t>
        </is>
      </c>
      <c r="D42" t="n">
        <v>6685992</v>
      </c>
      <c r="E42" t="n">
        <v>28.9</v>
      </c>
    </row>
    <row r="43">
      <c r="A43" t="n">
        <v>2021</v>
      </c>
      <c r="B43" t="inlineStr">
        <is>
          <t>British Columbia</t>
        </is>
      </c>
      <c r="C43" t="inlineStr">
        <is>
          <t>Canola</t>
        </is>
      </c>
      <c r="D43" t="n">
        <v>103340</v>
      </c>
      <c r="E43" t="n">
        <v>28.6</v>
      </c>
    </row>
    <row r="44">
      <c r="A44" t="n">
        <v>2021</v>
      </c>
      <c r="B44" t="inlineStr">
        <is>
          <t>Manitoba</t>
        </is>
      </c>
      <c r="C44" t="inlineStr">
        <is>
          <t>Canola</t>
        </is>
      </c>
      <c r="D44" t="n">
        <v>3424226</v>
      </c>
      <c r="E44" t="n">
        <v>36.4</v>
      </c>
    </row>
    <row r="45">
      <c r="A45" t="n">
        <v>2021</v>
      </c>
      <c r="B45" t="inlineStr">
        <is>
          <t>Ontario</t>
        </is>
      </c>
      <c r="C45" t="inlineStr">
        <is>
          <t>Canola</t>
        </is>
      </c>
      <c r="D45" t="n">
        <v>43079</v>
      </c>
      <c r="E45" t="n">
        <v>43</v>
      </c>
    </row>
    <row r="46">
      <c r="A46" t="n">
        <v>2021</v>
      </c>
      <c r="B46" t="inlineStr">
        <is>
          <t>Prince Edward Island</t>
        </is>
      </c>
      <c r="C46" t="inlineStr">
        <is>
          <t>Canola</t>
        </is>
      </c>
      <c r="D46" t="n">
        <v>340</v>
      </c>
    </row>
    <row r="47">
      <c r="A47" t="n">
        <v>2021</v>
      </c>
      <c r="B47" t="inlineStr">
        <is>
          <t>Quebec</t>
        </is>
      </c>
      <c r="C47" t="inlineStr">
        <is>
          <t>Canola</t>
        </is>
      </c>
      <c r="D47" t="n">
        <v>31611</v>
      </c>
      <c r="E47" t="n">
        <v>42.8</v>
      </c>
    </row>
    <row r="48">
      <c r="A48" t="n">
        <v>2021</v>
      </c>
      <c r="B48" t="inlineStr">
        <is>
          <t>Saskatchewan</t>
        </is>
      </c>
      <c r="C48" t="inlineStr">
        <is>
          <t>Canola</t>
        </is>
      </c>
      <c r="D48" t="n">
        <v>11980413</v>
      </c>
      <c r="E48" t="n">
        <v>25.8</v>
      </c>
    </row>
    <row r="49">
      <c r="A49" t="n">
        <v>2022</v>
      </c>
      <c r="B49" t="inlineStr">
        <is>
          <t>Alberta</t>
        </is>
      </c>
      <c r="C49" t="inlineStr">
        <is>
          <t>Canola</t>
        </is>
      </c>
      <c r="D49" t="n">
        <v>6521000</v>
      </c>
      <c r="E49" t="n">
        <v>38.1</v>
      </c>
    </row>
    <row r="50">
      <c r="A50" t="n">
        <v>2022</v>
      </c>
      <c r="B50" t="inlineStr">
        <is>
          <t>British Columbia</t>
        </is>
      </c>
      <c r="C50" t="inlineStr">
        <is>
          <t>Canola</t>
        </is>
      </c>
      <c r="D50" t="n">
        <v>100600</v>
      </c>
      <c r="E50" t="n">
        <v>30.3</v>
      </c>
    </row>
    <row r="51">
      <c r="A51" t="n">
        <v>2022</v>
      </c>
      <c r="B51" t="inlineStr">
        <is>
          <t>Manitoba</t>
        </is>
      </c>
      <c r="C51" t="inlineStr">
        <is>
          <t>Canola</t>
        </is>
      </c>
      <c r="D51" t="n">
        <v>3280800</v>
      </c>
      <c r="E51" t="n">
        <v>43.3</v>
      </c>
    </row>
    <row r="52">
      <c r="A52" t="n">
        <v>2022</v>
      </c>
      <c r="B52" t="inlineStr">
        <is>
          <t>New Brunswick</t>
        </is>
      </c>
      <c r="C52" t="inlineStr">
        <is>
          <t>Canola</t>
        </is>
      </c>
      <c r="D52" t="n">
        <v>1200</v>
      </c>
      <c r="E52" t="n">
        <v>44.8</v>
      </c>
    </row>
    <row r="53">
      <c r="A53" t="n">
        <v>2022</v>
      </c>
      <c r="B53" t="inlineStr">
        <is>
          <t>Ontario</t>
        </is>
      </c>
      <c r="C53" t="inlineStr">
        <is>
          <t>Canola</t>
        </is>
      </c>
      <c r="D53" t="n">
        <v>56200</v>
      </c>
      <c r="E53" t="n">
        <v>50.9</v>
      </c>
    </row>
    <row r="54">
      <c r="A54" t="n">
        <v>2022</v>
      </c>
      <c r="B54" t="inlineStr">
        <is>
          <t>Quebec</t>
        </is>
      </c>
      <c r="C54" t="inlineStr">
        <is>
          <t>Canola</t>
        </is>
      </c>
      <c r="D54" t="n">
        <v>41100</v>
      </c>
      <c r="E54" t="n">
        <v>41.7</v>
      </c>
    </row>
    <row r="55">
      <c r="A55" t="n">
        <v>2022</v>
      </c>
      <c r="B55" t="inlineStr">
        <is>
          <t>Saskatchewan</t>
        </is>
      </c>
      <c r="C55" t="inlineStr">
        <is>
          <t>Canola</t>
        </is>
      </c>
      <c r="D55" t="n">
        <v>11393800</v>
      </c>
      <c r="E55" t="n">
        <v>38.6</v>
      </c>
    </row>
    <row r="56">
      <c r="A56" t="n">
        <v>2023</v>
      </c>
      <c r="B56" t="inlineStr">
        <is>
          <t>Alberta</t>
        </is>
      </c>
      <c r="C56" t="inlineStr">
        <is>
          <t>Canola</t>
        </is>
      </c>
      <c r="D56" t="n">
        <v>6362800</v>
      </c>
      <c r="E56" t="n">
        <v>40.1</v>
      </c>
    </row>
    <row r="57">
      <c r="A57" t="n">
        <v>2023</v>
      </c>
      <c r="B57" t="inlineStr">
        <is>
          <t>British Columbia</t>
        </is>
      </c>
      <c r="C57" t="inlineStr">
        <is>
          <t>Canola</t>
        </is>
      </c>
      <c r="D57" t="n">
        <v>108600</v>
      </c>
      <c r="E57" t="n">
        <v>35.1</v>
      </c>
    </row>
    <row r="58">
      <c r="A58" t="n">
        <v>2023</v>
      </c>
      <c r="B58" t="inlineStr">
        <is>
          <t>Manitoba</t>
        </is>
      </c>
      <c r="C58" t="inlineStr">
        <is>
          <t>Canola</t>
        </is>
      </c>
      <c r="D58" t="n">
        <v>3128200</v>
      </c>
      <c r="E58" t="n">
        <v>44.6</v>
      </c>
    </row>
    <row r="59">
      <c r="A59" t="n">
        <v>2023</v>
      </c>
      <c r="B59" t="inlineStr">
        <is>
          <t>New Brunswick</t>
        </is>
      </c>
      <c r="C59" t="inlineStr">
        <is>
          <t>Canola</t>
        </is>
      </c>
      <c r="D59" t="n">
        <v>1600</v>
      </c>
      <c r="E59" t="n">
        <v>45.6</v>
      </c>
    </row>
    <row r="60">
      <c r="A60" t="n">
        <v>2023</v>
      </c>
      <c r="B60" t="inlineStr">
        <is>
          <t>Ontario</t>
        </is>
      </c>
      <c r="C60" t="inlineStr">
        <is>
          <t>Canola</t>
        </is>
      </c>
      <c r="D60" t="n">
        <v>45100</v>
      </c>
      <c r="E60" t="n">
        <v>53.4</v>
      </c>
    </row>
    <row r="61">
      <c r="A61" t="n">
        <v>2023</v>
      </c>
      <c r="B61" t="inlineStr">
        <is>
          <t>Quebec</t>
        </is>
      </c>
      <c r="C61" t="inlineStr">
        <is>
          <t>Canola</t>
        </is>
      </c>
      <c r="D61" t="n">
        <v>38600</v>
      </c>
      <c r="E61" t="n">
        <v>40.9</v>
      </c>
    </row>
    <row r="62">
      <c r="A62" t="n">
        <v>2023</v>
      </c>
      <c r="B62" t="inlineStr">
        <is>
          <t>Saskatchewan</t>
        </is>
      </c>
      <c r="C62" t="inlineStr">
        <is>
          <t>Canola</t>
        </is>
      </c>
      <c r="D62" t="n">
        <v>12400400</v>
      </c>
      <c r="E62" t="n">
        <v>37.4</v>
      </c>
    </row>
    <row r="63">
      <c r="A63" t="n">
        <v>2024</v>
      </c>
      <c r="B63" t="inlineStr">
        <is>
          <t>Alberta</t>
        </is>
      </c>
      <c r="C63" t="inlineStr">
        <is>
          <t>Canola</t>
        </is>
      </c>
      <c r="D63" t="n">
        <v>6385300</v>
      </c>
      <c r="E63" t="n">
        <v>39.1</v>
      </c>
    </row>
    <row r="64">
      <c r="A64" t="n">
        <v>2024</v>
      </c>
      <c r="B64" t="inlineStr">
        <is>
          <t>British Columbia</t>
        </is>
      </c>
      <c r="C64" t="inlineStr">
        <is>
          <t>Canola</t>
        </is>
      </c>
      <c r="D64" t="n">
        <v>106900</v>
      </c>
      <c r="E64" t="n">
        <v>29.2</v>
      </c>
    </row>
    <row r="65">
      <c r="A65" t="n">
        <v>2024</v>
      </c>
      <c r="B65" t="inlineStr">
        <is>
          <t>Manitoba</t>
        </is>
      </c>
      <c r="C65" t="inlineStr">
        <is>
          <t>Canola</t>
        </is>
      </c>
      <c r="D65" t="n">
        <v>3336200</v>
      </c>
      <c r="E65" t="n">
        <v>40.2</v>
      </c>
    </row>
    <row r="66">
      <c r="A66" t="n">
        <v>2024</v>
      </c>
      <c r="B66" t="inlineStr">
        <is>
          <t>New Brunswick</t>
        </is>
      </c>
      <c r="C66" t="inlineStr">
        <is>
          <t>Canola</t>
        </is>
      </c>
      <c r="D66" t="n">
        <v>2300</v>
      </c>
      <c r="E66" t="n">
        <v>54.2</v>
      </c>
    </row>
    <row r="67">
      <c r="A67" t="n">
        <v>2024</v>
      </c>
      <c r="B67" t="inlineStr">
        <is>
          <t>Ontario</t>
        </is>
      </c>
      <c r="C67" t="inlineStr">
        <is>
          <t>Canola</t>
        </is>
      </c>
      <c r="D67" t="n">
        <v>56400</v>
      </c>
      <c r="E67" t="n">
        <v>49.3</v>
      </c>
    </row>
    <row r="68">
      <c r="A68" t="n">
        <v>2024</v>
      </c>
      <c r="B68" t="inlineStr">
        <is>
          <t>Quebec</t>
        </is>
      </c>
      <c r="C68" t="inlineStr">
        <is>
          <t>Canola</t>
        </is>
      </c>
      <c r="D68" t="n">
        <v>38200</v>
      </c>
      <c r="E68" t="n">
        <v>41.8</v>
      </c>
    </row>
    <row r="69">
      <c r="A69" t="n">
        <v>2024</v>
      </c>
      <c r="B69" t="inlineStr">
        <is>
          <t>Saskatchewan</t>
        </is>
      </c>
      <c r="C69" t="inlineStr">
        <is>
          <t>Canola</t>
        </is>
      </c>
      <c r="D69" t="n">
        <v>12085600</v>
      </c>
      <c r="E69" t="n">
        <v>38.3</v>
      </c>
    </row>
    <row r="70">
      <c r="A70" t="n">
        <v>2025</v>
      </c>
      <c r="B70" t="inlineStr">
        <is>
          <t>Alberta</t>
        </is>
      </c>
      <c r="C70" t="inlineStr">
        <is>
          <t>Canola</t>
        </is>
      </c>
      <c r="D70" t="n">
        <v>6208400</v>
      </c>
      <c r="E70" t="n">
        <v>45.4</v>
      </c>
    </row>
    <row r="71">
      <c r="A71" t="n">
        <v>2025</v>
      </c>
      <c r="B71" t="inlineStr">
        <is>
          <t>British Columbia</t>
        </is>
      </c>
      <c r="C71" t="inlineStr">
        <is>
          <t>Canola</t>
        </is>
      </c>
      <c r="D71" t="n">
        <v>111800</v>
      </c>
      <c r="E71" t="n">
        <v>42.3</v>
      </c>
    </row>
    <row r="72">
      <c r="A72" t="n">
        <v>2025</v>
      </c>
      <c r="B72" t="inlineStr">
        <is>
          <t>Manitoba</t>
        </is>
      </c>
      <c r="C72" t="inlineStr">
        <is>
          <t>Canola</t>
        </is>
      </c>
      <c r="D72" t="n">
        <v>3028300</v>
      </c>
      <c r="E72" t="n">
        <v>44.8</v>
      </c>
    </row>
    <row r="73">
      <c r="A73" t="n">
        <v>2025</v>
      </c>
      <c r="B73" t="inlineStr">
        <is>
          <t>New Brunswick</t>
        </is>
      </c>
      <c r="C73" t="inlineStr">
        <is>
          <t>Canola</t>
        </is>
      </c>
      <c r="D73" t="n">
        <v>1200</v>
      </c>
      <c r="E73" t="n">
        <v>49.5</v>
      </c>
    </row>
    <row r="74">
      <c r="A74" t="n">
        <v>2025</v>
      </c>
      <c r="B74" t="inlineStr">
        <is>
          <t>Ontario</t>
        </is>
      </c>
      <c r="C74" t="inlineStr">
        <is>
          <t>Canola</t>
        </is>
      </c>
      <c r="D74" t="n">
        <v>56500</v>
      </c>
      <c r="E74" t="n">
        <v>49.8</v>
      </c>
    </row>
    <row r="75">
      <c r="A75" t="n">
        <v>2025</v>
      </c>
      <c r="B75" t="inlineStr">
        <is>
          <t>Quebec</t>
        </is>
      </c>
      <c r="C75" t="inlineStr">
        <is>
          <t>Canola</t>
        </is>
      </c>
      <c r="D75" t="n">
        <v>27900</v>
      </c>
      <c r="E75" t="n">
        <v>40.1</v>
      </c>
    </row>
    <row r="76">
      <c r="A76" t="n">
        <v>2025</v>
      </c>
      <c r="B76" t="inlineStr">
        <is>
          <t>Saskatchewan</t>
        </is>
      </c>
      <c r="C76" t="inlineStr">
        <is>
          <t>Canola</t>
        </is>
      </c>
      <c r="D76" t="n">
        <v>12187400</v>
      </c>
      <c r="E76" t="n">
        <v>44.4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