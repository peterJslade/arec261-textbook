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#,##0.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Consolas"/>
      <color rgb="002F5D46"/>
      <sz val="9"/>
    </font>
    <font>
      <name val="Arial"/>
      <b val="1"/>
      <color rgb="0024302A"/>
      <sz val="10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3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165" fontId="4" fillId="3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3" fontId="6" fillId="3" borderId="0" applyAlignment="1" pivotButton="0" quotePrefix="0" xfId="0">
      <alignment horizontal="center"/>
    </xf>
    <xf numFmtId="165" fontId="6" fillId="3" borderId="0" applyAlignment="1" pivotButton="0" quotePrefix="0" xfId="0">
      <alignment horizontal="center"/>
    </xf>
    <xf numFmtId="2" fontId="4" fillId="3" borderId="0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4" customWidth="1" min="3" max="3"/>
    <col width="12" customWidth="1" min="4" max="4"/>
    <col width="30" customWidth="1" min="5" max="5"/>
  </cols>
  <sheetData>
    <row r="1" ht="18" customHeight="1">
      <c r="A1" s="1" t="inlineStr">
        <is>
          <t>A blended application rate</t>
        </is>
      </c>
    </row>
    <row r="2" ht="32" customHeight="1">
      <c r="A2" s="2" t="inlineStr">
        <is>
          <t>Total pounds over total acres. The plain average of the four rates sits higher because the heaviest rates are on the smallest fields.</t>
        </is>
      </c>
    </row>
    <row r="3" ht="18" customHeight="1"/>
    <row r="4" ht="18" customHeight="1">
      <c r="A4" s="3" t="inlineStr">
        <is>
          <t>Field</t>
        </is>
      </c>
      <c r="B4" s="4" t="inlineStr">
        <is>
          <t>Acres</t>
        </is>
      </c>
      <c r="C4" s="4" t="inlineStr">
        <is>
          <t>Rate (lb/ac)</t>
        </is>
      </c>
      <c r="D4" s="4" t="inlineStr">
        <is>
          <t>Pounds</t>
        </is>
      </c>
      <c r="E4" s="4" t="inlineStr">
        <is>
          <t>The formula in D</t>
        </is>
      </c>
    </row>
    <row r="5" ht="18" customHeight="1">
      <c r="A5" s="5" t="inlineStr">
        <is>
          <t>Field 1</t>
        </is>
      </c>
      <c r="B5" s="6" t="n">
        <v>86</v>
      </c>
      <c r="C5" s="7" t="n">
        <v>3.4</v>
      </c>
      <c r="D5" s="8">
        <f>B5*C5</f>
        <v/>
      </c>
      <c r="E5" s="9">
        <f>_xlfn.FORMULATEXT(D5)</f>
        <v/>
      </c>
    </row>
    <row r="6" ht="18" customHeight="1">
      <c r="A6" s="5" t="inlineStr">
        <is>
          <t>Field 2</t>
        </is>
      </c>
      <c r="B6" s="6" t="n">
        <v>142</v>
      </c>
      <c r="C6" s="7" t="n">
        <v>2.9</v>
      </c>
      <c r="D6" s="8">
        <f>B6*C6</f>
        <v/>
      </c>
      <c r="E6" s="9">
        <f>_xlfn.FORMULATEXT(D6)</f>
        <v/>
      </c>
    </row>
    <row r="7" ht="18" customHeight="1">
      <c r="A7" s="5" t="inlineStr">
        <is>
          <t>Field 3</t>
        </is>
      </c>
      <c r="B7" s="6" t="n">
        <v>64</v>
      </c>
      <c r="C7" s="7" t="n">
        <v>4.1</v>
      </c>
      <c r="D7" s="8">
        <f>B7*C7</f>
        <v/>
      </c>
      <c r="E7" s="9">
        <f>_xlfn.FORMULATEXT(D7)</f>
        <v/>
      </c>
    </row>
    <row r="8" ht="18" customHeight="1">
      <c r="A8" s="5" t="inlineStr">
        <is>
          <t>Field 4</t>
        </is>
      </c>
      <c r="B8" s="6" t="n">
        <v>119</v>
      </c>
      <c r="C8" s="7" t="n">
        <v>3.2</v>
      </c>
      <c r="D8" s="8">
        <f>B8*C8</f>
        <v/>
      </c>
      <c r="E8" s="9">
        <f>_xlfn.FORMULATEXT(D8)</f>
        <v/>
      </c>
    </row>
    <row r="9" ht="18" customHeight="1">
      <c r="A9" s="10" t="inlineStr">
        <is>
          <t>Total</t>
        </is>
      </c>
      <c r="B9" s="11">
        <f>SUM(B5:B8)</f>
        <v/>
      </c>
      <c r="D9" s="12">
        <f>SUM(D5:D8)</f>
        <v/>
      </c>
    </row>
    <row r="10" ht="18" customHeight="1"/>
    <row r="11" ht="18" customHeight="1">
      <c r="A11" s="10" t="inlineStr">
        <is>
          <t>Blended: pounds / acres</t>
        </is>
      </c>
      <c r="C11" s="13">
        <f>D9/B9</f>
        <v/>
      </c>
      <c r="E11" s="9">
        <f>_xlfn.FORMULATEXT(C11)</f>
        <v/>
      </c>
    </row>
    <row r="12" ht="18" customHeight="1">
      <c r="A12" s="10" t="inlineStr">
        <is>
          <t>Blended: SUMPRODUCT</t>
        </is>
      </c>
      <c r="C12" s="13">
        <f>SUMPRODUCT(B5:B8,C5:C8)/SUM(B5:B8)</f>
        <v/>
      </c>
      <c r="E12" s="9">
        <f>_xlfn.FORMULATEXT(C12)</f>
        <v/>
      </c>
    </row>
    <row r="13" ht="18" customHeight="1">
      <c r="A13" s="10" t="inlineStr">
        <is>
          <t>AVERAGE of the rate column</t>
        </is>
      </c>
      <c r="C13" s="13">
        <f>AVERAGE(C5:C8)</f>
        <v/>
      </c>
      <c r="E13" s="9">
        <f>_xlfn.FORMULATEXT(C13)</f>
        <v/>
      </c>
    </row>
    <row r="14" ht="18" customHeight="1"/>
    <row r="15" ht="30" customHeight="1">
      <c r="A15" s="14" t="inlineStr">
        <is>
          <t>3.28 lb/ac blended against a plain average of 3.40. Order on the total -- 1,347.4 lb -- because that is the amount of product the farm actually needs.</t>
        </is>
      </c>
    </row>
    <row r="16" ht="18" customHeight="1"/>
  </sheetData>
  <mergeCells count="2">
    <mergeCell ref="A2:F2"/>
    <mergeCell ref="A15:E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2026-08-20T23:28:38Z</dcterms:created>
  <dcterms:modified xsi:type="dcterms:W3CDTF">2026-08-20T23:28:38Z</dcterms:modified>
</cp:coreProperties>
</file>