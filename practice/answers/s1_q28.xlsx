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49" fontId="4" fillId="0" borderId="0" pivotButton="0" quotePrefix="0" xfId="0"/>
    <xf numFmtId="16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2" fontId="4" fillId="3" borderId="0" applyAlignment="1" pivotButton="0" quotePrefix="0" xfId="0">
      <alignment horizontal="center"/>
    </xf>
    <xf numFmtId="0" fontId="6" fillId="0" borderId="0" pivotButton="0" quotePrefix="0" xfId="0"/>
    <xf numFmtId="3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22" customWidth="1" min="4" max="4"/>
    <col width="26" customWidth="1" min="5" max="5"/>
    <col width="20" customWidth="1" min="6" max="6"/>
  </cols>
  <sheetData>
    <row r="1" ht="18" customHeight="1">
      <c r="A1" s="1" t="inlineStr">
        <is>
          <t>What Excel does to data on the way in</t>
        </is>
      </c>
    </row>
    <row r="2" ht="32" customHeight="1">
      <c r="A2" s="2" t="inlineStr">
        <is>
          <t>Typed into a General column, three of these variety codes become dates and every RM ID loses its leading zeros. Setting the column to Text first stops it.</t>
        </is>
      </c>
    </row>
    <row r="3" ht="18" customHeight="1"/>
    <row r="4" ht="18" customHeight="1">
      <c r="A4" s="3" t="inlineStr">
        <is>
          <t>As typed (ID)</t>
        </is>
      </c>
      <c r="B4" s="4" t="inlineStr">
        <is>
          <t>As typed (Variety)</t>
        </is>
      </c>
      <c r="C4" s="4" t="inlineStr">
        <is>
          <t>Yield</t>
        </is>
      </c>
      <c r="D4" s="4" t="inlineStr">
        <is>
          <t>ID in a General column</t>
        </is>
      </c>
      <c r="E4" s="4" t="inlineStr">
        <is>
          <t>Variety in a General column</t>
        </is>
      </c>
    </row>
    <row r="5" ht="18" customHeight="1">
      <c r="A5" s="5" t="inlineStr">
        <is>
          <t>00127</t>
        </is>
      </c>
      <c r="B5" s="5" t="inlineStr">
        <is>
          <t>SEPT1</t>
        </is>
      </c>
      <c r="C5" s="6" t="n">
        <v>41.2</v>
      </c>
      <c r="D5" s="7" t="n">
        <v>127</v>
      </c>
      <c r="E5" s="8" t="inlineStr">
        <is>
          <t>1-Sep</t>
        </is>
      </c>
    </row>
    <row r="6" ht="18" customHeight="1">
      <c r="A6" s="5" t="inlineStr">
        <is>
          <t>00308</t>
        </is>
      </c>
      <c r="B6" s="5" t="inlineStr">
        <is>
          <t>AAC2</t>
        </is>
      </c>
      <c r="C6" s="6" t="n">
        <v>38.6</v>
      </c>
      <c r="D6" s="7" t="n">
        <v>308</v>
      </c>
      <c r="E6" s="8" t="inlineStr">
        <is>
          <t>AAC2</t>
        </is>
      </c>
    </row>
    <row r="7" ht="18" customHeight="1">
      <c r="A7" s="5" t="inlineStr">
        <is>
          <t>01045</t>
        </is>
      </c>
      <c r="B7" s="5" t="inlineStr">
        <is>
          <t>MAR2</t>
        </is>
      </c>
      <c r="C7" s="6" t="n">
        <v>44.8</v>
      </c>
      <c r="D7" s="7" t="n">
        <v>1045</v>
      </c>
      <c r="E7" s="8" t="inlineStr">
        <is>
          <t>2-Mar</t>
        </is>
      </c>
    </row>
    <row r="8" ht="18" customHeight="1">
      <c r="A8" s="5" t="inlineStr">
        <is>
          <t>00276</t>
        </is>
      </c>
      <c r="B8" s="5" t="inlineStr">
        <is>
          <t>BW945</t>
        </is>
      </c>
      <c r="C8" s="6" t="n">
        <v>36.1</v>
      </c>
      <c r="D8" s="7" t="n">
        <v>276</v>
      </c>
      <c r="E8" s="8" t="inlineStr">
        <is>
          <t>BW945</t>
        </is>
      </c>
    </row>
    <row r="9" ht="18" customHeight="1">
      <c r="A9" s="5" t="inlineStr">
        <is>
          <t>00519</t>
        </is>
      </c>
      <c r="B9" s="5" t="inlineStr">
        <is>
          <t>1-3</t>
        </is>
      </c>
      <c r="C9" s="6" t="n">
        <v>39.9</v>
      </c>
      <c r="D9" s="7" t="n">
        <v>519</v>
      </c>
      <c r="E9" s="8" t="inlineStr">
        <is>
          <t>3-Jan</t>
        </is>
      </c>
    </row>
    <row r="10" ht="18" customHeight="1"/>
    <row r="11" ht="18" customHeight="1">
      <c r="A11" s="9" t="inlineStr">
        <is>
          <t>Mean yield</t>
        </is>
      </c>
      <c r="C11" s="10">
        <f>AVERAGE(C5:C9)</f>
        <v/>
      </c>
      <c r="F11" s="11">
        <f>_xlfn.FORMULATEXT(C11)</f>
        <v/>
      </c>
    </row>
    <row r="12" ht="18" customHeight="1">
      <c r="A12" s="9" t="inlineStr">
        <is>
          <t>Count</t>
        </is>
      </c>
      <c r="C12" s="12">
        <f>COUNT(C5:C9)</f>
        <v/>
      </c>
      <c r="F12" s="11">
        <f>_xlfn.FORMULATEXT(C12)</f>
        <v/>
      </c>
    </row>
    <row r="13" ht="18" customHeight="1"/>
    <row r="14" ht="30" customHeight="1">
      <c r="A14" s="13" t="inlineStr">
        <is>
          <t>Columns A and B are formatted as Text, which is why they still read as typed. Columns D and E show what a General column does with the same entries: the IDs become numbers and lose their zeros, and SEPT1, MAR2 and 1-3 become dates. The yields are untouched throughout -- the numbers are right and the sheet is still wrong, because nothing can be matched back to the RM it came from.</t>
        </is>
      </c>
    </row>
    <row r="15" ht="18" customHeight="1"/>
  </sheetData>
  <mergeCells count="2">
    <mergeCell ref="A2:F2"/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