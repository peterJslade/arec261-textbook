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sw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-MMM-YY"/>
    <numFmt numFmtId="166" formatCode="0.0"/>
    <numFmt numFmtId="167" formatCode="&quot;$&quot;#,##0.00"/>
  </numFmts>
  <fonts count="2">
    <font>
      <name val="Calibri"/>
      <family val="2"/>
      <color theme="1"/>
      <sz val="11"/>
      <scheme val="minor"/>
    </font>
    <font>
      <b val="1"/>
    </font>
  </fonts>
  <fills count="8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9EAD3"/>
      </patternFill>
    </fill>
    <fill>
      <patternFill patternType="solid">
        <fgColor rgb="00F4CCCC"/>
      </patternFill>
    </fill>
    <fill>
      <patternFill patternType="solid">
        <fgColor rgb="00CFE2F3"/>
      </patternFill>
    </fill>
    <fill>
      <patternFill patternType="solid">
        <fgColor rgb="00D9D2E9"/>
      </patternFill>
    </fill>
    <fill>
      <patternFill patternType="solid">
        <fgColor rgb="00FCE5C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1" fillId="3" borderId="0" pivotButton="0" quotePrefix="0" xfId="0"/>
    <xf numFmtId="0" fontId="1" fillId="4" borderId="0" pivotButton="0" quotePrefix="0" xfId="0"/>
    <xf numFmtId="165" fontId="0" fillId="2" borderId="0" pivotButton="0" quotePrefix="0" xfId="0"/>
    <xf numFmtId="166" fontId="0" fillId="2" borderId="0" pivotButton="0" quotePrefix="0" xfId="0"/>
    <xf numFmtId="0" fontId="0" fillId="3" borderId="0" pivotButton="0" quotePrefix="0" xfId="0"/>
    <xf numFmtId="167" fontId="0" fillId="4" borderId="0" pivotButton="0" quotePrefix="0" xfId="0"/>
    <xf numFmtId="1" fontId="0" fillId="3" borderId="0" pivotButton="0" quotePrefix="0" xfId="0"/>
    <xf numFmtId="0" fontId="0" fillId="5" borderId="0" pivotButton="0" quotePrefix="0" xfId="0"/>
    <xf numFmtId="1" fontId="0" fillId="5" borderId="0" pivotButton="0" quotePrefix="0" xfId="0"/>
    <xf numFmtId="0" fontId="0" fillId="5" borderId="0" applyAlignment="1" pivotButton="0" quotePrefix="0" xfId="0">
      <alignment vertical="top" wrapText="1"/>
    </xf>
    <xf numFmtId="0" fontId="0" fillId="6" borderId="0" applyAlignment="1" pivotButton="0" quotePrefix="0" xfId="0">
      <alignment vertical="top" wrapText="1"/>
    </xf>
    <xf numFmtId="0" fontId="0" fillId="6" borderId="0" pivotButton="0" quotePrefix="0" xfId="0"/>
    <xf numFmtId="0" fontId="0" fillId="7" borderId="0" applyAlignment="1" pivotButton="0" quotePrefix="0" xfId="0">
      <alignment vertical="top" wrapText="1"/>
    </xf>
    <xf numFmtId="0" fontId="0" fillId="7" borderId="0" pivotButton="0" quotePrefix="0" xfId="0"/>
    <xf numFmtId="0" fontId="0" fillId="2" borderId="0" pivotButton="0" quotePrefix="0" xfId="0"/>
    <xf numFmtId="0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9" customWidth="1" min="3" max="3"/>
    <col width="11" customWidth="1" min="4" max="4"/>
    <col width="18" customWidth="1" min="5" max="5"/>
    <col width="11" customWidth="1" min="6" max="6"/>
    <col width="11" customWidth="1" min="7" max="7"/>
    <col width="11" customWidth="1" min="8" max="8"/>
  </cols>
  <sheetData>
    <row r="1">
      <c r="A1" s="1" t="inlineStr">
        <is>
          <t>Date</t>
        </is>
      </c>
      <c r="B1" s="1" t="inlineStr">
        <is>
          <t>Crop</t>
        </is>
      </c>
      <c r="C1" s="1" t="inlineStr">
        <is>
          <t>Tonnes</t>
        </is>
      </c>
      <c r="D1" s="1" t="inlineStr">
        <is>
          <t>Km hauled</t>
        </is>
      </c>
      <c r="E1" s="2" t="inlineStr">
        <is>
          <t>Days since previous</t>
        </is>
      </c>
      <c r="F1" s="3" t="inlineStr">
        <is>
          <t>Charge</t>
        </is>
      </c>
    </row>
    <row r="2">
      <c r="A2" s="4" t="n">
        <v>46279</v>
      </c>
      <c r="B2" t="inlineStr">
        <is>
          <t>Canola</t>
        </is>
      </c>
      <c r="C2" s="5" t="n">
        <v>42.5</v>
      </c>
      <c r="D2" t="n">
        <v>38</v>
      </c>
      <c r="E2" s="6" t="n"/>
      <c r="F2" s="7">
        <f>(4.10+0.085*D2)*C2*(1-0.015)</f>
        <v/>
      </c>
    </row>
    <row r="3">
      <c r="A3" s="4" t="n">
        <v>46283</v>
      </c>
      <c r="B3" t="inlineStr">
        <is>
          <t>Canola</t>
        </is>
      </c>
      <c r="C3" s="5" t="n">
        <v>38</v>
      </c>
      <c r="D3" t="n">
        <v>52</v>
      </c>
      <c r="E3" s="8">
        <f>A3-A2</f>
        <v/>
      </c>
      <c r="F3" s="7">
        <f>(4.10+0.085*D3)*C3*(1-0.015)</f>
        <v/>
      </c>
    </row>
    <row r="4">
      <c r="A4" s="4" t="n">
        <v>46288</v>
      </c>
      <c r="B4" t="inlineStr">
        <is>
          <t>Wheat</t>
        </is>
      </c>
      <c r="C4" s="5" t="n">
        <v>61.2</v>
      </c>
      <c r="D4" t="n">
        <v>27</v>
      </c>
      <c r="E4" s="8">
        <f>A4-A3</f>
        <v/>
      </c>
      <c r="F4" s="7">
        <f>(4.10+0.085*D4)*C4*(1-0.015)</f>
        <v/>
      </c>
    </row>
    <row r="5">
      <c r="A5" s="4" t="n">
        <v>46297</v>
      </c>
      <c r="B5" t="inlineStr">
        <is>
          <t>Wheat</t>
        </is>
      </c>
      <c r="C5" s="5" t="n">
        <v>55.8</v>
      </c>
      <c r="D5" t="n">
        <v>64</v>
      </c>
      <c r="E5" s="8">
        <f>A5-A4</f>
        <v/>
      </c>
      <c r="F5" s="7">
        <f>(4.10+0.085*D5)*C5*(1-0.015)</f>
        <v/>
      </c>
    </row>
    <row r="6">
      <c r="A6" s="4" t="n">
        <v>46304</v>
      </c>
      <c r="B6" t="inlineStr">
        <is>
          <t>Barley</t>
        </is>
      </c>
      <c r="C6" s="5" t="n">
        <v>47.3</v>
      </c>
      <c r="D6" t="n">
        <v>41</v>
      </c>
      <c r="E6" s="8">
        <f>A6-A5</f>
        <v/>
      </c>
      <c r="F6" s="7">
        <f>(4.10+0.085*D6)*C6*(1-0.015)</f>
        <v/>
      </c>
    </row>
    <row r="7">
      <c r="F7" s="7">
        <f>SUM(F2:F6)</f>
        <v/>
      </c>
    </row>
    <row r="8">
      <c r="A8" s="9" t="inlineStr">
        <is>
          <t>First to last (days)</t>
        </is>
      </c>
      <c r="B8" s="10">
        <f>A6-A2</f>
        <v/>
      </c>
      <c r="D8" s="11" t="inlineStr">
        <is>
          <t>COUNT counts only numbers, and the Crop column holds text, so COUNT on it would return 0; COUNTA counts any non-empty cell.</t>
        </is>
      </c>
      <c r="E8" s="9" t="n"/>
      <c r="F8" s="9" t="n"/>
      <c r="G8" s="9" t="n"/>
      <c r="H8" s="9" t="n"/>
    </row>
    <row r="9">
      <c r="A9" s="9" t="inlineStr">
        <is>
          <t>COUNT of Tonnes</t>
        </is>
      </c>
      <c r="B9" s="9">
        <f>COUNT(C2:C6)</f>
        <v/>
      </c>
      <c r="D9" s="9" t="n"/>
      <c r="E9" s="9" t="n"/>
      <c r="F9" s="9" t="n"/>
      <c r="G9" s="9" t="n"/>
      <c r="H9" s="9" t="n"/>
    </row>
    <row r="10">
      <c r="A10" s="9" t="inlineStr">
        <is>
          <t>COUNTA of Crop</t>
        </is>
      </c>
      <c r="B10" s="9">
        <f>COUNTA(B2:B6)</f>
        <v/>
      </c>
      <c r="D10" s="9" t="n"/>
      <c r="E10" s="9" t="n"/>
      <c r="F10" s="9" t="n"/>
      <c r="G10" s="9" t="n"/>
      <c r="H10" s="9" t="n"/>
    </row>
    <row r="12">
      <c r="A12" s="12" t="inlineStr">
        <is>
          <t>That formula computes 4.10 + (0.085 x km x tonnes x 0.985): multiplication happens before addition, so the base rate is added once for the whole load instead of being charged on every tonne. The rates must be grouped first: =(4.10+0.085*D2)*C2*(1-0.015).</t>
        </is>
      </c>
      <c r="B12" s="13" t="n"/>
      <c r="C12" s="13" t="n"/>
      <c r="D12" s="13" t="n"/>
      <c r="E12" s="13" t="n"/>
      <c r="F12" s="13" t="n"/>
      <c r="G12" s="13" t="n"/>
      <c r="H12" s="13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</row>
    <row r="16">
      <c r="A16" s="14" t="inlineStr">
        <is>
          <t>A date is stored as a number, which is what lets one be subtracted from another. Stored as text, date-shaped entries are converted inside a subtraction, but COUNT, SUM and AVERAGE skip text, so any range function over the column would silently return 0.</t>
        </is>
      </c>
      <c r="B16" s="15" t="n"/>
      <c r="C16" s="15" t="n"/>
      <c r="D16" s="15" t="n"/>
      <c r="E16" s="15" t="n"/>
      <c r="F16" s="15" t="n"/>
      <c r="G16" s="15" t="n"/>
      <c r="H16" s="15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</row>
    <row r="18">
      <c r="A18" s="15" t="n"/>
      <c r="B18" s="15" t="n"/>
      <c r="C18" s="15" t="n"/>
      <c r="D18" s="15" t="n"/>
      <c r="E18" s="15" t="n"/>
      <c r="F18" s="15" t="n"/>
      <c r="G18" s="15" t="n"/>
      <c r="H18" s="15" t="n"/>
    </row>
    <row r="20">
      <c r="A20" s="16" t="inlineStr">
        <is>
          <t>Part (a)</t>
        </is>
      </c>
    </row>
    <row r="21">
      <c r="A21" s="6" t="inlineStr">
        <is>
          <t>Part (b)</t>
        </is>
      </c>
    </row>
    <row r="22">
      <c r="A22" s="9" t="inlineStr">
        <is>
          <t>Part (c)</t>
        </is>
      </c>
    </row>
    <row r="23">
      <c r="A23" s="17" t="inlineStr">
        <is>
          <t>Part (d)</t>
        </is>
      </c>
    </row>
    <row r="24">
      <c r="A24" s="13" t="inlineStr">
        <is>
          <t>Part (e)</t>
        </is>
      </c>
    </row>
    <row r="25">
      <c r="A25" s="15" t="inlineStr">
        <is>
          <t>Part (f)</t>
        </is>
      </c>
    </row>
  </sheetData>
  <mergeCells count="3">
    <mergeCell ref="D8:H10"/>
    <mergeCell ref="A16:H18"/>
    <mergeCell ref="A12:H1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2026-08-30T19:09:36Z</dcterms:created>
  <dcterms:modified xmlns:dcterms="http://purl.org/dc/terms/" xmlns:xsi="http://www.w3.org/2001/XMLSchema-instance" xsi:type="dcterms:W3CDTF">2026-08-30T19:09:36Z</dcterms:modified>
</cp:coreProperties>
</file>