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5F6A0D38565C3BDE39A1BEE304" xr6:coauthVersionLast="47" xr6:coauthVersionMax="47" xr10:uidLastSave="{88ED48C5-A1DA-4452-8EA6-9E497ACCD52E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F6" i="1"/>
  <c r="E6" i="1"/>
  <c r="F5" i="1"/>
  <c r="E5" i="1"/>
  <c r="F4" i="1"/>
  <c r="E4" i="1"/>
  <c r="F3" i="1"/>
  <c r="E3" i="1"/>
  <c r="F2" i="1"/>
  <c r="F7" i="1" s="1"/>
</calcChain>
</file>

<file path=xl/sharedStrings.xml><?xml version="1.0" encoding="utf-8"?>
<sst xmlns="http://schemas.openxmlformats.org/spreadsheetml/2006/main" count="23" uniqueCount="21">
  <si>
    <t>Date</t>
  </si>
  <si>
    <t>Crop</t>
  </si>
  <si>
    <t>Tonnes</t>
  </si>
  <si>
    <t>Km hauled</t>
  </si>
  <si>
    <t>Days since previous</t>
  </si>
  <si>
    <t>Charge</t>
  </si>
  <si>
    <t>Canola</t>
  </si>
  <si>
    <t>Wheat</t>
  </si>
  <si>
    <t>Barley</t>
  </si>
  <si>
    <t>First to last (days)</t>
  </si>
  <si>
    <t>COUNT counts only numbers, and the Crop column holds text, so COUNT on it would return 0; COUNTA counts any non-empty cell.</t>
  </si>
  <si>
    <t>COUNT of Tonnes</t>
  </si>
  <si>
    <t>COUNTA of Crop</t>
  </si>
  <si>
    <t>That formula computes 4.10 + (0.085 x km x tonnes x 0.985): multiplication happens before addition, so the base rate is added once for the whole load instead of being charged on every tonne. The rates must be grouped first: =(4.10+0.085*D2)*C2*(1-0.015).</t>
  </si>
  <si>
    <t>A date is stored as a number, which is what lets one be subtracted from another. Stored as text, date-shaped entries are converted inside a subtraction, but COUNT, SUM and AVERAGE skip text, so any range function over the column would silently return 0.</t>
  </si>
  <si>
    <t>Part (a)</t>
  </si>
  <si>
    <t>Part (b)</t>
  </si>
  <si>
    <t>Part (c)</t>
  </si>
  <si>
    <t>Part (d)</t>
  </si>
  <si>
    <t>Part (e)</t>
  </si>
  <si>
    <t>Part (f)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</si>
</sst>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\-mmm\-yy"/>
    <numFmt numFmtId="166" formatCode="0.0"/>
    <numFmt numFmtId="167" formatCode="&quot;$&quot;#,##0.00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CFE2F3"/>
      </patternFill>
    </fill>
    <fill>
      <patternFill patternType="solid">
        <fgColor rgb="FFD9D2E9"/>
      </patternFill>
    </fill>
    <fill>
      <patternFill patternType="solid">
        <f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165" fontId="0" fillId="2" borderId="0" xfId="0" applyNumberFormat="1" applyFill="1"/>
    <xf numFmtId="166" fontId="0" fillId="2" borderId="0" xfId="0" applyNumberFormat="1" applyFill="1"/>
    <xf numFmtId="0" fontId="0" fillId="3" borderId="0" xfId="0" applyFill="1"/>
    <xf numFmtId="167" fontId="0" fillId="4" borderId="0" xfId="0" applyNumberFormat="1" applyFill="1"/>
    <xf numFmtId="1" fontId="0" fillId="3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0" fillId="7" borderId="0" xfId="0" applyFill="1"/>
    <xf numFmtId="0" fontId="0" fillId="2" borderId="0" xfId="0" applyFill="1"/>
    <xf numFmtId="0" fontId="0" fillId="4" borderId="0" xfId="0" applyFill="1"/>
    <xf numFmtId="0" fontId="0" fillId="5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/>
  </sheetViews>
  <sheetFormatPr defaultRowHeight="15"/>
  <cols>
    <col min="1" max="1" width="12" customWidth="1"/>
    <col min="2" max="2" width="10" customWidth="1"/>
    <col min="3" max="3" width="9" customWidth="1"/>
    <col min="4" max="4" width="11" customWidth="1"/>
    <col min="5" max="5" width="18" customWidth="1"/>
    <col min="6" max="8" width="1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8">
      <c r="A2" s="4">
        <v>46279</v>
      </c>
      <c r="B2" t="s">
        <v>6</v>
      </c>
      <c r="C2" s="5">
        <v>42.5</v>
      </c>
      <c r="D2">
        <v>38</v>
      </c>
      <c r="E2" s="6"/>
      <c r="F2" s="7">
        <f>(4.1+0.085*D2)*C2*(1-0.015)</f>
        <v>306.852125</v>
      </c>
    </row>
    <row r="3" spans="1:8">
      <c r="A3" s="4">
        <v>46283</v>
      </c>
      <c r="B3" t="s">
        <v>6</v>
      </c>
      <c r="C3" s="5">
        <v>38</v>
      </c>
      <c r="D3">
        <v>52</v>
      </c>
      <c r="E3" s="8">
        <f>A3-A2</f>
        <v>4</v>
      </c>
      <c r="F3" s="7">
        <f>(4.1+0.085*D3)*C3*(1-0.015)</f>
        <v>318.90359999999998</v>
      </c>
    </row>
    <row r="4" spans="1:8">
      <c r="A4" s="4">
        <v>46288</v>
      </c>
      <c r="B4" t="s">
        <v>7</v>
      </c>
      <c r="C4" s="5">
        <v>61.2</v>
      </c>
      <c r="D4">
        <v>27</v>
      </c>
      <c r="E4" s="8">
        <f>A4-A3</f>
        <v>5</v>
      </c>
      <c r="F4" s="7">
        <f>(4.1+0.085*D4)*C4*(1-0.015)</f>
        <v>385.50338999999997</v>
      </c>
    </row>
    <row r="5" spans="1:8">
      <c r="A5" s="4">
        <v>46297</v>
      </c>
      <c r="B5" t="s">
        <v>7</v>
      </c>
      <c r="C5" s="5">
        <v>55.8</v>
      </c>
      <c r="D5">
        <v>64</v>
      </c>
      <c r="E5" s="8">
        <f>A5-A4</f>
        <v>9</v>
      </c>
      <c r="F5" s="7">
        <f>(4.1+0.085*D5)*C5*(1-0.015)</f>
        <v>524.34701999999993</v>
      </c>
    </row>
    <row r="6" spans="1:8">
      <c r="A6" s="4">
        <v>46304</v>
      </c>
      <c r="B6" t="s">
        <v>8</v>
      </c>
      <c r="C6" s="5">
        <v>47.3</v>
      </c>
      <c r="D6">
        <v>41</v>
      </c>
      <c r="E6" s="8">
        <f>A6-A5</f>
        <v>7</v>
      </c>
      <c r="F6" s="7">
        <f>(4.1+0.085*D6)*C6*(1-0.015)</f>
        <v>353.38894249999998</v>
      </c>
    </row>
    <row r="7" spans="1:8">
      <c r="F7" s="7">
        <f>SUM(F2:F6)</f>
        <v>1888.9950775</v>
      </c>
    </row>
    <row r="8" spans="1:8">
      <c r="A8" s="9" t="s">
        <v>9</v>
      </c>
      <c r="B8" s="10">
        <f>A6-A2</f>
        <v>25</v>
      </c>
      <c r="D8" s="15" t="s">
        <v>10</v>
      </c>
      <c r="E8" s="18"/>
      <c r="F8" s="18"/>
      <c r="G8" s="18"/>
      <c r="H8" s="18"/>
    </row>
    <row r="9" spans="1:8">
      <c r="A9" s="9" t="s">
        <v>11</v>
      </c>
      <c r="B9" s="9">
        <f>COUNT(C2:C6)</f>
        <v>5</v>
      </c>
      <c r="D9" s="18"/>
      <c r="E9" s="18"/>
      <c r="F9" s="18"/>
      <c r="G9" s="18"/>
      <c r="H9" s="18"/>
    </row>
    <row r="10" spans="1:8">
      <c r="A10" s="9" t="s">
        <v>12</v>
      </c>
      <c r="B10" s="9">
        <f>COUNTA(B2:B6)</f>
        <v>5</v>
      </c>
      <c r="D10" s="18"/>
      <c r="E10" s="18"/>
      <c r="F10" s="18"/>
      <c r="G10" s="18"/>
      <c r="H10" s="18"/>
    </row>
    <row r="12" spans="1:8">
      <c r="A12" s="17" t="s">
        <v>13</v>
      </c>
      <c r="B12" s="19"/>
      <c r="C12" s="19"/>
      <c r="D12" s="19"/>
      <c r="E12" s="19"/>
      <c r="F12" s="19"/>
      <c r="G12" s="19"/>
      <c r="H12" s="19"/>
    </row>
    <row r="13" spans="1:8">
      <c r="A13" s="19"/>
      <c r="B13" s="19"/>
      <c r="C13" s="19"/>
      <c r="D13" s="19"/>
      <c r="E13" s="19"/>
      <c r="F13" s="19"/>
      <c r="G13" s="19"/>
      <c r="H13" s="19"/>
    </row>
    <row r="14" spans="1:8">
      <c r="A14" s="19"/>
      <c r="B14" s="19"/>
      <c r="C14" s="19"/>
      <c r="D14" s="19"/>
      <c r="E14" s="19"/>
      <c r="F14" s="19"/>
      <c r="G14" s="19"/>
      <c r="H14" s="19"/>
    </row>
    <row r="16" spans="1:8">
      <c r="A16" s="16" t="s">
        <v>14</v>
      </c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20" spans="1:8">
      <c r="A20" s="13" t="s">
        <v>15</v>
      </c>
    </row>
    <row r="21" spans="1:8">
      <c r="A21" s="6" t="s">
        <v>16</v>
      </c>
    </row>
    <row r="22" spans="1:8">
      <c r="A22" s="9" t="s">
        <v>17</v>
      </c>
    </row>
    <row r="23" spans="1:8">
      <c r="A23" s="14" t="s">
        <v>18</v>
      </c>
    </row>
    <row r="24" spans="1:8">
      <c r="A24" s="11" t="s">
        <v>19</v>
      </c>
    </row>
    <row r="25" spans="1:8">
      <c r="A25" s="12" t="s">
        <v>20</v>
      </c>
    </row>
  </sheetData>
  <mergeCells count="3">
    <mergeCell ref="D8:H10"/>
    <mergeCell ref="A16:H18"/>
    <mergeCell ref="A12:H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2026-08-30T19:15:58Z</dcterms:modified>
  <cp:category/>
  <cp:contentStatus/>
</cp:coreProperties>
</file>