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9"/>
    </font>
    <font>
      <name val="Arial"/>
      <b val="1"/>
      <color rgb="0024302A"/>
      <sz val="10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applyAlignment="1" pivotButton="0" quotePrefix="0" xfId="0">
      <alignment horizontal="center"/>
    </xf>
    <xf numFmtId="3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166" fontId="4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24" customWidth="1" min="5" max="5"/>
  </cols>
  <sheetData>
    <row r="1" ht="18" customHeight="1">
      <c r="A1" s="1" t="inlineStr">
        <is>
          <t>Days between two dates</t>
        </is>
      </c>
    </row>
    <row r="2" ht="32" customHeight="1">
      <c r="A2" s="2" t="inlineStr">
        <is>
          <t>Subtracting one date from another gives days, because Excel stores dates as numbers. The result cell has to be formatted as a number, not a date.</t>
        </is>
      </c>
    </row>
    <row r="3" ht="18" customHeight="1"/>
    <row r="4" ht="18" customHeight="1">
      <c r="A4" s="3" t="inlineStr">
        <is>
          <t>Field</t>
        </is>
      </c>
      <c r="B4" s="4" t="inlineStr">
        <is>
          <t>Seeded</t>
        </is>
      </c>
      <c r="C4" s="4" t="inlineStr">
        <is>
          <t>Harvested</t>
        </is>
      </c>
      <c r="D4" s="4" t="inlineStr">
        <is>
          <t>Days</t>
        </is>
      </c>
      <c r="E4" s="4" t="inlineStr">
        <is>
          <t>The formula in D</t>
        </is>
      </c>
    </row>
    <row r="5" ht="18" customHeight="1">
      <c r="A5" s="5" t="inlineStr">
        <is>
          <t>Sandhill</t>
        </is>
      </c>
      <c r="B5" s="6" t="n">
        <v>46150</v>
      </c>
      <c r="C5" s="6" t="n">
        <v>46279</v>
      </c>
      <c r="D5" s="7">
        <f>C5-B5</f>
        <v/>
      </c>
      <c r="E5" s="8">
        <f>_xlfn.FORMULATEXT(D5)</f>
        <v/>
      </c>
    </row>
    <row r="6" ht="18" customHeight="1">
      <c r="A6" s="5" t="inlineStr">
        <is>
          <t>Tamarack</t>
        </is>
      </c>
      <c r="B6" s="6" t="n">
        <v>46163</v>
      </c>
      <c r="C6" s="6" t="n">
        <v>46283</v>
      </c>
      <c r="D6" s="7">
        <f>C6-B6</f>
        <v/>
      </c>
      <c r="E6" s="8">
        <f>_xlfn.FORMULATEXT(D6)</f>
        <v/>
      </c>
    </row>
    <row r="7" ht="18" customHeight="1">
      <c r="A7" s="5" t="inlineStr">
        <is>
          <t>Upland</t>
        </is>
      </c>
      <c r="B7" s="6" t="n">
        <v>46141</v>
      </c>
      <c r="C7" s="6" t="n">
        <v>46274</v>
      </c>
      <c r="D7" s="7">
        <f>C7-B7</f>
        <v/>
      </c>
      <c r="E7" s="8">
        <f>_xlfn.FORMULATEXT(D7)</f>
        <v/>
      </c>
    </row>
    <row r="8" ht="18" customHeight="1">
      <c r="A8" s="5" t="inlineStr">
        <is>
          <t>Verdant</t>
        </is>
      </c>
      <c r="B8" s="6" t="n">
        <v>46161</v>
      </c>
      <c r="C8" s="6" t="n">
        <v>46297</v>
      </c>
      <c r="D8" s="7">
        <f>C8-B8</f>
        <v/>
      </c>
      <c r="E8" s="8">
        <f>_xlfn.FORMULATEXT(D8)</f>
        <v/>
      </c>
    </row>
    <row r="9" ht="18" customHeight="1">
      <c r="A9" s="5" t="inlineStr">
        <is>
          <t>Westgate</t>
        </is>
      </c>
      <c r="B9" s="6" t="n">
        <v>46154</v>
      </c>
      <c r="C9" s="6" t="n">
        <v>46287</v>
      </c>
      <c r="D9" s="7">
        <f>C9-B9</f>
        <v/>
      </c>
      <c r="E9" s="8">
        <f>_xlfn.FORMULATEXT(D9)</f>
        <v/>
      </c>
    </row>
    <row r="10" ht="18" customHeight="1"/>
    <row r="11" ht="18" customHeight="1">
      <c r="A11" s="9" t="inlineStr">
        <is>
          <t>Shortest</t>
        </is>
      </c>
      <c r="C11" s="7">
        <f>MIN(D5:D9)</f>
        <v/>
      </c>
      <c r="E11" s="8">
        <f>_xlfn.FORMULATEXT(C11)</f>
        <v/>
      </c>
    </row>
    <row r="12" ht="18" customHeight="1">
      <c r="A12" s="9" t="inlineStr">
        <is>
          <t>Longest</t>
        </is>
      </c>
      <c r="C12" s="7">
        <f>MAX(D5:D9)</f>
        <v/>
      </c>
      <c r="E12" s="8">
        <f>_xlfn.FORMULATEXT(C12)</f>
        <v/>
      </c>
    </row>
    <row r="13" ht="18" customHeight="1">
      <c r="A13" s="9" t="inlineStr">
        <is>
          <t>Average</t>
        </is>
      </c>
      <c r="C13" s="10">
        <f>AVERAGE(D5:D9)</f>
        <v/>
      </c>
      <c r="E13" s="8">
        <f>_xlfn.FORMULATEXT(C13)</f>
        <v/>
      </c>
    </row>
    <row r="14" ht="18" customHeight="1">
      <c r="A14" s="9" t="inlineStr">
        <is>
          <t>Range</t>
        </is>
      </c>
      <c r="C14" s="7">
        <f>MAX(D5:D9)-MIN(D5:D9)</f>
        <v/>
      </c>
      <c r="E14" s="8">
        <f>_xlfn.FORMULATEXT(C14)</f>
        <v/>
      </c>
    </row>
    <row r="15" ht="18" customHeight="1"/>
    <row r="16" ht="30" customHeight="1">
      <c r="A16" s="11" t="inlineStr">
        <is>
          <t>120 days at Tamarack to 136 at Verdant, a 16-day spread. If the Days column shows something like 04-May-1900 it has inherited the date format from the cells being subtracted; set it to Number.</t>
        </is>
      </c>
    </row>
    <row r="17" ht="18" customHeight="1"/>
  </sheetData>
  <mergeCells count="2">
    <mergeCell ref="A16:E16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2026-08-20T23:51:02Z</dcterms:created>
  <dcterms:modified xsi:type="dcterms:W3CDTF">2026-08-20T23:51:02Z</dcterms:modified>
</cp:coreProperties>
</file>