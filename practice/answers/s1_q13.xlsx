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" fontId="0" fillId="2" borderId="0" pivotButton="0" quotePrefix="0" xfId="0"/>
    <xf numFmtId="0" fontId="0" fillId="3" borderId="0" pivotButton="0" quotePrefix="0" xfId="0"/>
    <xf numFmtId="1" fontId="0" fillId="3" borderId="0" pivotButton="0" quotePrefix="0" xfId="0"/>
    <xf numFmtId="166" fontId="0" fillId="3" borderId="0" pivotButton="0" quotePrefix="0" xfId="0"/>
    <xf numFmtId="0" fontId="0" fillId="4" borderId="0" pivotButton="0" quotePrefix="0" xfId="0"/>
    <xf numFmtId="1" fontId="0" fillId="4" borderId="0" pivotButton="0" quotePrefix="0" xfId="0"/>
    <xf numFmtId="0" fontId="0" fillId="5" borderId="0" pivotButton="0" quotePrefix="0" xfId="0"/>
    <xf numFmtId="1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Field</t>
        </is>
      </c>
      <c r="B1" s="1" t="inlineStr">
        <is>
          <t>Seeded</t>
        </is>
      </c>
      <c r="C1" s="1" t="inlineStr">
        <is>
          <t>Harvested</t>
        </is>
      </c>
      <c r="D1" s="2" t="inlineStr">
        <is>
          <t>Days to harvest</t>
        </is>
      </c>
    </row>
    <row r="2">
      <c r="A2" t="inlineStr">
        <is>
          <t>Sandhill</t>
        </is>
      </c>
      <c r="B2" s="3" t="n">
        <v>46150</v>
      </c>
      <c r="C2" s="3" t="n">
        <v>46279</v>
      </c>
      <c r="D2" s="4">
        <f>C2-B2</f>
        <v/>
      </c>
    </row>
    <row r="3">
      <c r="A3" t="inlineStr">
        <is>
          <t>Tamarack</t>
        </is>
      </c>
      <c r="B3" s="3" t="n">
        <v>46163</v>
      </c>
      <c r="C3" s="3" t="n">
        <v>46283</v>
      </c>
      <c r="D3" s="4">
        <f>C3-B3</f>
        <v/>
      </c>
    </row>
    <row r="4">
      <c r="A4" t="inlineStr">
        <is>
          <t>Upland</t>
        </is>
      </c>
      <c r="B4" s="3" t="n">
        <v>46141</v>
      </c>
      <c r="C4" s="3" t="n">
        <v>46274</v>
      </c>
      <c r="D4" s="4">
        <f>C4-B4</f>
        <v/>
      </c>
    </row>
    <row r="5">
      <c r="A5" t="inlineStr">
        <is>
          <t>Verdant</t>
        </is>
      </c>
      <c r="B5" s="3" t="n">
        <v>46161</v>
      </c>
      <c r="C5" s="3" t="n">
        <v>46297</v>
      </c>
      <c r="D5" s="4">
        <f>C5-B5</f>
        <v/>
      </c>
    </row>
    <row r="6">
      <c r="A6" t="inlineStr">
        <is>
          <t>Westgate</t>
        </is>
      </c>
      <c r="B6" s="3" t="n">
        <v>46154</v>
      </c>
      <c r="C6" s="3" t="n">
        <v>46287</v>
      </c>
      <c r="D6" s="4">
        <f>C6-B6</f>
        <v/>
      </c>
    </row>
    <row r="8">
      <c r="A8" s="5" t="inlineStr">
        <is>
          <t>MIN</t>
        </is>
      </c>
      <c r="B8" s="6">
        <f>MIN(D2:D6)</f>
        <v/>
      </c>
    </row>
    <row r="9">
      <c r="A9" s="5" t="inlineStr">
        <is>
          <t>MAX</t>
        </is>
      </c>
      <c r="B9" s="6">
        <f>MAX(D2:D6)</f>
        <v/>
      </c>
    </row>
    <row r="10">
      <c r="A10" s="5" t="inlineStr">
        <is>
          <t>AVERAGE</t>
        </is>
      </c>
      <c r="B10" s="7">
        <f>AVERAGE(D2:D6)</f>
        <v/>
      </c>
    </row>
    <row r="11">
      <c r="A11" s="8" t="inlineStr">
        <is>
          <t>Range (days)</t>
        </is>
      </c>
      <c r="B11" s="9">
        <f>MAX(D2:D6)-MIN(D2:D6)</f>
        <v/>
      </c>
    </row>
    <row r="12">
      <c r="A12" s="10" t="inlineStr">
        <is>
          <t>Shortest period</t>
        </is>
      </c>
      <c r="B12" s="10" t="inlineStr">
        <is>
          <t>Tamarack (120 days)</t>
        </is>
      </c>
    </row>
    <row r="13">
      <c r="A13" s="10" t="inlineStr">
        <is>
          <t>Longest period</t>
        </is>
      </c>
      <c r="B13" s="10" t="inlineStr">
        <is>
          <t>Verdant (136 days)</t>
        </is>
      </c>
    </row>
    <row r="14">
      <c r="A14" s="10" t="inlineStr">
        <is>
          <t>Gap (days)</t>
        </is>
      </c>
      <c r="B14" s="11">
        <f>MAX(D2:D6)-MIN(D2:D6)</f>
        <v/>
      </c>
    </row>
    <row r="16">
      <c r="A16" s="12" t="inlineStr">
        <is>
          <t>The Days cell picked up a date format, so Excel is displaying the number 120 as a date -- 120 days after 30 December 1899. The value is right; only the format is wrong. Set the cell format to Number.</t>
        </is>
      </c>
      <c r="B16" s="13" t="n"/>
      <c r="C16" s="13" t="n"/>
      <c r="D16" s="13" t="n"/>
      <c r="E16" s="13" t="n"/>
      <c r="F16" s="13" t="n"/>
      <c r="G16" s="13" t="n"/>
    </row>
    <row r="17">
      <c r="A17" s="13" t="n"/>
      <c r="B17" s="13" t="n"/>
      <c r="C17" s="13" t="n"/>
      <c r="D17" s="13" t="n"/>
      <c r="E17" s="13" t="n"/>
      <c r="F17" s="13" t="n"/>
      <c r="G17" s="13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20">
      <c r="A20" s="14" t="inlineStr">
        <is>
          <t>Part (a)</t>
        </is>
      </c>
    </row>
    <row r="21">
      <c r="A21" s="5" t="inlineStr">
        <is>
          <t>Part (b)</t>
        </is>
      </c>
    </row>
    <row r="22">
      <c r="A22" s="8" t="inlineStr">
        <is>
          <t>Part (c)</t>
        </is>
      </c>
    </row>
    <row r="23">
      <c r="A23" s="10" t="inlineStr">
        <is>
          <t>Part (d)</t>
        </is>
      </c>
    </row>
    <row r="24">
      <c r="A24" s="13" t="inlineStr">
        <is>
          <t>Part (e)</t>
        </is>
      </c>
    </row>
  </sheetData>
  <mergeCells count="1">
    <mergeCell ref="A16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2026-08-30T19:30:09Z</dcterms:created>
  <dcterms:modified xmlns:dcterms="http://purl.org/dc/terms/" xmlns:xsi="http://www.w3.org/2001/XMLSchema-instance" xsi:type="dcterms:W3CDTF">2026-08-30T19:30:09Z</dcterms:modified>
</cp:coreProperties>
</file>