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Question 59 -- Durum wheat (Data sheet, cols A:E) and Canola (cols G:K)</t>
        </is>
      </c>
    </row>
    <row r="3">
      <c r="A3" s="2" t="inlineStr">
        <is>
          <t>Durum -- mean</t>
        </is>
      </c>
      <c r="B3" s="3">
        <f>AVERAGE('Data'!E2:E39)</f>
        <v/>
      </c>
    </row>
    <row r="4">
      <c r="A4" s="2" t="inlineStr">
        <is>
          <t>Durum -- CV</t>
        </is>
      </c>
      <c r="B4" s="4">
        <f>_xlfn.STDEV.S('Data'!E2:E39)/AVERAGE('Data'!E2:E39)</f>
        <v/>
      </c>
    </row>
    <row r="6">
      <c r="A6" s="5" t="inlineStr">
        <is>
          <t>Province</t>
        </is>
      </c>
      <c r="B6" s="5" t="inlineStr">
        <is>
          <t>Durum rows (non-blank)</t>
        </is>
      </c>
      <c r="C6" s="5" t="inlineStr">
        <is>
          <t>Canola rows (non-blank)</t>
        </is>
      </c>
    </row>
    <row r="7">
      <c r="A7" s="6" t="inlineStr">
        <is>
          <t>Alberta</t>
        </is>
      </c>
      <c r="B7" s="6">
        <f>COUNTIFS('Data'!B2:B39,A7,'Data'!E2:E39,"&lt;&gt;")</f>
        <v/>
      </c>
      <c r="C7" s="6">
        <f>COUNTIFS('Data'!H2:H76,A7,'Data'!K2:K76,"&lt;&gt;")</f>
        <v/>
      </c>
    </row>
    <row r="8">
      <c r="A8" s="6" t="inlineStr">
        <is>
          <t>British Columbia</t>
        </is>
      </c>
      <c r="B8" s="6">
        <f>COUNTIFS('Data'!B2:B39,A8,'Data'!E2:E39,"&lt;&gt;")</f>
        <v/>
      </c>
      <c r="C8" s="6">
        <f>COUNTIFS('Data'!H2:H76,A8,'Data'!K2:K76,"&lt;&gt;")</f>
        <v/>
      </c>
    </row>
    <row r="9">
      <c r="A9" s="6" t="inlineStr">
        <is>
          <t>Manitoba</t>
        </is>
      </c>
      <c r="B9" s="6">
        <f>COUNTIFS('Data'!B2:B39,A9,'Data'!E2:E39,"&lt;&gt;")</f>
        <v/>
      </c>
      <c r="C9" s="6">
        <f>COUNTIFS('Data'!H2:H76,A9,'Data'!K2:K76,"&lt;&gt;")</f>
        <v/>
      </c>
    </row>
    <row r="10">
      <c r="A10" s="6" t="inlineStr">
        <is>
          <t>New Brunswick</t>
        </is>
      </c>
      <c r="B10" s="6">
        <f>COUNTIFS('Data'!B2:B39,A10,'Data'!E2:E39,"&lt;&gt;")</f>
        <v/>
      </c>
      <c r="C10" s="6">
        <f>COUNTIFS('Data'!H2:H76,A10,'Data'!K2:K76,"&lt;&gt;")</f>
        <v/>
      </c>
    </row>
    <row r="11">
      <c r="A11" s="6" t="inlineStr">
        <is>
          <t>Newfoundland and Labrador</t>
        </is>
      </c>
      <c r="B11" s="6">
        <f>COUNTIFS('Data'!B2:B39,A11,'Data'!E2:E39,"&lt;&gt;")</f>
        <v/>
      </c>
      <c r="C11" s="6">
        <f>COUNTIFS('Data'!H2:H76,A11,'Data'!K2:K76,"&lt;&gt;")</f>
        <v/>
      </c>
    </row>
    <row r="12">
      <c r="A12" s="6" t="inlineStr">
        <is>
          <t>Nova Scotia</t>
        </is>
      </c>
      <c r="B12" s="6">
        <f>COUNTIFS('Data'!B2:B39,A12,'Data'!E2:E39,"&lt;&gt;")</f>
        <v/>
      </c>
      <c r="C12" s="6">
        <f>COUNTIFS('Data'!H2:H76,A12,'Data'!K2:K76,"&lt;&gt;")</f>
        <v/>
      </c>
    </row>
    <row r="13">
      <c r="A13" s="6" t="inlineStr">
        <is>
          <t>Ontario</t>
        </is>
      </c>
      <c r="B13" s="6">
        <f>COUNTIFS('Data'!B2:B39,A13,'Data'!E2:E39,"&lt;&gt;")</f>
        <v/>
      </c>
      <c r="C13" s="6">
        <f>COUNTIFS('Data'!H2:H76,A13,'Data'!K2:K76,"&lt;&gt;")</f>
        <v/>
      </c>
    </row>
    <row r="14">
      <c r="A14" s="6" t="inlineStr">
        <is>
          <t>Prince Edward Island</t>
        </is>
      </c>
      <c r="B14" s="6">
        <f>COUNTIFS('Data'!B2:B39,A14,'Data'!E2:E39,"&lt;&gt;")</f>
        <v/>
      </c>
      <c r="C14" s="6">
        <f>COUNTIFS('Data'!H2:H76,A14,'Data'!K2:K76,"&lt;&gt;")</f>
        <v/>
      </c>
    </row>
    <row r="15">
      <c r="A15" s="6" t="inlineStr">
        <is>
          <t>Quebec</t>
        </is>
      </c>
      <c r="B15" s="6">
        <f>COUNTIFS('Data'!B2:B39,A15,'Data'!E2:E39,"&lt;&gt;")</f>
        <v/>
      </c>
      <c r="C15" s="6">
        <f>COUNTIFS('Data'!H2:H76,A15,'Data'!K2:K76,"&lt;&gt;")</f>
        <v/>
      </c>
    </row>
    <row r="16">
      <c r="A16" s="6" t="inlineStr">
        <is>
          <t>Saskatchewan</t>
        </is>
      </c>
      <c r="B16" s="6">
        <f>COUNTIFS('Data'!B2:B39,A16,'Data'!E2:E39,"&lt;&gt;")</f>
        <v/>
      </c>
      <c r="C16" s="6">
        <f>COUNTIFS('Data'!H2:H76,A16,'Data'!K2:K76,"&lt;&gt;")</f>
        <v/>
      </c>
    </row>
    <row r="17">
      <c r="A17" s="6" t="inlineStr">
        <is>
          <t>Provinces reporting</t>
        </is>
      </c>
      <c r="B17" s="6">
        <f>COUNTIF(B7:B16,"&gt;0")</f>
        <v/>
      </c>
      <c r="C17" s="6">
        <f>COUNTIF(C7:C16,"&gt;0")</f>
        <v/>
      </c>
    </row>
    <row r="19">
      <c r="A19" s="7" t="inlineStr">
        <is>
          <t>Five provinces report durum against eight for canola -- the durum average summarises far fewer provinces, so it applies to a narrower part of the country.</t>
        </is>
      </c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2">
      <c r="A22" s="8" t="inlineStr">
        <is>
          <t>The durum figure is still an accurate average of the provinces that report it -- it simply describes fewer provinces than the canola figure, not the whole country.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5">
      <c r="A25" s="10" t="inlineStr">
        <is>
          <t>Durum's CV (about 0.29) is much higher than canola's (about 0.13) -- canola's provincial yields are steadier.</t>
        </is>
      </c>
      <c r="B25" s="11" t="n"/>
      <c r="C25" s="11" t="n"/>
      <c r="D25" s="11" t="n"/>
      <c r="E25" s="11" t="n"/>
      <c r="F25" s="11" t="n"/>
      <c r="G25" s="11" t="n"/>
      <c r="H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</row>
    <row r="28">
      <c r="A28" s="12" t="inlineStr">
        <is>
          <t>An average over five provinces means something different from one over ten -- the contributor count sets how broadly the number applies.</t>
        </is>
      </c>
      <c r="B28" s="13" t="n"/>
      <c r="C28" s="13" t="n"/>
      <c r="D28" s="13" t="n"/>
      <c r="E28" s="13" t="n"/>
      <c r="F28" s="13" t="n"/>
      <c r="G28" s="13" t="n"/>
      <c r="H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</row>
    <row r="31">
      <c r="A31" s="2" t="inlineStr">
        <is>
          <t>Part (a)</t>
        </is>
      </c>
    </row>
    <row r="32">
      <c r="A32" s="6" t="inlineStr">
        <is>
          <t>Part (b)</t>
        </is>
      </c>
    </row>
    <row r="33">
      <c r="A33" s="9" t="inlineStr">
        <is>
          <t>Part (c)</t>
        </is>
      </c>
    </row>
    <row r="34">
      <c r="A34" s="11" t="inlineStr">
        <is>
          <t>Part (d)</t>
        </is>
      </c>
    </row>
    <row r="35">
      <c r="A35" s="13" t="inlineStr">
        <is>
          <t>Part (e)</t>
        </is>
      </c>
    </row>
  </sheetData>
  <mergeCells count="4">
    <mergeCell ref="A22:H23"/>
    <mergeCell ref="A28:H29"/>
    <mergeCell ref="A25:H26"/>
    <mergeCell ref="A19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13" customWidth="1" min="4" max="4"/>
    <col width="12" customWidth="1" min="5" max="5"/>
    <col width="7" customWidth="1" min="7" max="7"/>
    <col width="26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Crop</t>
        </is>
      </c>
      <c r="D1" s="1" t="inlineStr">
        <is>
          <t>Seeded_acres</t>
        </is>
      </c>
      <c r="E1" s="1" t="inlineStr">
        <is>
          <t>Yield_bu_ac</t>
        </is>
      </c>
      <c r="G1" s="1" t="inlineStr">
        <is>
          <t>Year</t>
        </is>
      </c>
      <c r="H1" s="1" t="inlineStr">
        <is>
          <t>Province</t>
        </is>
      </c>
      <c r="I1" s="1" t="inlineStr">
        <is>
          <t>Crop</t>
        </is>
      </c>
      <c r="J1" s="1" t="inlineStr">
        <is>
          <t>Seeded_acres</t>
        </is>
      </c>
      <c r="K1" s="1" t="inlineStr">
        <is>
          <t>Yield_bu_ac</t>
        </is>
      </c>
    </row>
    <row r="2">
      <c r="A2" t="n">
        <v>2015</v>
      </c>
      <c r="B2" t="inlineStr">
        <is>
          <t>Alberta</t>
        </is>
      </c>
      <c r="C2" t="inlineStr">
        <is>
          <t>Durum wheat</t>
        </is>
      </c>
      <c r="D2" t="n">
        <v>890000</v>
      </c>
      <c r="E2" t="n">
        <v>34.5</v>
      </c>
      <c r="G2" t="n">
        <v>2015</v>
      </c>
      <c r="H2" t="inlineStr">
        <is>
          <t>Alberta</t>
        </is>
      </c>
      <c r="I2" t="inlineStr">
        <is>
          <t>Canola</t>
        </is>
      </c>
      <c r="J2" t="n">
        <v>6265000</v>
      </c>
      <c r="K2" t="n">
        <v>41.4</v>
      </c>
    </row>
    <row r="3">
      <c r="A3" t="n">
        <v>2015</v>
      </c>
      <c r="B3" t="inlineStr">
        <is>
          <t>Saskatchewan</t>
        </is>
      </c>
      <c r="C3" t="inlineStr">
        <is>
          <t>Durum wheat</t>
        </is>
      </c>
      <c r="D3" t="n">
        <v>4900000</v>
      </c>
      <c r="E3" t="n">
        <v>34.6</v>
      </c>
      <c r="G3" t="n">
        <v>2015</v>
      </c>
      <c r="H3" t="inlineStr">
        <is>
          <t>British Columbia</t>
        </is>
      </c>
      <c r="I3" t="inlineStr">
        <is>
          <t>Canola</t>
        </is>
      </c>
      <c r="J3" t="n">
        <v>90000</v>
      </c>
      <c r="K3" t="n">
        <v>34.7</v>
      </c>
    </row>
    <row r="4">
      <c r="A4" t="n">
        <v>2016</v>
      </c>
      <c r="B4" t="inlineStr">
        <is>
          <t>Alberta</t>
        </is>
      </c>
      <c r="C4" t="inlineStr">
        <is>
          <t>Durum wheat</t>
        </is>
      </c>
      <c r="D4" t="n">
        <v>1101500</v>
      </c>
      <c r="E4" t="n">
        <v>53.6</v>
      </c>
      <c r="G4" t="n">
        <v>2015</v>
      </c>
      <c r="H4" t="inlineStr">
        <is>
          <t>Manitoba</t>
        </is>
      </c>
      <c r="I4" t="inlineStr">
        <is>
          <t>Canola</t>
        </is>
      </c>
      <c r="J4" t="n">
        <v>3215000</v>
      </c>
      <c r="K4" t="n">
        <v>39.5</v>
      </c>
    </row>
    <row r="5">
      <c r="A5" t="n">
        <v>2016</v>
      </c>
      <c r="B5" t="inlineStr">
        <is>
          <t>Saskatchewan</t>
        </is>
      </c>
      <c r="C5" t="inlineStr">
        <is>
          <t>Durum wheat</t>
        </is>
      </c>
      <c r="D5" t="n">
        <v>5000000</v>
      </c>
      <c r="E5" t="n">
        <v>48.5</v>
      </c>
      <c r="G5" t="n">
        <v>2015</v>
      </c>
      <c r="H5" t="inlineStr">
        <is>
          <t>Ontario</t>
        </is>
      </c>
      <c r="I5" t="inlineStr">
        <is>
          <t>Canola</t>
        </is>
      </c>
      <c r="J5" t="n">
        <v>35000</v>
      </c>
      <c r="K5" t="n">
        <v>42.9</v>
      </c>
    </row>
    <row r="6">
      <c r="A6" t="n">
        <v>2017</v>
      </c>
      <c r="B6" t="inlineStr">
        <is>
          <t>Alberta</t>
        </is>
      </c>
      <c r="C6" t="inlineStr">
        <is>
          <t>Durum wheat</t>
        </is>
      </c>
      <c r="D6" t="n">
        <v>1090000</v>
      </c>
      <c r="E6" t="n">
        <v>36.7</v>
      </c>
      <c r="G6" t="n">
        <v>2015</v>
      </c>
      <c r="H6" t="inlineStr">
        <is>
          <t>Quebec</t>
        </is>
      </c>
      <c r="I6" t="inlineStr">
        <is>
          <t>Canola</t>
        </is>
      </c>
      <c r="J6" t="n">
        <v>29700</v>
      </c>
      <c r="K6" t="n">
        <v>39.7</v>
      </c>
    </row>
    <row r="7">
      <c r="A7" t="n">
        <v>2017</v>
      </c>
      <c r="B7" t="inlineStr">
        <is>
          <t>Saskatchewan</t>
        </is>
      </c>
      <c r="C7" t="inlineStr">
        <is>
          <t>Durum wheat</t>
        </is>
      </c>
      <c r="D7" t="n">
        <v>4115000</v>
      </c>
      <c r="E7" t="n">
        <v>35</v>
      </c>
      <c r="G7" t="n">
        <v>2015</v>
      </c>
      <c r="H7" t="inlineStr">
        <is>
          <t>Saskatchewan</t>
        </is>
      </c>
      <c r="I7" t="inlineStr">
        <is>
          <t>Canola</t>
        </is>
      </c>
      <c r="J7" t="n">
        <v>11150000</v>
      </c>
      <c r="K7" t="n">
        <v>37.9</v>
      </c>
    </row>
    <row r="8">
      <c r="A8" t="n">
        <v>2018</v>
      </c>
      <c r="B8" t="inlineStr">
        <is>
          <t>Alberta</t>
        </is>
      </c>
      <c r="C8" t="inlineStr">
        <is>
          <t>Durum wheat</t>
        </is>
      </c>
      <c r="D8" t="n">
        <v>1184800</v>
      </c>
      <c r="E8" t="n">
        <v>35.6</v>
      </c>
      <c r="G8" t="n">
        <v>2016</v>
      </c>
      <c r="H8" t="inlineStr">
        <is>
          <t>Alberta</t>
        </is>
      </c>
      <c r="I8" t="inlineStr">
        <is>
          <t>Canola</t>
        </is>
      </c>
      <c r="J8" t="n">
        <v>6165700</v>
      </c>
      <c r="K8" t="n">
        <v>45.4</v>
      </c>
    </row>
    <row r="9">
      <c r="A9" t="n">
        <v>2018</v>
      </c>
      <c r="B9" t="inlineStr">
        <is>
          <t>British Columbia</t>
        </is>
      </c>
      <c r="C9" t="inlineStr">
        <is>
          <t>Durum wheat</t>
        </is>
      </c>
      <c r="D9" t="n">
        <v>900</v>
      </c>
      <c r="E9" t="n">
        <v>33.8</v>
      </c>
      <c r="G9" t="n">
        <v>2016</v>
      </c>
      <c r="H9" t="inlineStr">
        <is>
          <t>British Columbia</t>
        </is>
      </c>
      <c r="I9" t="inlineStr">
        <is>
          <t>Canola</t>
        </is>
      </c>
      <c r="J9" t="n">
        <v>95000</v>
      </c>
      <c r="K9" t="n">
        <v>41.9</v>
      </c>
    </row>
    <row r="10">
      <c r="A10" t="n">
        <v>2018</v>
      </c>
      <c r="B10" t="inlineStr">
        <is>
          <t>Saskatchewan</t>
        </is>
      </c>
      <c r="C10" t="inlineStr">
        <is>
          <t>Durum wheat</t>
        </is>
      </c>
      <c r="D10" t="n">
        <v>4989600</v>
      </c>
      <c r="E10" t="n">
        <v>34.9</v>
      </c>
      <c r="G10" t="n">
        <v>2016</v>
      </c>
      <c r="H10" t="inlineStr">
        <is>
          <t>Manitoba</t>
        </is>
      </c>
      <c r="I10" t="inlineStr">
        <is>
          <t>Canola</t>
        </is>
      </c>
      <c r="J10" t="n">
        <v>3199644</v>
      </c>
      <c r="K10" t="n">
        <v>37.1</v>
      </c>
    </row>
    <row r="11">
      <c r="A11" t="n">
        <v>2019</v>
      </c>
      <c r="B11" t="inlineStr">
        <is>
          <t>Alberta</t>
        </is>
      </c>
      <c r="C11" t="inlineStr">
        <is>
          <t>Durum wheat</t>
        </is>
      </c>
      <c r="D11" t="n">
        <v>775000</v>
      </c>
      <c r="E11" t="n">
        <v>32</v>
      </c>
      <c r="G11" t="n">
        <v>2016</v>
      </c>
      <c r="H11" t="inlineStr">
        <is>
          <t>Ontario</t>
        </is>
      </c>
      <c r="I11" t="inlineStr">
        <is>
          <t>Canola</t>
        </is>
      </c>
      <c r="J11" t="n">
        <v>39500</v>
      </c>
      <c r="K11" t="n">
        <v>41.9</v>
      </c>
    </row>
    <row r="12">
      <c r="A12" t="n">
        <v>2019</v>
      </c>
      <c r="B12" t="inlineStr">
        <is>
          <t>Manitoba</t>
        </is>
      </c>
      <c r="C12" t="inlineStr">
        <is>
          <t>Durum wheat</t>
        </is>
      </c>
      <c r="D12" t="n">
        <v>18400</v>
      </c>
      <c r="E12" t="n">
        <v>54.5</v>
      </c>
      <c r="G12" t="n">
        <v>2016</v>
      </c>
      <c r="H12" t="inlineStr">
        <is>
          <t>Quebec</t>
        </is>
      </c>
      <c r="I12" t="inlineStr">
        <is>
          <t>Canola</t>
        </is>
      </c>
      <c r="J12" t="n">
        <v>34200</v>
      </c>
      <c r="K12" t="n">
        <v>42.1</v>
      </c>
    </row>
    <row r="13">
      <c r="A13" t="n">
        <v>2019</v>
      </c>
      <c r="B13" t="inlineStr">
        <is>
          <t>Saskatchewan</t>
        </is>
      </c>
      <c r="C13" t="inlineStr">
        <is>
          <t>Durum wheat</t>
        </is>
      </c>
      <c r="D13" t="n">
        <v>4100000</v>
      </c>
      <c r="E13" t="n">
        <v>40.5</v>
      </c>
      <c r="G13" t="n">
        <v>2016</v>
      </c>
      <c r="H13" t="inlineStr">
        <is>
          <t>Saskatchewan</t>
        </is>
      </c>
      <c r="I13" t="inlineStr">
        <is>
          <t>Canola</t>
        </is>
      </c>
      <c r="J13" t="n">
        <v>11250000</v>
      </c>
      <c r="K13" t="n">
        <v>42.1</v>
      </c>
    </row>
    <row r="14">
      <c r="A14" t="n">
        <v>2020</v>
      </c>
      <c r="B14" t="inlineStr">
        <is>
          <t>Alberta</t>
        </is>
      </c>
      <c r="C14" t="inlineStr">
        <is>
          <t>Durum wheat</t>
        </is>
      </c>
      <c r="D14" t="n">
        <v>1012000</v>
      </c>
      <c r="E14" t="n">
        <v>48.5</v>
      </c>
      <c r="G14" t="n">
        <v>2017</v>
      </c>
      <c r="H14" t="inlineStr">
        <is>
          <t>Alberta</t>
        </is>
      </c>
      <c r="I14" t="inlineStr">
        <is>
          <t>Canola</t>
        </is>
      </c>
      <c r="J14" t="n">
        <v>6930000</v>
      </c>
      <c r="K14" t="n">
        <v>43.7</v>
      </c>
    </row>
    <row r="15">
      <c r="A15" t="n">
        <v>2020</v>
      </c>
      <c r="B15" t="inlineStr">
        <is>
          <t>Manitoba</t>
        </is>
      </c>
      <c r="C15" t="inlineStr">
        <is>
          <t>Durum wheat</t>
        </is>
      </c>
      <c r="D15" t="n">
        <v>31000</v>
      </c>
      <c r="E15" t="n">
        <v>41.8</v>
      </c>
      <c r="G15" t="n">
        <v>2017</v>
      </c>
      <c r="H15" t="inlineStr">
        <is>
          <t>British Columbia</t>
        </is>
      </c>
      <c r="I15" t="inlineStr">
        <is>
          <t>Canola</t>
        </is>
      </c>
      <c r="J15" t="n">
        <v>112000</v>
      </c>
      <c r="K15" t="n">
        <v>36.3</v>
      </c>
    </row>
    <row r="16">
      <c r="A16" t="n">
        <v>2020</v>
      </c>
      <c r="B16" t="inlineStr">
        <is>
          <t>Saskatchewan</t>
        </is>
      </c>
      <c r="C16" t="inlineStr">
        <is>
          <t>Durum wheat</t>
        </is>
      </c>
      <c r="D16" t="n">
        <v>4645600</v>
      </c>
      <c r="E16" t="n">
        <v>41.3</v>
      </c>
      <c r="G16" t="n">
        <v>2017</v>
      </c>
      <c r="H16" t="inlineStr">
        <is>
          <t>Manitoba</t>
        </is>
      </c>
      <c r="I16" t="inlineStr">
        <is>
          <t>Canola</t>
        </is>
      </c>
      <c r="J16" t="n">
        <v>3160000</v>
      </c>
      <c r="K16" t="n">
        <v>44</v>
      </c>
    </row>
    <row r="17">
      <c r="A17" t="n">
        <v>2021</v>
      </c>
      <c r="B17" t="inlineStr">
        <is>
          <t>Alberta</t>
        </is>
      </c>
      <c r="C17" t="inlineStr">
        <is>
          <t>Durum wheat</t>
        </is>
      </c>
      <c r="D17" t="n">
        <v>1037000</v>
      </c>
      <c r="E17" t="n">
        <v>22.8</v>
      </c>
      <c r="G17" t="n">
        <v>2017</v>
      </c>
      <c r="H17" t="inlineStr">
        <is>
          <t>Ontario</t>
        </is>
      </c>
      <c r="I17" t="inlineStr">
        <is>
          <t>Canola</t>
        </is>
      </c>
      <c r="J17" t="n">
        <v>45000</v>
      </c>
      <c r="K17" t="n">
        <v>46.5</v>
      </c>
    </row>
    <row r="18">
      <c r="A18" t="n">
        <v>2021</v>
      </c>
      <c r="B18" t="inlineStr">
        <is>
          <t>Manitoba</t>
        </is>
      </c>
      <c r="C18" t="inlineStr">
        <is>
          <t>Durum wheat</t>
        </is>
      </c>
      <c r="D18" t="n">
        <v>15390</v>
      </c>
      <c r="E18" t="n">
        <v>40</v>
      </c>
      <c r="G18" t="n">
        <v>2017</v>
      </c>
      <c r="H18" t="inlineStr">
        <is>
          <t>Quebec</t>
        </is>
      </c>
      <c r="I18" t="inlineStr">
        <is>
          <t>Canola</t>
        </is>
      </c>
      <c r="J18" t="n">
        <v>37100</v>
      </c>
      <c r="K18" t="n">
        <v>44.3</v>
      </c>
    </row>
    <row r="19">
      <c r="A19" t="n">
        <v>2021</v>
      </c>
      <c r="B19" t="inlineStr">
        <is>
          <t>Ontario</t>
        </is>
      </c>
      <c r="C19" t="inlineStr">
        <is>
          <t>Durum wheat</t>
        </is>
      </c>
      <c r="D19" t="n">
        <v>3920</v>
      </c>
      <c r="G19" t="n">
        <v>2017</v>
      </c>
      <c r="H19" t="inlineStr">
        <is>
          <t>Saskatchewan</t>
        </is>
      </c>
      <c r="I19" t="inlineStr">
        <is>
          <t>Canola</t>
        </is>
      </c>
      <c r="J19" t="n">
        <v>12730000</v>
      </c>
      <c r="K19" t="n">
        <v>39.3</v>
      </c>
    </row>
    <row r="20">
      <c r="A20" t="n">
        <v>2021</v>
      </c>
      <c r="B20" t="inlineStr">
        <is>
          <t>Prince Edward Island</t>
        </is>
      </c>
      <c r="C20" t="inlineStr">
        <is>
          <t>Durum wheat</t>
        </is>
      </c>
      <c r="D20" t="n">
        <v>183</v>
      </c>
      <c r="G20" t="n">
        <v>2018</v>
      </c>
      <c r="H20" t="inlineStr">
        <is>
          <t>Alberta</t>
        </is>
      </c>
      <c r="I20" t="inlineStr">
        <is>
          <t>Canola</t>
        </is>
      </c>
      <c r="J20" t="n">
        <v>6810000</v>
      </c>
      <c r="K20" t="n">
        <v>38.8</v>
      </c>
    </row>
    <row r="21">
      <c r="A21" t="n">
        <v>2021</v>
      </c>
      <c r="B21" t="inlineStr">
        <is>
          <t>Quebec</t>
        </is>
      </c>
      <c r="C21" t="inlineStr">
        <is>
          <t>Durum wheat</t>
        </is>
      </c>
      <c r="D21" t="n">
        <v>7109</v>
      </c>
      <c r="G21" t="n">
        <v>2018</v>
      </c>
      <c r="H21" t="inlineStr">
        <is>
          <t>British Columbia</t>
        </is>
      </c>
      <c r="I21" t="inlineStr">
        <is>
          <t>Canola</t>
        </is>
      </c>
      <c r="J21" t="n">
        <v>137000</v>
      </c>
      <c r="K21" t="n">
        <v>40.7</v>
      </c>
    </row>
    <row r="22">
      <c r="A22" t="n">
        <v>2021</v>
      </c>
      <c r="B22" t="inlineStr">
        <is>
          <t>Saskatchewan</t>
        </is>
      </c>
      <c r="C22" t="inlineStr">
        <is>
          <t>Durum wheat</t>
        </is>
      </c>
      <c r="D22" t="n">
        <v>4671794</v>
      </c>
      <c r="E22" t="n">
        <v>19.6</v>
      </c>
      <c r="G22" t="n">
        <v>2018</v>
      </c>
      <c r="H22" t="inlineStr">
        <is>
          <t>Manitoba</t>
        </is>
      </c>
      <c r="I22" t="inlineStr">
        <is>
          <t>Canola</t>
        </is>
      </c>
      <c r="J22" t="n">
        <v>3416000</v>
      </c>
      <c r="K22" t="n">
        <v>43.3</v>
      </c>
    </row>
    <row r="23">
      <c r="A23" t="n">
        <v>2022</v>
      </c>
      <c r="B23" t="inlineStr">
        <is>
          <t>Alberta</t>
        </is>
      </c>
      <c r="C23" t="inlineStr">
        <is>
          <t>Durum wheat</t>
        </is>
      </c>
      <c r="D23" t="n">
        <v>1086800</v>
      </c>
      <c r="E23" t="n">
        <v>40.9</v>
      </c>
      <c r="G23" t="n">
        <v>2018</v>
      </c>
      <c r="H23" t="inlineStr">
        <is>
          <t>New Brunswick</t>
        </is>
      </c>
      <c r="I23" t="inlineStr">
        <is>
          <t>Canola</t>
        </is>
      </c>
      <c r="J23" t="n">
        <v>1000</v>
      </c>
      <c r="K23" t="n">
        <v>34.5</v>
      </c>
    </row>
    <row r="24">
      <c r="A24" t="n">
        <v>2022</v>
      </c>
      <c r="B24" t="inlineStr">
        <is>
          <t>British Columbia</t>
        </is>
      </c>
      <c r="C24" t="inlineStr">
        <is>
          <t>Durum wheat</t>
        </is>
      </c>
      <c r="D24" t="n">
        <v>4600</v>
      </c>
      <c r="E24" t="n">
        <v>23.6</v>
      </c>
      <c r="G24" t="n">
        <v>2018</v>
      </c>
      <c r="H24" t="inlineStr">
        <is>
          <t>Ontario</t>
        </is>
      </c>
      <c r="I24" t="inlineStr">
        <is>
          <t>Canola</t>
        </is>
      </c>
      <c r="J24" t="n">
        <v>63000</v>
      </c>
      <c r="K24" t="n">
        <v>47.1</v>
      </c>
    </row>
    <row r="25">
      <c r="A25" t="n">
        <v>2022</v>
      </c>
      <c r="B25" t="inlineStr">
        <is>
          <t>Manitoba</t>
        </is>
      </c>
      <c r="C25" t="inlineStr">
        <is>
          <t>Durum wheat</t>
        </is>
      </c>
      <c r="D25" t="n">
        <v>35100</v>
      </c>
      <c r="E25" t="n">
        <v>56</v>
      </c>
      <c r="G25" t="n">
        <v>2018</v>
      </c>
      <c r="H25" t="inlineStr">
        <is>
          <t>Quebec</t>
        </is>
      </c>
      <c r="I25" t="inlineStr">
        <is>
          <t>Canola</t>
        </is>
      </c>
      <c r="J25" t="n">
        <v>36200</v>
      </c>
      <c r="K25" t="n">
        <v>43.8</v>
      </c>
    </row>
    <row r="26">
      <c r="A26" t="n">
        <v>2022</v>
      </c>
      <c r="B26" t="inlineStr">
        <is>
          <t>Saskatchewan</t>
        </is>
      </c>
      <c r="C26" t="inlineStr">
        <is>
          <t>Durum wheat</t>
        </is>
      </c>
      <c r="D26" t="n">
        <v>4864700</v>
      </c>
      <c r="E26" t="n">
        <v>34.6</v>
      </c>
      <c r="G26" t="n">
        <v>2018</v>
      </c>
      <c r="H26" t="inlineStr">
        <is>
          <t>Saskatchewan</t>
        </is>
      </c>
      <c r="I26" t="inlineStr">
        <is>
          <t>Canola</t>
        </is>
      </c>
      <c r="J26" t="n">
        <v>12350000</v>
      </c>
      <c r="K26" t="n">
        <v>40.7</v>
      </c>
    </row>
    <row r="27">
      <c r="A27" t="n">
        <v>2023</v>
      </c>
      <c r="B27" t="inlineStr">
        <is>
          <t>Alberta</t>
        </is>
      </c>
      <c r="C27" t="inlineStr">
        <is>
          <t>Durum wheat</t>
        </is>
      </c>
      <c r="D27" t="n">
        <v>996800</v>
      </c>
      <c r="E27" t="n">
        <v>29.2</v>
      </c>
      <c r="G27" t="n">
        <v>2019</v>
      </c>
      <c r="H27" t="inlineStr">
        <is>
          <t>Alberta</t>
        </is>
      </c>
      <c r="I27" t="inlineStr">
        <is>
          <t>Canola</t>
        </is>
      </c>
      <c r="J27" t="n">
        <v>5933500</v>
      </c>
      <c r="K27" t="n">
        <v>40.3</v>
      </c>
    </row>
    <row r="28">
      <c r="A28" t="n">
        <v>2023</v>
      </c>
      <c r="B28" t="inlineStr">
        <is>
          <t>Manitoba</t>
        </is>
      </c>
      <c r="C28" t="inlineStr">
        <is>
          <t>Durum wheat</t>
        </is>
      </c>
      <c r="D28" t="n">
        <v>44400</v>
      </c>
      <c r="E28" t="n">
        <v>49.8</v>
      </c>
      <c r="G28" t="n">
        <v>2019</v>
      </c>
      <c r="H28" t="inlineStr">
        <is>
          <t>British Columbia</t>
        </is>
      </c>
      <c r="I28" t="inlineStr">
        <is>
          <t>Canola</t>
        </is>
      </c>
      <c r="J28" t="n">
        <v>85800</v>
      </c>
      <c r="K28" t="n">
        <v>41.6</v>
      </c>
    </row>
    <row r="29">
      <c r="A29" t="n">
        <v>2023</v>
      </c>
      <c r="B29" t="inlineStr">
        <is>
          <t>Quebec</t>
        </is>
      </c>
      <c r="C29" t="inlineStr">
        <is>
          <t>Durum wheat</t>
        </is>
      </c>
      <c r="D29" t="n">
        <v>9900</v>
      </c>
      <c r="E29" t="n">
        <v>39.2</v>
      </c>
      <c r="G29" t="n">
        <v>2019</v>
      </c>
      <c r="H29" t="inlineStr">
        <is>
          <t>Manitoba</t>
        </is>
      </c>
      <c r="I29" t="inlineStr">
        <is>
          <t>Canola</t>
        </is>
      </c>
      <c r="J29" t="n">
        <v>3307800</v>
      </c>
      <c r="K29" t="n">
        <v>42</v>
      </c>
    </row>
    <row r="30">
      <c r="A30" t="n">
        <v>2023</v>
      </c>
      <c r="B30" t="inlineStr">
        <is>
          <t>Saskatchewan</t>
        </is>
      </c>
      <c r="C30" t="inlineStr">
        <is>
          <t>Durum wheat</t>
        </is>
      </c>
      <c r="D30" t="n">
        <v>4970700</v>
      </c>
      <c r="E30" t="n">
        <v>25.6</v>
      </c>
      <c r="G30" t="n">
        <v>2019</v>
      </c>
      <c r="H30" t="inlineStr">
        <is>
          <t>New Brunswick</t>
        </is>
      </c>
      <c r="I30" t="inlineStr">
        <is>
          <t>Canola</t>
        </is>
      </c>
      <c r="J30" t="n">
        <v>1400</v>
      </c>
      <c r="K30" t="n">
        <v>37.3</v>
      </c>
    </row>
    <row r="31">
      <c r="A31" t="n">
        <v>2024</v>
      </c>
      <c r="B31" t="inlineStr">
        <is>
          <t>Alberta</t>
        </is>
      </c>
      <c r="C31" t="inlineStr">
        <is>
          <t>Durum wheat</t>
        </is>
      </c>
      <c r="D31" t="n">
        <v>1189800</v>
      </c>
      <c r="E31" t="n">
        <v>40.9</v>
      </c>
      <c r="G31" t="n">
        <v>2019</v>
      </c>
      <c r="H31" t="inlineStr">
        <is>
          <t>Ontario</t>
        </is>
      </c>
      <c r="I31" t="inlineStr">
        <is>
          <t>Canola</t>
        </is>
      </c>
      <c r="J31" t="n">
        <v>46600</v>
      </c>
      <c r="K31" t="n">
        <v>43.2</v>
      </c>
    </row>
    <row r="32">
      <c r="A32" t="n">
        <v>2024</v>
      </c>
      <c r="B32" t="inlineStr">
        <is>
          <t>British Columbia</t>
        </is>
      </c>
      <c r="C32" t="inlineStr">
        <is>
          <t>Durum wheat</t>
        </is>
      </c>
      <c r="D32" t="n">
        <v>5900</v>
      </c>
      <c r="E32" t="n">
        <v>39.7</v>
      </c>
      <c r="G32" t="n">
        <v>2019</v>
      </c>
      <c r="H32" t="inlineStr">
        <is>
          <t>Prince Edward Island</t>
        </is>
      </c>
      <c r="I32" t="inlineStr">
        <is>
          <t>Canola</t>
        </is>
      </c>
      <c r="J32" t="n">
        <v>900</v>
      </c>
      <c r="K32" t="n">
        <v>40.7</v>
      </c>
    </row>
    <row r="33">
      <c r="A33" t="n">
        <v>2024</v>
      </c>
      <c r="B33" t="inlineStr">
        <is>
          <t>Manitoba</t>
        </is>
      </c>
      <c r="C33" t="inlineStr">
        <is>
          <t>Durum wheat</t>
        </is>
      </c>
      <c r="D33" t="n">
        <v>24100</v>
      </c>
      <c r="E33" t="n">
        <v>54.2</v>
      </c>
      <c r="G33" t="n">
        <v>2019</v>
      </c>
      <c r="H33" t="inlineStr">
        <is>
          <t>Quebec</t>
        </is>
      </c>
      <c r="I33" t="inlineStr">
        <is>
          <t>Canola</t>
        </is>
      </c>
      <c r="J33" t="n">
        <v>29900</v>
      </c>
      <c r="K33" t="n">
        <v>39.5</v>
      </c>
    </row>
    <row r="34">
      <c r="A34" t="n">
        <v>2024</v>
      </c>
      <c r="B34" t="inlineStr">
        <is>
          <t>New Brunswick</t>
        </is>
      </c>
      <c r="C34" t="inlineStr">
        <is>
          <t>Durum wheat</t>
        </is>
      </c>
      <c r="D34" t="n">
        <v>1900</v>
      </c>
      <c r="G34" t="n">
        <v>2019</v>
      </c>
      <c r="H34" t="inlineStr">
        <is>
          <t>Saskatchewan</t>
        </is>
      </c>
      <c r="I34" t="inlineStr">
        <is>
          <t>Canola</t>
        </is>
      </c>
      <c r="J34" t="n">
        <v>11775000</v>
      </c>
      <c r="K34" t="n">
        <v>42.8</v>
      </c>
    </row>
    <row r="35">
      <c r="A35" t="n">
        <v>2024</v>
      </c>
      <c r="B35" t="inlineStr">
        <is>
          <t>Saskatchewan</t>
        </is>
      </c>
      <c r="C35" t="inlineStr">
        <is>
          <t>Durum wheat</t>
        </is>
      </c>
      <c r="D35" t="n">
        <v>5115800</v>
      </c>
      <c r="E35" t="n">
        <v>35.8</v>
      </c>
      <c r="G35" t="n">
        <v>2020</v>
      </c>
      <c r="H35" t="inlineStr">
        <is>
          <t>Alberta</t>
        </is>
      </c>
      <c r="I35" t="inlineStr">
        <is>
          <t>Canola</t>
        </is>
      </c>
      <c r="J35" t="n">
        <v>5876000</v>
      </c>
      <c r="K35" t="n">
        <v>40.2</v>
      </c>
    </row>
    <row r="36">
      <c r="A36" t="n">
        <v>2025</v>
      </c>
      <c r="B36" t="inlineStr">
        <is>
          <t>Alberta</t>
        </is>
      </c>
      <c r="C36" t="inlineStr">
        <is>
          <t>Durum wheat</t>
        </is>
      </c>
      <c r="D36" t="n">
        <v>1327400</v>
      </c>
      <c r="E36" t="n">
        <v>44.1</v>
      </c>
      <c r="G36" t="n">
        <v>2020</v>
      </c>
      <c r="H36" t="inlineStr">
        <is>
          <t>British Columbia</t>
        </is>
      </c>
      <c r="I36" t="inlineStr">
        <is>
          <t>Canola</t>
        </is>
      </c>
      <c r="J36" t="n">
        <v>92100</v>
      </c>
      <c r="K36" t="n">
        <v>30</v>
      </c>
    </row>
    <row r="37">
      <c r="A37" t="n">
        <v>2025</v>
      </c>
      <c r="B37" t="inlineStr">
        <is>
          <t>British Columbia</t>
        </is>
      </c>
      <c r="C37" t="inlineStr">
        <is>
          <t>Durum wheat</t>
        </is>
      </c>
      <c r="D37" t="n">
        <v>5300</v>
      </c>
      <c r="E37" t="n">
        <v>72.59999999999999</v>
      </c>
      <c r="G37" t="n">
        <v>2020</v>
      </c>
      <c r="H37" t="inlineStr">
        <is>
          <t>Manitoba</t>
        </is>
      </c>
      <c r="I37" t="inlineStr">
        <is>
          <t>Canola</t>
        </is>
      </c>
      <c r="J37" t="n">
        <v>3414100</v>
      </c>
      <c r="K37" t="n">
        <v>41.4</v>
      </c>
    </row>
    <row r="38">
      <c r="A38" t="n">
        <v>2025</v>
      </c>
      <c r="B38" t="inlineStr">
        <is>
          <t>Manitoba</t>
        </is>
      </c>
      <c r="C38" t="inlineStr">
        <is>
          <t>Durum wheat</t>
        </is>
      </c>
      <c r="D38" t="n">
        <v>56000</v>
      </c>
      <c r="E38" t="n">
        <v>66.90000000000001</v>
      </c>
      <c r="G38" t="n">
        <v>2020</v>
      </c>
      <c r="H38" t="inlineStr">
        <is>
          <t>New Brunswick</t>
        </is>
      </c>
      <c r="I38" t="inlineStr">
        <is>
          <t>Canola</t>
        </is>
      </c>
      <c r="J38" t="n">
        <v>1200</v>
      </c>
      <c r="K38" t="n">
        <v>42.1</v>
      </c>
    </row>
    <row r="39">
      <c r="A39" t="n">
        <v>2025</v>
      </c>
      <c r="B39" t="inlineStr">
        <is>
          <t>Saskatchewan</t>
        </is>
      </c>
      <c r="C39" t="inlineStr">
        <is>
          <t>Durum wheat</t>
        </is>
      </c>
      <c r="D39" t="n">
        <v>5118800</v>
      </c>
      <c r="E39" t="n">
        <v>39.6</v>
      </c>
      <c r="G39" t="n">
        <v>2020</v>
      </c>
      <c r="H39" t="inlineStr">
        <is>
          <t>Ontario</t>
        </is>
      </c>
      <c r="I39" t="inlineStr">
        <is>
          <t>Canola</t>
        </is>
      </c>
      <c r="J39" t="n">
        <v>32400</v>
      </c>
      <c r="K39" t="n">
        <v>45.9</v>
      </c>
    </row>
    <row r="40">
      <c r="G40" t="n">
        <v>2020</v>
      </c>
      <c r="H40" t="inlineStr">
        <is>
          <t>Quebec</t>
        </is>
      </c>
      <c r="I40" t="inlineStr">
        <is>
          <t>Canola</t>
        </is>
      </c>
      <c r="J40" t="n">
        <v>27600</v>
      </c>
      <c r="K40" t="n">
        <v>38.6</v>
      </c>
    </row>
    <row r="41">
      <c r="G41" t="n">
        <v>2020</v>
      </c>
      <c r="H41" t="inlineStr">
        <is>
          <t>Saskatchewan</t>
        </is>
      </c>
      <c r="I41" t="inlineStr">
        <is>
          <t>Canola</t>
        </is>
      </c>
      <c r="J41" t="n">
        <v>11339200</v>
      </c>
      <c r="K41" t="n">
        <v>42.7</v>
      </c>
    </row>
    <row r="42">
      <c r="G42" t="n">
        <v>2021</v>
      </c>
      <c r="H42" t="inlineStr">
        <is>
          <t>Alberta</t>
        </is>
      </c>
      <c r="I42" t="inlineStr">
        <is>
          <t>Canola</t>
        </is>
      </c>
      <c r="J42" t="n">
        <v>6685992</v>
      </c>
      <c r="K42" t="n">
        <v>28.9</v>
      </c>
    </row>
    <row r="43">
      <c r="G43" t="n">
        <v>2021</v>
      </c>
      <c r="H43" t="inlineStr">
        <is>
          <t>British Columbia</t>
        </is>
      </c>
      <c r="I43" t="inlineStr">
        <is>
          <t>Canola</t>
        </is>
      </c>
      <c r="J43" t="n">
        <v>103340</v>
      </c>
      <c r="K43" t="n">
        <v>28.6</v>
      </c>
    </row>
    <row r="44">
      <c r="G44" t="n">
        <v>2021</v>
      </c>
      <c r="H44" t="inlineStr">
        <is>
          <t>Manitoba</t>
        </is>
      </c>
      <c r="I44" t="inlineStr">
        <is>
          <t>Canola</t>
        </is>
      </c>
      <c r="J44" t="n">
        <v>3424226</v>
      </c>
      <c r="K44" t="n">
        <v>36.4</v>
      </c>
    </row>
    <row r="45">
      <c r="G45" t="n">
        <v>2021</v>
      </c>
      <c r="H45" t="inlineStr">
        <is>
          <t>Ontario</t>
        </is>
      </c>
      <c r="I45" t="inlineStr">
        <is>
          <t>Canola</t>
        </is>
      </c>
      <c r="J45" t="n">
        <v>43079</v>
      </c>
      <c r="K45" t="n">
        <v>43</v>
      </c>
    </row>
    <row r="46">
      <c r="G46" t="n">
        <v>2021</v>
      </c>
      <c r="H46" t="inlineStr">
        <is>
          <t>Prince Edward Island</t>
        </is>
      </c>
      <c r="I46" t="inlineStr">
        <is>
          <t>Canola</t>
        </is>
      </c>
      <c r="J46" t="n">
        <v>340</v>
      </c>
    </row>
    <row r="47">
      <c r="G47" t="n">
        <v>2021</v>
      </c>
      <c r="H47" t="inlineStr">
        <is>
          <t>Quebec</t>
        </is>
      </c>
      <c r="I47" t="inlineStr">
        <is>
          <t>Canola</t>
        </is>
      </c>
      <c r="J47" t="n">
        <v>31611</v>
      </c>
      <c r="K47" t="n">
        <v>42.8</v>
      </c>
    </row>
    <row r="48">
      <c r="G48" t="n">
        <v>2021</v>
      </c>
      <c r="H48" t="inlineStr">
        <is>
          <t>Saskatchewan</t>
        </is>
      </c>
      <c r="I48" t="inlineStr">
        <is>
          <t>Canola</t>
        </is>
      </c>
      <c r="J48" t="n">
        <v>11980413</v>
      </c>
      <c r="K48" t="n">
        <v>25.8</v>
      </c>
    </row>
    <row r="49">
      <c r="G49" t="n">
        <v>2022</v>
      </c>
      <c r="H49" t="inlineStr">
        <is>
          <t>Alberta</t>
        </is>
      </c>
      <c r="I49" t="inlineStr">
        <is>
          <t>Canola</t>
        </is>
      </c>
      <c r="J49" t="n">
        <v>6521000</v>
      </c>
      <c r="K49" t="n">
        <v>38.1</v>
      </c>
    </row>
    <row r="50">
      <c r="G50" t="n">
        <v>2022</v>
      </c>
      <c r="H50" t="inlineStr">
        <is>
          <t>British Columbia</t>
        </is>
      </c>
      <c r="I50" t="inlineStr">
        <is>
          <t>Canola</t>
        </is>
      </c>
      <c r="J50" t="n">
        <v>100600</v>
      </c>
      <c r="K50" t="n">
        <v>30.3</v>
      </c>
    </row>
    <row r="51">
      <c r="G51" t="n">
        <v>2022</v>
      </c>
      <c r="H51" t="inlineStr">
        <is>
          <t>Manitoba</t>
        </is>
      </c>
      <c r="I51" t="inlineStr">
        <is>
          <t>Canola</t>
        </is>
      </c>
      <c r="J51" t="n">
        <v>3280800</v>
      </c>
      <c r="K51" t="n">
        <v>43.3</v>
      </c>
    </row>
    <row r="52">
      <c r="G52" t="n">
        <v>2022</v>
      </c>
      <c r="H52" t="inlineStr">
        <is>
          <t>New Brunswick</t>
        </is>
      </c>
      <c r="I52" t="inlineStr">
        <is>
          <t>Canola</t>
        </is>
      </c>
      <c r="J52" t="n">
        <v>1200</v>
      </c>
      <c r="K52" t="n">
        <v>44.8</v>
      </c>
    </row>
    <row r="53">
      <c r="G53" t="n">
        <v>2022</v>
      </c>
      <c r="H53" t="inlineStr">
        <is>
          <t>Ontario</t>
        </is>
      </c>
      <c r="I53" t="inlineStr">
        <is>
          <t>Canola</t>
        </is>
      </c>
      <c r="J53" t="n">
        <v>56200</v>
      </c>
      <c r="K53" t="n">
        <v>50.9</v>
      </c>
    </row>
    <row r="54">
      <c r="G54" t="n">
        <v>2022</v>
      </c>
      <c r="H54" t="inlineStr">
        <is>
          <t>Quebec</t>
        </is>
      </c>
      <c r="I54" t="inlineStr">
        <is>
          <t>Canola</t>
        </is>
      </c>
      <c r="J54" t="n">
        <v>41100</v>
      </c>
      <c r="K54" t="n">
        <v>41.7</v>
      </c>
    </row>
    <row r="55">
      <c r="G55" t="n">
        <v>2022</v>
      </c>
      <c r="H55" t="inlineStr">
        <is>
          <t>Saskatchewan</t>
        </is>
      </c>
      <c r="I55" t="inlineStr">
        <is>
          <t>Canola</t>
        </is>
      </c>
      <c r="J55" t="n">
        <v>11393800</v>
      </c>
      <c r="K55" t="n">
        <v>38.6</v>
      </c>
    </row>
    <row r="56">
      <c r="G56" t="n">
        <v>2023</v>
      </c>
      <c r="H56" t="inlineStr">
        <is>
          <t>Alberta</t>
        </is>
      </c>
      <c r="I56" t="inlineStr">
        <is>
          <t>Canola</t>
        </is>
      </c>
      <c r="J56" t="n">
        <v>6362800</v>
      </c>
      <c r="K56" t="n">
        <v>40.1</v>
      </c>
    </row>
    <row r="57">
      <c r="G57" t="n">
        <v>2023</v>
      </c>
      <c r="H57" t="inlineStr">
        <is>
          <t>British Columbia</t>
        </is>
      </c>
      <c r="I57" t="inlineStr">
        <is>
          <t>Canola</t>
        </is>
      </c>
      <c r="J57" t="n">
        <v>108600</v>
      </c>
      <c r="K57" t="n">
        <v>35.1</v>
      </c>
    </row>
    <row r="58">
      <c r="G58" t="n">
        <v>2023</v>
      </c>
      <c r="H58" t="inlineStr">
        <is>
          <t>Manitoba</t>
        </is>
      </c>
      <c r="I58" t="inlineStr">
        <is>
          <t>Canola</t>
        </is>
      </c>
      <c r="J58" t="n">
        <v>3128200</v>
      </c>
      <c r="K58" t="n">
        <v>44.6</v>
      </c>
    </row>
    <row r="59">
      <c r="G59" t="n">
        <v>2023</v>
      </c>
      <c r="H59" t="inlineStr">
        <is>
          <t>New Brunswick</t>
        </is>
      </c>
      <c r="I59" t="inlineStr">
        <is>
          <t>Canola</t>
        </is>
      </c>
      <c r="J59" t="n">
        <v>1600</v>
      </c>
      <c r="K59" t="n">
        <v>45.6</v>
      </c>
    </row>
    <row r="60">
      <c r="G60" t="n">
        <v>2023</v>
      </c>
      <c r="H60" t="inlineStr">
        <is>
          <t>Ontario</t>
        </is>
      </c>
      <c r="I60" t="inlineStr">
        <is>
          <t>Canola</t>
        </is>
      </c>
      <c r="J60" t="n">
        <v>45100</v>
      </c>
      <c r="K60" t="n">
        <v>53.4</v>
      </c>
    </row>
    <row r="61">
      <c r="G61" t="n">
        <v>2023</v>
      </c>
      <c r="H61" t="inlineStr">
        <is>
          <t>Quebec</t>
        </is>
      </c>
      <c r="I61" t="inlineStr">
        <is>
          <t>Canola</t>
        </is>
      </c>
      <c r="J61" t="n">
        <v>38600</v>
      </c>
      <c r="K61" t="n">
        <v>40.9</v>
      </c>
    </row>
    <row r="62">
      <c r="G62" t="n">
        <v>2023</v>
      </c>
      <c r="H62" t="inlineStr">
        <is>
          <t>Saskatchewan</t>
        </is>
      </c>
      <c r="I62" t="inlineStr">
        <is>
          <t>Canola</t>
        </is>
      </c>
      <c r="J62" t="n">
        <v>12400400</v>
      </c>
      <c r="K62" t="n">
        <v>37.4</v>
      </c>
    </row>
    <row r="63">
      <c r="G63" t="n">
        <v>2024</v>
      </c>
      <c r="H63" t="inlineStr">
        <is>
          <t>Alberta</t>
        </is>
      </c>
      <c r="I63" t="inlineStr">
        <is>
          <t>Canola</t>
        </is>
      </c>
      <c r="J63" t="n">
        <v>6385300</v>
      </c>
      <c r="K63" t="n">
        <v>39.1</v>
      </c>
    </row>
    <row r="64">
      <c r="G64" t="n">
        <v>2024</v>
      </c>
      <c r="H64" t="inlineStr">
        <is>
          <t>British Columbia</t>
        </is>
      </c>
      <c r="I64" t="inlineStr">
        <is>
          <t>Canola</t>
        </is>
      </c>
      <c r="J64" t="n">
        <v>106900</v>
      </c>
      <c r="K64" t="n">
        <v>29.2</v>
      </c>
    </row>
    <row r="65">
      <c r="G65" t="n">
        <v>2024</v>
      </c>
      <c r="H65" t="inlineStr">
        <is>
          <t>Manitoba</t>
        </is>
      </c>
      <c r="I65" t="inlineStr">
        <is>
          <t>Canola</t>
        </is>
      </c>
      <c r="J65" t="n">
        <v>3336200</v>
      </c>
      <c r="K65" t="n">
        <v>40.2</v>
      </c>
    </row>
    <row r="66">
      <c r="G66" t="n">
        <v>2024</v>
      </c>
      <c r="H66" t="inlineStr">
        <is>
          <t>New Brunswick</t>
        </is>
      </c>
      <c r="I66" t="inlineStr">
        <is>
          <t>Canola</t>
        </is>
      </c>
      <c r="J66" t="n">
        <v>2300</v>
      </c>
      <c r="K66" t="n">
        <v>54.2</v>
      </c>
    </row>
    <row r="67">
      <c r="G67" t="n">
        <v>2024</v>
      </c>
      <c r="H67" t="inlineStr">
        <is>
          <t>Ontario</t>
        </is>
      </c>
      <c r="I67" t="inlineStr">
        <is>
          <t>Canola</t>
        </is>
      </c>
      <c r="J67" t="n">
        <v>56400</v>
      </c>
      <c r="K67" t="n">
        <v>49.3</v>
      </c>
    </row>
    <row r="68">
      <c r="G68" t="n">
        <v>2024</v>
      </c>
      <c r="H68" t="inlineStr">
        <is>
          <t>Quebec</t>
        </is>
      </c>
      <c r="I68" t="inlineStr">
        <is>
          <t>Canola</t>
        </is>
      </c>
      <c r="J68" t="n">
        <v>38200</v>
      </c>
      <c r="K68" t="n">
        <v>41.8</v>
      </c>
    </row>
    <row r="69">
      <c r="G69" t="n">
        <v>2024</v>
      </c>
      <c r="H69" t="inlineStr">
        <is>
          <t>Saskatchewan</t>
        </is>
      </c>
      <c r="I69" t="inlineStr">
        <is>
          <t>Canola</t>
        </is>
      </c>
      <c r="J69" t="n">
        <v>12085600</v>
      </c>
      <c r="K69" t="n">
        <v>38.3</v>
      </c>
    </row>
    <row r="70">
      <c r="G70" t="n">
        <v>2025</v>
      </c>
      <c r="H70" t="inlineStr">
        <is>
          <t>Alberta</t>
        </is>
      </c>
      <c r="I70" t="inlineStr">
        <is>
          <t>Canola</t>
        </is>
      </c>
      <c r="J70" t="n">
        <v>6208400</v>
      </c>
      <c r="K70" t="n">
        <v>45.4</v>
      </c>
    </row>
    <row r="71">
      <c r="G71" t="n">
        <v>2025</v>
      </c>
      <c r="H71" t="inlineStr">
        <is>
          <t>British Columbia</t>
        </is>
      </c>
      <c r="I71" t="inlineStr">
        <is>
          <t>Canola</t>
        </is>
      </c>
      <c r="J71" t="n">
        <v>111800</v>
      </c>
      <c r="K71" t="n">
        <v>42.3</v>
      </c>
    </row>
    <row r="72">
      <c r="G72" t="n">
        <v>2025</v>
      </c>
      <c r="H72" t="inlineStr">
        <is>
          <t>Manitoba</t>
        </is>
      </c>
      <c r="I72" t="inlineStr">
        <is>
          <t>Canola</t>
        </is>
      </c>
      <c r="J72" t="n">
        <v>3028300</v>
      </c>
      <c r="K72" t="n">
        <v>44.8</v>
      </c>
    </row>
    <row r="73">
      <c r="G73" t="n">
        <v>2025</v>
      </c>
      <c r="H73" t="inlineStr">
        <is>
          <t>New Brunswick</t>
        </is>
      </c>
      <c r="I73" t="inlineStr">
        <is>
          <t>Canola</t>
        </is>
      </c>
      <c r="J73" t="n">
        <v>1200</v>
      </c>
      <c r="K73" t="n">
        <v>49.5</v>
      </c>
    </row>
    <row r="74">
      <c r="G74" t="n">
        <v>2025</v>
      </c>
      <c r="H74" t="inlineStr">
        <is>
          <t>Ontario</t>
        </is>
      </c>
      <c r="I74" t="inlineStr">
        <is>
          <t>Canola</t>
        </is>
      </c>
      <c r="J74" t="n">
        <v>56500</v>
      </c>
      <c r="K74" t="n">
        <v>49.8</v>
      </c>
    </row>
    <row r="75">
      <c r="G75" t="n">
        <v>2025</v>
      </c>
      <c r="H75" t="inlineStr">
        <is>
          <t>Quebec</t>
        </is>
      </c>
      <c r="I75" t="inlineStr">
        <is>
          <t>Canola</t>
        </is>
      </c>
      <c r="J75" t="n">
        <v>27900</v>
      </c>
      <c r="K75" t="n">
        <v>40.1</v>
      </c>
    </row>
    <row r="76">
      <c r="G76" t="n">
        <v>2025</v>
      </c>
      <c r="H76" t="inlineStr">
        <is>
          <t>Saskatchewan</t>
        </is>
      </c>
      <c r="I76" t="inlineStr">
        <is>
          <t>Canola</t>
        </is>
      </c>
      <c r="J76" t="n">
        <v>12187400</v>
      </c>
      <c r="K76" t="n">
        <v>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2026-08-30T19:32:56Z</dcterms:created>
  <dcterms:modified xmlns:dcterms="http://purl.org/dc/terms/" xmlns:xsi="http://www.w3.org/2001/XMLSchema-instance" xsi:type="dcterms:W3CDTF">2026-08-30T19:32:56Z</dcterms:modified>
</cp:coreProperties>
</file>