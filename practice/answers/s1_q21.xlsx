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2" fontId="0" fillId="4" borderId="0" pivotButton="0" quotePrefix="0" xfId="0"/>
    <xf numFmtId="2" fontId="0" fillId="0" borderId="0" pivotButton="0" quotePrefix="0" xfId="0"/>
    <xf numFmtId="164" fontId="0" fillId="0" borderId="0" pivotButton="0" quotePrefix="0" xfId="0"/>
    <xf numFmtId="2" fontId="0" fillId="2" borderId="0" pivotButton="0" quotePrefix="0" xfId="0"/>
    <xf numFmtId="165" fontId="0" fillId="3" borderId="0" pivotButton="0" quotePrefix="0" xfId="0"/>
    <xf numFmtId="3" fontId="0" fillId="4" borderId="0" pivotButton="0" quotePrefix="0" xfId="0"/>
    <xf numFmtId="0" fontId="0" fillId="5" borderId="0" pivotButton="0" quotePrefix="0" xfId="0"/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13" customWidth="1" min="5" max="5"/>
    <col width="12" customWidth="1" min="6" max="6"/>
    <col width="14" customWidth="1" min="7" max="7"/>
    <col width="8" customWidth="1" min="8" max="8"/>
  </cols>
  <sheetData>
    <row r="1">
      <c r="A1" s="1" t="inlineStr">
        <is>
          <t>Bin</t>
        </is>
      </c>
      <c r="B1" s="1" t="inlineStr">
        <is>
          <t>Side (m)</t>
        </is>
      </c>
      <c r="C1" s="1" t="inlineStr">
        <is>
          <t>Depth (m)</t>
        </is>
      </c>
      <c r="D1" s="2" t="inlineStr">
        <is>
          <t>Floor area (m²)</t>
        </is>
      </c>
      <c r="E1" s="3" t="inlineStr">
        <is>
          <t>Volume (m³)</t>
        </is>
      </c>
      <c r="F1" s="4" t="inlineStr">
        <is>
          <t>Capacity (t)</t>
        </is>
      </c>
      <c r="G1" s="4" t="inlineStr">
        <is>
          <t>Tonnes per m³</t>
        </is>
      </c>
      <c r="H1" s="5" t="n">
        <v>0.75</v>
      </c>
    </row>
    <row r="2">
      <c r="A2" t="inlineStr">
        <is>
          <t>Bin 1</t>
        </is>
      </c>
      <c r="B2" s="6" t="n">
        <v>7.5</v>
      </c>
      <c r="C2" s="7" t="n">
        <v>4.2</v>
      </c>
      <c r="D2" s="8">
        <f>B2^2</f>
        <v/>
      </c>
      <c r="E2" s="9">
        <f>D2*C2</f>
        <v/>
      </c>
      <c r="F2" s="10">
        <f>ROUND(E2*$H$1,0)</f>
        <v/>
      </c>
    </row>
    <row r="3">
      <c r="A3" t="inlineStr">
        <is>
          <t>Bin 2</t>
        </is>
      </c>
      <c r="B3" s="6" t="n">
        <v>9</v>
      </c>
      <c r="C3" s="7" t="n">
        <v>3.8</v>
      </c>
      <c r="D3" s="8">
        <f>B3^2</f>
        <v/>
      </c>
      <c r="E3" s="9">
        <f>D3*C3</f>
        <v/>
      </c>
      <c r="F3" s="10">
        <f>ROUND(E3*$H$1,0)</f>
        <v/>
      </c>
    </row>
    <row r="4">
      <c r="A4" t="inlineStr">
        <is>
          <t>Bin 3</t>
        </is>
      </c>
      <c r="B4" s="6" t="n">
        <v>11.25</v>
      </c>
      <c r="C4" s="7" t="n">
        <v>5</v>
      </c>
      <c r="D4" s="8">
        <f>B4^2</f>
        <v/>
      </c>
      <c r="E4" s="9">
        <f>D4*C4</f>
        <v/>
      </c>
      <c r="F4" s="10">
        <f>ROUND(E4*$H$1,0)</f>
        <v/>
      </c>
    </row>
    <row r="5">
      <c r="A5" t="inlineStr">
        <is>
          <t>Bin 4</t>
        </is>
      </c>
      <c r="B5" s="6" t="n">
        <v>6.4</v>
      </c>
      <c r="C5" s="7" t="n">
        <v>4.5</v>
      </c>
      <c r="D5" s="8">
        <f>B5^2</f>
        <v/>
      </c>
      <c r="E5" s="9">
        <f>D5*C5</f>
        <v/>
      </c>
      <c r="F5" s="10">
        <f>ROUND(E5*$H$1,0)</f>
        <v/>
      </c>
    </row>
    <row r="6">
      <c r="A6" s="3" t="inlineStr">
        <is>
          <t>Total</t>
        </is>
      </c>
      <c r="E6" s="9">
        <f>SUM(E2:E5)</f>
        <v/>
      </c>
    </row>
    <row r="8">
      <c r="A8" s="11">
        <f>4*3^2 gives</f>
        <v/>
      </c>
      <c r="B8" s="11">
        <f>4*3^2</f>
        <v/>
      </c>
    </row>
    <row r="9">
      <c r="A9" s="11">
        <f>(4*3)^2 gives</f>
        <v/>
      </c>
      <c r="B9" s="11">
        <f>(4*3)^2</f>
        <v/>
      </c>
    </row>
    <row r="11">
      <c r="A11" s="12" t="inlineStr">
        <is>
          <t>The two cells return 36 and 144. Exponents are evaluated before multiplication, so =4*3^2 squares the 3 and then multiplies by 4; the brackets in =(4*3)^2 force the multiplication first, and 12 squared is 144.</t>
        </is>
      </c>
      <c r="B11" s="11" t="n"/>
      <c r="C11" s="11" t="n"/>
      <c r="D11" s="11" t="n"/>
      <c r="E11" s="11" t="n"/>
      <c r="F11" s="11" t="n"/>
      <c r="G11" s="11" t="n"/>
      <c r="H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</row>
    <row r="14">
      <c r="A14" s="13" t="inlineStr">
        <is>
          <t>They doubled the side length instead of squaring it -- 11.25*2 is 22.5 m, a distance, not an area. Squaring gives 126.56 m².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7">
      <c r="A17" s="15" t="inlineStr">
        <is>
          <t>Part (a)</t>
        </is>
      </c>
    </row>
    <row r="18">
      <c r="A18" s="16" t="inlineStr">
        <is>
          <t>Part (b)</t>
        </is>
      </c>
    </row>
    <row r="19">
      <c r="A19" s="17" t="inlineStr">
        <is>
          <t>Part (c)</t>
        </is>
      </c>
    </row>
    <row r="20">
      <c r="A20" s="11" t="inlineStr">
        <is>
          <t>Part (d)</t>
        </is>
      </c>
    </row>
    <row r="21">
      <c r="A21" s="14" t="inlineStr">
        <is>
          <t>Part (e)</t>
        </is>
      </c>
    </row>
  </sheetData>
  <mergeCells count="2">
    <mergeCell ref="A14:H15"/>
    <mergeCell ref="A11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2026-08-30T19:30:07Z</dcterms:created>
  <dcterms:modified xmlns:dcterms="http://purl.org/dc/terms/" xmlns:xsi="http://www.w3.org/2001/XMLSchema-instance" xsi:type="dcterms:W3CDTF">2026-08-30T19:30:07Z</dcterms:modified>
</cp:coreProperties>
</file>