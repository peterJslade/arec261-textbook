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2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2" borderId="0" applyAlignment="1" pivotButton="0" quotePrefix="0" xfId="0">
      <alignment horizontal="center"/>
    </xf>
    <xf numFmtId="3" fontId="4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3" fontId="3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</cols>
  <sheetData>
    <row r="1" ht="18" customHeight="1">
      <c r="A1" s="1" t="inlineStr">
        <is>
          <t>Squaring with ^, and what PEMDAS does with it</t>
        </is>
      </c>
    </row>
    <row r="2" ht="32" customHeight="1">
      <c r="A2" s="2" t="inlineStr">
        <is>
          <t>A square bin's floor is the side length squared. The exponent runs before any multiplication unless brackets say otherwise.</t>
        </is>
      </c>
    </row>
    <row r="3" ht="18" customHeight="1"/>
    <row r="4" ht="18" customHeight="1">
      <c r="A4" s="3" t="inlineStr">
        <is>
          <t>Grain density (t/m3)</t>
        </is>
      </c>
      <c r="B4" s="4" t="n">
        <v>0.75</v>
      </c>
    </row>
    <row r="5" ht="18" customHeight="1"/>
    <row r="6" ht="18" customHeight="1">
      <c r="A6" s="5" t="inlineStr">
        <is>
          <t>Bin</t>
        </is>
      </c>
      <c r="B6" s="6" t="inlineStr">
        <is>
          <t>Side (m)</t>
        </is>
      </c>
      <c r="C6" s="6" t="inlineStr">
        <is>
          <t>Depth (m)</t>
        </is>
      </c>
      <c r="D6" s="6" t="inlineStr">
        <is>
          <t>Floor area (m2)</t>
        </is>
      </c>
      <c r="E6" s="6" t="inlineStr">
        <is>
          <t>Volume (m3)</t>
        </is>
      </c>
      <c r="F6" s="6" t="inlineStr">
        <is>
          <t>Capacity (t)</t>
        </is>
      </c>
    </row>
    <row r="7" ht="18" customHeight="1">
      <c r="A7" s="7" t="inlineStr">
        <is>
          <t>Bin 1</t>
        </is>
      </c>
      <c r="B7" s="8" t="n">
        <v>7.5</v>
      </c>
      <c r="C7" s="9" t="n">
        <v>4.2</v>
      </c>
      <c r="D7" s="4">
        <f>B7^2</f>
        <v/>
      </c>
      <c r="E7" s="10">
        <f>D7*C7</f>
        <v/>
      </c>
      <c r="F7" s="11">
        <f>ROUND(E7*$B$4,0)</f>
        <v/>
      </c>
    </row>
    <row r="8" ht="18" customHeight="1">
      <c r="A8" s="7" t="inlineStr">
        <is>
          <t>Bin 2</t>
        </is>
      </c>
      <c r="B8" s="8" t="n">
        <v>9</v>
      </c>
      <c r="C8" s="9" t="n">
        <v>3.8</v>
      </c>
      <c r="D8" s="4">
        <f>B8^2</f>
        <v/>
      </c>
      <c r="E8" s="10">
        <f>D8*C8</f>
        <v/>
      </c>
      <c r="F8" s="11">
        <f>ROUND(E8*$B$4,0)</f>
        <v/>
      </c>
    </row>
    <row r="9" ht="18" customHeight="1">
      <c r="A9" s="7" t="inlineStr">
        <is>
          <t>Bin 3</t>
        </is>
      </c>
      <c r="B9" s="8" t="n">
        <v>11.25</v>
      </c>
      <c r="C9" s="9" t="n">
        <v>5</v>
      </c>
      <c r="D9" s="4">
        <f>B9^2</f>
        <v/>
      </c>
      <c r="E9" s="10">
        <f>D9*C9</f>
        <v/>
      </c>
      <c r="F9" s="11">
        <f>ROUND(E9*$B$4,0)</f>
        <v/>
      </c>
    </row>
    <row r="10" ht="18" customHeight="1">
      <c r="A10" s="7" t="inlineStr">
        <is>
          <t>Bin 4</t>
        </is>
      </c>
      <c r="B10" s="8" t="n">
        <v>6.4</v>
      </c>
      <c r="C10" s="9" t="n">
        <v>4.5</v>
      </c>
      <c r="D10" s="4">
        <f>B10^2</f>
        <v/>
      </c>
      <c r="E10" s="10">
        <f>D10*C10</f>
        <v/>
      </c>
      <c r="F10" s="11">
        <f>ROUND(E10*$B$4,0)</f>
        <v/>
      </c>
    </row>
    <row r="11" ht="18" customHeight="1">
      <c r="A11" s="3" t="inlineStr">
        <is>
          <t>Total</t>
        </is>
      </c>
      <c r="E11" s="12">
        <f>SUM(E7:E10)</f>
        <v/>
      </c>
      <c r="F11" s="13">
        <f>SUM(F7:F10)</f>
        <v/>
      </c>
    </row>
    <row r="12" ht="18" customHeight="1"/>
    <row r="13" ht="18" customHeight="1">
      <c r="A13" s="3" t="inlineStr">
        <is>
          <t>The formula in D7</t>
        </is>
      </c>
      <c r="D13" s="14">
        <f>_xlfn.FORMULATEXT(D7)</f>
        <v/>
      </c>
    </row>
    <row r="14" ht="18" customHeight="1"/>
    <row r="15" ht="18" customHeight="1">
      <c r="A15" s="3">
        <f>4*3^2</f>
        <v/>
      </c>
      <c r="C15" s="11">
        <f>4*3^2</f>
        <v/>
      </c>
      <c r="E15" s="14">
        <f>_xlfn.FORMULATEXT(C15)</f>
        <v/>
      </c>
    </row>
    <row r="16" ht="18" customHeight="1">
      <c r="A16" s="3">
        <f>(4*3)^2</f>
        <v/>
      </c>
      <c r="C16" s="11">
        <f>(4*3)^2</f>
        <v/>
      </c>
      <c r="E16" s="14">
        <f>_xlfn.FORMULATEXT(C16)</f>
        <v/>
      </c>
    </row>
    <row r="17" ht="18" customHeight="1"/>
    <row r="18" ht="30" customHeight="1">
      <c r="A18" s="15" t="inlineStr">
        <is>
          <t>36 and 144. Exponents run before multiplication, so the first squares the 3 and then multiplies by 4. Doubling a side instead of squaring it gives a distance, not an area -- 22.5 m against 126.56 m2 for Bin 3.</t>
        </is>
      </c>
    </row>
    <row r="19" ht="18" customHeight="1"/>
  </sheetData>
  <mergeCells count="2">
    <mergeCell ref="A2:F2"/>
    <mergeCell ref="A18:F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