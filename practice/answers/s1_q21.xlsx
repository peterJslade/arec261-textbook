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2" borderId="0" pivotButton="0" quotePrefix="0" xfId="0"/>
    <xf numFmtId="164" fontId="0" fillId="3" borderId="0" pivotButton="0" quotePrefix="0" xfId="0"/>
    <xf numFmtId="165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17" customWidth="1" min="5" max="5"/>
    <col width="15" customWidth="1" min="6" max="6"/>
    <col width="10" customWidth="1" min="7" max="7"/>
  </cols>
  <sheetData>
    <row r="1">
      <c r="A1" s="1" t="inlineStr">
        <is>
          <t>Crop</t>
        </is>
      </c>
      <c r="B1" s="1" t="inlineStr">
        <is>
          <t>Yield (bu/ac)</t>
        </is>
      </c>
      <c r="C1" s="1" t="inlineStr">
        <is>
          <t>Price ($/bu)</t>
        </is>
      </c>
      <c r="D1" s="1" t="inlineStr">
        <is>
          <t>Cost ($/ac)</t>
        </is>
      </c>
      <c r="E1" s="1" t="inlineStr">
        <is>
          <t>Revenue ($/ac) (a)</t>
        </is>
      </c>
      <c r="F1" s="1" t="inlineStr">
        <is>
          <t>Profit ($/ac) (b)</t>
        </is>
      </c>
      <c r="G1" s="1" t="inlineStr">
        <is>
          <t>Margin (c)</t>
        </is>
      </c>
    </row>
    <row r="2">
      <c r="A2" t="inlineStr">
        <is>
          <t>Canola</t>
        </is>
      </c>
      <c r="B2" t="n">
        <v>42</v>
      </c>
      <c r="C2" s="2" t="n">
        <v>14.2</v>
      </c>
      <c r="D2" t="n">
        <v>415</v>
      </c>
      <c r="E2" s="3">
        <f>B2*C2</f>
        <v/>
      </c>
      <c r="F2" s="4">
        <f>E2-D2</f>
        <v/>
      </c>
      <c r="G2" s="5">
        <f>F2/E2</f>
        <v/>
      </c>
    </row>
    <row r="3">
      <c r="A3" t="inlineStr">
        <is>
          <t>Wheat</t>
        </is>
      </c>
      <c r="B3" t="n">
        <v>55</v>
      </c>
      <c r="C3" s="2" t="n">
        <v>8.35</v>
      </c>
      <c r="D3" t="n">
        <v>320</v>
      </c>
      <c r="E3" s="3">
        <f>B3*C3</f>
        <v/>
      </c>
      <c r="F3" s="4">
        <f>E3-D3</f>
        <v/>
      </c>
      <c r="G3" s="5">
        <f>F3/E3</f>
        <v/>
      </c>
    </row>
    <row r="4">
      <c r="A4" t="inlineStr">
        <is>
          <t>Barley</t>
        </is>
      </c>
      <c r="B4" t="n">
        <v>68</v>
      </c>
      <c r="C4" s="2" t="n">
        <v>5.6</v>
      </c>
      <c r="D4" t="n">
        <v>285</v>
      </c>
      <c r="E4" s="3">
        <f>B4*C4</f>
        <v/>
      </c>
      <c r="F4" s="4">
        <f>E4-D4</f>
        <v/>
      </c>
      <c r="G4" s="5">
        <f>F4/E4</f>
        <v/>
      </c>
    </row>
    <row r="6">
      <c r="A6" s="1" t="inlineStr">
        <is>
          <t>Legend: colours mark question parts</t>
        </is>
      </c>
    </row>
    <row r="7">
      <c r="A7" s="6" t="inlineStr">
        <is>
          <t>Part (a)</t>
        </is>
      </c>
    </row>
    <row r="8">
      <c r="A8" s="7" t="inlineStr">
        <is>
          <t>Part (b)</t>
        </is>
      </c>
    </row>
    <row r="9">
      <c r="A9" s="8" t="inlineStr">
        <is>
          <t>Part (c)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2026-09-01T23:52:49Z</dcterms:created>
  <dcterms:modified xmlns:dcterms="http://purl.org/dc/terms/" xmlns:xsi="http://www.w3.org/2001/XMLSchema-instance" xsi:type="dcterms:W3CDTF">2026-09-01T23:52:49Z</dcterms:modified>
</cp:coreProperties>
</file>