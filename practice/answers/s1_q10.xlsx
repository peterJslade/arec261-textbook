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DD-MMM-YYYY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24302A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F6EFD9"/>
      </patternFill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164" fontId="3" fillId="2" borderId="0" applyAlignment="1" pivotButton="0" quotePrefix="0" xfId="0">
      <alignment horizontal="center"/>
    </xf>
    <xf numFmtId="2" fontId="3" fillId="2" borderId="0" applyAlignment="1" pivotButton="0" quotePrefix="0" xfId="0">
      <alignment horizontal="center"/>
    </xf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166" fontId="5" fillId="0" borderId="0" applyAlignment="1" pivotButton="0" quotePrefix="0" xfId="0">
      <alignment horizontal="center"/>
    </xf>
    <xf numFmtId="167" fontId="5" fillId="0" borderId="0" applyAlignment="1" pivotButton="0" quotePrefix="0" xfId="0">
      <alignment horizontal="center"/>
    </xf>
    <xf numFmtId="3" fontId="5" fillId="0" borderId="0" applyAlignment="1" pivotButton="0" quotePrefix="0" xfId="0">
      <alignment horizontal="center"/>
    </xf>
    <xf numFmtId="164" fontId="5" fillId="0" borderId="0" applyAlignment="1" pivotButton="0" quotePrefix="0" xfId="0">
      <alignment horizontal="center"/>
    </xf>
    <xf numFmtId="0" fontId="6" fillId="0" borderId="0" pivotButton="0" quotePrefix="0" xfId="0"/>
    <xf numFmtId="167" fontId="3" fillId="2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2" customWidth="1" min="3" max="3"/>
    <col width="14" customWidth="1" min="4" max="4"/>
    <col width="24" customWidth="1" min="5" max="5"/>
  </cols>
  <sheetData>
    <row r="1" ht="18" customHeight="1">
      <c r="A1" s="1" t="inlineStr">
        <is>
          <t>Q10 — A delivery log, costed</t>
        </is>
      </c>
    </row>
    <row r="2" ht="32" customHeight="1">
      <c r="A2" s="2" t="inlineStr">
        <is>
          <t>The log was typed in from the question. Dates are real dates, the price table is anchored, tonnes convert to bushels with a locked factor, and the total uses SUM.</t>
        </is>
      </c>
    </row>
    <row r="3" ht="18" customHeight="1"/>
    <row r="4" ht="18" customHeight="1">
      <c r="A4" s="3" t="inlineStr">
        <is>
          <t>Canola price ($/bu)</t>
        </is>
      </c>
      <c r="B4" s="4" t="n">
        <v>14.2</v>
      </c>
    </row>
    <row r="5" ht="18" customHeight="1">
      <c r="A5" s="3" t="inlineStr">
        <is>
          <t>Bushels per tonne</t>
        </is>
      </c>
      <c r="B5" s="5" t="n">
        <v>44.09</v>
      </c>
    </row>
    <row r="6" ht="18" customHeight="1"/>
    <row r="7" ht="18" customHeight="1">
      <c r="A7" s="6" t="inlineStr">
        <is>
          <t>Date</t>
        </is>
      </c>
      <c r="B7" s="7" t="inlineStr">
        <is>
          <t>Tonnes</t>
        </is>
      </c>
      <c r="C7" s="7" t="inlineStr">
        <is>
          <t>Bushels</t>
        </is>
      </c>
      <c r="D7" s="7" t="inlineStr">
        <is>
          <t>Value ($)</t>
        </is>
      </c>
      <c r="E7" s="7" t="inlineStr">
        <is>
          <t>The formula in D</t>
        </is>
      </c>
    </row>
    <row r="8" ht="18" customHeight="1">
      <c r="A8" s="8" t="n">
        <v>46279</v>
      </c>
      <c r="B8" s="9" t="n">
        <v>42.5</v>
      </c>
      <c r="C8" s="10">
        <f>B8*$B$5</f>
        <v/>
      </c>
      <c r="D8" s="11">
        <f>C8*$B$4</f>
        <v/>
      </c>
      <c r="E8" s="12">
        <f>_xlfn.FORMULATEXT(D8)</f>
        <v/>
      </c>
    </row>
    <row r="9" ht="18" customHeight="1">
      <c r="A9" s="8" t="n">
        <v>46283</v>
      </c>
      <c r="B9" s="9" t="n">
        <v>38</v>
      </c>
      <c r="C9" s="10">
        <f>B9*$B$5</f>
        <v/>
      </c>
      <c r="D9" s="11">
        <f>C9*$B$4</f>
        <v/>
      </c>
      <c r="E9" s="12">
        <f>_xlfn.FORMULATEXT(D9)</f>
        <v/>
      </c>
    </row>
    <row r="10" ht="18" customHeight="1">
      <c r="A10" s="8" t="n">
        <v>46288</v>
      </c>
      <c r="B10" s="9" t="n">
        <v>51.2</v>
      </c>
      <c r="C10" s="10">
        <f>B10*$B$5</f>
        <v/>
      </c>
      <c r="D10" s="11">
        <f>C10*$B$4</f>
        <v/>
      </c>
      <c r="E10" s="12">
        <f>_xlfn.FORMULATEXT(D10)</f>
        <v/>
      </c>
    </row>
    <row r="11" ht="18" customHeight="1">
      <c r="A11" s="8" t="n">
        <v>46297</v>
      </c>
      <c r="B11" s="9" t="n">
        <v>45.8</v>
      </c>
      <c r="C11" s="10">
        <f>B11*$B$5</f>
        <v/>
      </c>
      <c r="D11" s="11">
        <f>C11*$B$4</f>
        <v/>
      </c>
      <c r="E11" s="12">
        <f>_xlfn.FORMULATEXT(D11)</f>
        <v/>
      </c>
    </row>
    <row r="12" ht="18" customHeight="1">
      <c r="A12" s="8" t="n">
        <v>46304</v>
      </c>
      <c r="B12" s="9" t="n">
        <v>39.3</v>
      </c>
      <c r="C12" s="10">
        <f>B12*$B$5</f>
        <v/>
      </c>
      <c r="D12" s="11">
        <f>C12*$B$4</f>
        <v/>
      </c>
      <c r="E12" s="12">
        <f>_xlfn.FORMULATEXT(D12)</f>
        <v/>
      </c>
    </row>
    <row r="13" ht="18" customHeight="1">
      <c r="A13" s="3" t="inlineStr">
        <is>
          <t>Total</t>
        </is>
      </c>
      <c r="B13" s="13">
        <f>SUM(B8:B12)</f>
        <v/>
      </c>
      <c r="D13" s="4">
        <f>SUM(D8:D12)</f>
        <v/>
      </c>
    </row>
    <row r="14" ht="18" customHeight="1"/>
    <row r="15" ht="30" customHeight="1">
      <c r="A15" s="14" t="inlineStr">
        <is>
          <t>216.8 tonnes, $135,734 in total. Both conversion cells are anchored: fill either column down without the $ signs and the references walk off the table into blank cells.</t>
        </is>
      </c>
    </row>
    <row r="16" ht="18" customHeight="1"/>
  </sheetData>
  <mergeCells count="2">
    <mergeCell ref="A2:F2"/>
    <mergeCell ref="A15:E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2026-08-19T23:50:40Z</dcterms:created>
  <dcterms:modified xsi:type="dcterms:W3CDTF">2026-08-19T23:50:40Z</dcterms:modified>
</cp:coreProperties>
</file>