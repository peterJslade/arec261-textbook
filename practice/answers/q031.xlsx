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" fontId="0" fillId="2" borderId="0" pivotButton="0" quotePrefix="0" xfId="0"/>
    <xf numFmtId="1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AAC BRANDON</t>
        </is>
      </c>
      <c r="C1" s="1" t="inlineStr">
        <is>
          <t>SY MANNESS</t>
        </is>
      </c>
    </row>
    <row r="2">
      <c r="A2" s="1" t="inlineStr">
        <is>
          <t>Above 60 in 2023 (a/c)</t>
        </is>
      </c>
      <c r="B2" s="2">
        <f>COUNTIFS(Data!$C$2:$C$2399,"AAC BRANDON (BW 932)",Data!$A$2:$A$2399,2023,Data!$F$2:$F$2399,"&gt;60")</f>
        <v/>
      </c>
      <c r="C2" s="2">
        <f>COUNTIFS(Data!$C$2:$C$2399,"SY MANNESS",Data!$A$2:$A$2399,2023,Data!$F$2:$F$2399,"&gt;60")</f>
        <v/>
      </c>
    </row>
    <row r="3">
      <c r="A3" s="1" t="inlineStr">
        <is>
          <t>All 2023 rows (b/c)</t>
        </is>
      </c>
      <c r="B3" s="3">
        <f>COUNTIFS(Data!$C$2:$C$2399,"AAC BRANDON (BW 932)",Data!$A$2:$A$2399,2023)</f>
        <v/>
      </c>
      <c r="C3" s="3">
        <f>COUNTIFS(Data!$C$2:$C$2399,"SY MANNESS",Data!$A$2:$A$2399,2023)</f>
        <v/>
      </c>
    </row>
    <row r="4">
      <c r="A4" s="1" t="inlineStr">
        <is>
          <t>Fraction above 60 (b/c)</t>
        </is>
      </c>
      <c r="B4" s="4">
        <f>B2/B3</f>
        <v/>
      </c>
      <c r="C4" s="4">
        <f>C2/C3</f>
        <v/>
      </c>
    </row>
    <row r="6" ht="64" customHeight="1">
      <c r="A6" s="5" t="inlineStr">
        <is>
          <t>(d) SY Manness cleared 60 bu/ac more often (73% of its 2023 results against Brandon's 55%). The fractions say how dependably each variety reaches a target the averages only hint at -- but the totals matter too: Manness's 73% rests on just 11 results against Brandon's 84, so it is the less firmly established figure.</t>
        </is>
      </c>
    </row>
    <row r="8">
      <c r="A8" s="1" t="inlineStr">
        <is>
          <t>Legend: colours mark question parts</t>
        </is>
      </c>
    </row>
    <row r="9">
      <c r="A9" s="6" t="inlineStr">
        <is>
          <t>Part (a)</t>
        </is>
      </c>
    </row>
    <row r="10">
      <c r="A10" s="7" t="inlineStr">
        <is>
          <t>Part (b)</t>
        </is>
      </c>
    </row>
    <row r="11">
      <c r="A11" s="8" t="inlineStr">
        <is>
          <t>Part (c)</t>
        </is>
      </c>
    </row>
    <row r="12">
      <c r="A12" s="9" t="inlineStr">
        <is>
          <t>Part (d)</t>
        </is>
      </c>
    </row>
  </sheetData>
  <mergeCells count="1"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2026-09-01T23:59:55Z</dcterms:created>
  <dcterms:modified xmlns:dcterms="http://purl.org/dc/terms/" xmlns:xsi="http://www.w3.org/2001/XMLSchema-instance" xsi:type="dcterms:W3CDTF">2026-09-01T23:59:55Z</dcterms:modified>
</cp:coreProperties>
</file>