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1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1" t="inlineStr">
        <is>
          <t>Oats 2023 (bu/ac)</t>
        </is>
      </c>
    </row>
    <row r="2">
      <c r="A2" t="n">
        <v>55.1</v>
      </c>
    </row>
    <row r="3">
      <c r="A3" t="n">
        <v>81.8</v>
      </c>
    </row>
    <row r="4">
      <c r="A4" t="n">
        <v>76.90000000000001</v>
      </c>
    </row>
    <row r="5">
      <c r="A5" t="n">
        <v>80</v>
      </c>
    </row>
    <row r="6">
      <c r="A6" t="n">
        <v>19.6</v>
      </c>
    </row>
    <row r="7">
      <c r="A7" t="n">
        <v>16</v>
      </c>
    </row>
    <row r="8">
      <c r="A8" t="n">
        <v>72.59999999999999</v>
      </c>
    </row>
    <row r="9">
      <c r="A9" t="n">
        <v>63.5</v>
      </c>
    </row>
    <row r="10">
      <c r="A10" t="n">
        <v>77.5</v>
      </c>
    </row>
    <row r="11">
      <c r="A11" t="n">
        <v>93.3</v>
      </c>
    </row>
    <row r="12">
      <c r="A12" t="n">
        <v>14.7</v>
      </c>
    </row>
    <row r="13">
      <c r="A13" t="n">
        <v>30</v>
      </c>
    </row>
    <row r="14">
      <c r="A14" t="n">
        <v>15.7</v>
      </c>
    </row>
    <row r="15">
      <c r="A15" t="n">
        <v>14.8</v>
      </c>
    </row>
    <row r="16">
      <c r="A16" t="n">
        <v>1</v>
      </c>
    </row>
    <row r="17">
      <c r="A17" t="n">
        <v>28.3</v>
      </c>
    </row>
    <row r="18">
      <c r="A18" t="n">
        <v>101.2</v>
      </c>
    </row>
    <row r="19">
      <c r="A19" t="n">
        <v>63.2</v>
      </c>
    </row>
    <row r="20">
      <c r="A20" t="n">
        <v>70.5</v>
      </c>
    </row>
    <row r="21">
      <c r="A21" t="n">
        <v>28.3</v>
      </c>
    </row>
    <row r="22">
      <c r="A22" t="n">
        <v>49.5</v>
      </c>
    </row>
    <row r="23">
      <c r="A23" t="n">
        <v>9.4</v>
      </c>
    </row>
    <row r="24">
      <c r="A24" t="n">
        <v>6</v>
      </c>
    </row>
    <row r="25">
      <c r="A25" t="n">
        <v>11</v>
      </c>
    </row>
    <row r="26">
      <c r="A26" t="n">
        <v>20.1</v>
      </c>
    </row>
    <row r="27">
      <c r="A27" t="n">
        <v>25</v>
      </c>
    </row>
    <row r="28">
      <c r="A28" t="n">
        <v>61.1</v>
      </c>
    </row>
    <row r="29">
      <c r="A29" t="n">
        <v>78.59999999999999</v>
      </c>
    </row>
    <row r="30">
      <c r="A30" t="n">
        <v>62.9</v>
      </c>
    </row>
    <row r="31">
      <c r="A31" t="n">
        <v>51.6</v>
      </c>
    </row>
    <row r="32">
      <c r="A32" t="n">
        <v>71.59999999999999</v>
      </c>
    </row>
    <row r="33">
      <c r="A33" t="n">
        <v>60.8</v>
      </c>
    </row>
    <row r="34">
      <c r="A34" t="n">
        <v>54.7</v>
      </c>
    </row>
    <row r="35">
      <c r="A35" t="n">
        <v>60</v>
      </c>
    </row>
    <row r="36">
      <c r="A36" t="n">
        <v>15.8</v>
      </c>
    </row>
    <row r="37">
      <c r="A37" t="n">
        <v>86.5</v>
      </c>
    </row>
    <row r="38">
      <c r="A38" t="n">
        <v>68.2</v>
      </c>
    </row>
    <row r="39">
      <c r="A39" t="n">
        <v>79.40000000000001</v>
      </c>
    </row>
    <row r="40">
      <c r="A40" t="n">
        <v>64.09999999999999</v>
      </c>
    </row>
    <row r="41">
      <c r="A41" t="n">
        <v>61.8</v>
      </c>
    </row>
    <row r="42">
      <c r="A42" t="n">
        <v>84.40000000000001</v>
      </c>
    </row>
    <row r="43">
      <c r="A43" t="n">
        <v>65.09999999999999</v>
      </c>
    </row>
    <row r="44">
      <c r="A44" t="n">
        <v>70</v>
      </c>
    </row>
    <row r="45">
      <c r="A45" t="n">
        <v>44.6</v>
      </c>
    </row>
    <row r="46">
      <c r="A46" t="n">
        <v>4.6</v>
      </c>
    </row>
    <row r="47">
      <c r="A47" t="n">
        <v>18.6</v>
      </c>
    </row>
    <row r="48">
      <c r="A48" t="n">
        <v>3.2</v>
      </c>
    </row>
    <row r="49">
      <c r="A49" t="n">
        <v>70</v>
      </c>
    </row>
    <row r="50">
      <c r="A50" t="n">
        <v>48.8</v>
      </c>
    </row>
    <row r="51">
      <c r="A51" t="n">
        <v>79.59999999999999</v>
      </c>
    </row>
    <row r="52">
      <c r="A52" t="n">
        <v>82.8</v>
      </c>
    </row>
    <row r="53">
      <c r="A53" t="n">
        <v>116.7</v>
      </c>
    </row>
    <row r="54">
      <c r="A54" t="n">
        <v>87.2</v>
      </c>
    </row>
    <row r="55">
      <c r="A55" t="n">
        <v>74.8</v>
      </c>
    </row>
    <row r="56">
      <c r="A56" t="n">
        <v>22.8</v>
      </c>
    </row>
    <row r="57">
      <c r="A57" t="n">
        <v>39.6</v>
      </c>
    </row>
    <row r="58">
      <c r="A58" t="n">
        <v>18.9</v>
      </c>
    </row>
    <row r="59">
      <c r="A59" t="n">
        <v>91.3</v>
      </c>
    </row>
    <row r="60">
      <c r="A60" t="n">
        <v>67.90000000000001</v>
      </c>
    </row>
    <row r="61">
      <c r="A61" t="n">
        <v>61.7</v>
      </c>
    </row>
    <row r="62">
      <c r="A62" t="n">
        <v>90.90000000000001</v>
      </c>
    </row>
    <row r="63">
      <c r="A63" t="n">
        <v>65.09999999999999</v>
      </c>
    </row>
    <row r="64">
      <c r="A64" t="n">
        <v>30.5</v>
      </c>
    </row>
    <row r="65">
      <c r="A65" t="n">
        <v>3.6</v>
      </c>
    </row>
    <row r="66">
      <c r="A66" t="n">
        <v>11</v>
      </c>
    </row>
    <row r="67">
      <c r="A67" t="n">
        <v>95.5</v>
      </c>
    </row>
    <row r="68">
      <c r="A68" t="n">
        <v>91</v>
      </c>
    </row>
    <row r="69">
      <c r="A69" t="n">
        <v>91.40000000000001</v>
      </c>
    </row>
    <row r="70">
      <c r="A70" t="n">
        <v>82.8</v>
      </c>
    </row>
    <row r="71">
      <c r="A71" t="n">
        <v>93.59999999999999</v>
      </c>
    </row>
    <row r="72">
      <c r="A72" t="n">
        <v>120</v>
      </c>
    </row>
    <row r="73">
      <c r="A73" t="n">
        <v>52.5</v>
      </c>
    </row>
    <row r="74">
      <c r="A74" t="n">
        <v>49.9</v>
      </c>
    </row>
    <row r="75">
      <c r="A75" t="n">
        <v>70</v>
      </c>
    </row>
    <row r="76">
      <c r="A76" t="n">
        <v>45.1</v>
      </c>
    </row>
    <row r="77">
      <c r="A77" t="n">
        <v>9.6</v>
      </c>
    </row>
    <row r="78">
      <c r="A78" t="n">
        <v>3.8</v>
      </c>
    </row>
    <row r="79">
      <c r="A79" t="n">
        <v>14.3</v>
      </c>
    </row>
    <row r="80">
      <c r="A80" t="n">
        <v>17.9</v>
      </c>
    </row>
    <row r="81">
      <c r="A81" t="n">
        <v>64.09999999999999</v>
      </c>
    </row>
    <row r="82">
      <c r="A82" t="n">
        <v>108</v>
      </c>
    </row>
    <row r="83">
      <c r="A83" t="n">
        <v>80.3</v>
      </c>
    </row>
    <row r="84">
      <c r="A84" t="n">
        <v>82.7</v>
      </c>
    </row>
    <row r="85">
      <c r="A85" t="n">
        <v>92.59999999999999</v>
      </c>
    </row>
    <row r="86">
      <c r="A86" t="n">
        <v>87.3</v>
      </c>
    </row>
    <row r="87">
      <c r="A87" t="n">
        <v>69.3</v>
      </c>
    </row>
    <row r="88">
      <c r="A88" t="n">
        <v>7.1</v>
      </c>
    </row>
    <row r="89">
      <c r="A89" t="n">
        <v>29.7</v>
      </c>
    </row>
    <row r="90">
      <c r="A90" t="n">
        <v>24.1</v>
      </c>
    </row>
    <row r="91">
      <c r="A91" t="n">
        <v>20</v>
      </c>
    </row>
    <row r="92">
      <c r="A92" t="n">
        <v>66.7</v>
      </c>
    </row>
    <row r="93">
      <c r="A93" t="n">
        <v>83.8</v>
      </c>
    </row>
    <row r="94">
      <c r="A94" t="n">
        <v>97.7</v>
      </c>
    </row>
    <row r="95">
      <c r="A95" t="n">
        <v>82.2</v>
      </c>
    </row>
    <row r="96">
      <c r="A96" t="n">
        <v>99.5</v>
      </c>
    </row>
    <row r="97">
      <c r="A97" t="n">
        <v>78</v>
      </c>
    </row>
    <row r="98">
      <c r="A98" t="n">
        <v>15</v>
      </c>
    </row>
    <row r="99">
      <c r="A99" t="n">
        <v>39</v>
      </c>
    </row>
    <row r="100">
      <c r="A100" t="n">
        <v>35</v>
      </c>
    </row>
    <row r="101">
      <c r="A101" t="n">
        <v>41.8</v>
      </c>
    </row>
    <row r="102">
      <c r="A102" t="n">
        <v>57.6</v>
      </c>
    </row>
    <row r="103">
      <c r="A103" t="n">
        <v>21</v>
      </c>
    </row>
    <row r="104">
      <c r="A104" t="n">
        <v>55.7</v>
      </c>
    </row>
    <row r="105">
      <c r="A105" t="n">
        <v>15.7</v>
      </c>
    </row>
    <row r="106">
      <c r="A106" t="n">
        <v>94.09999999999999</v>
      </c>
    </row>
    <row r="107">
      <c r="A107" t="n">
        <v>150.4</v>
      </c>
    </row>
    <row r="108">
      <c r="A108" t="n">
        <v>124.6</v>
      </c>
    </row>
    <row r="109">
      <c r="A109" t="n">
        <v>118.2</v>
      </c>
    </row>
    <row r="110">
      <c r="A110" t="n">
        <v>72.2</v>
      </c>
    </row>
    <row r="111">
      <c r="A111" t="n">
        <v>100</v>
      </c>
    </row>
    <row r="112">
      <c r="A112" t="n">
        <v>118.1</v>
      </c>
    </row>
    <row r="113">
      <c r="A113" t="n">
        <v>106.8</v>
      </c>
    </row>
    <row r="114">
      <c r="A114" t="n">
        <v>55.4</v>
      </c>
    </row>
    <row r="115">
      <c r="A115" t="n">
        <v>41.6</v>
      </c>
    </row>
    <row r="116">
      <c r="A116" t="n">
        <v>37.8</v>
      </c>
    </row>
    <row r="117">
      <c r="A117" t="n">
        <v>19.1</v>
      </c>
    </row>
    <row r="118">
      <c r="A118" t="n">
        <v>50.6</v>
      </c>
    </row>
    <row r="119">
      <c r="A119" t="n">
        <v>14.9</v>
      </c>
    </row>
    <row r="120">
      <c r="A120" t="n">
        <v>39.3</v>
      </c>
    </row>
    <row r="121">
      <c r="A121" t="n">
        <v>120.9</v>
      </c>
    </row>
    <row r="122">
      <c r="A122" t="n">
        <v>114</v>
      </c>
    </row>
    <row r="123">
      <c r="A123" t="n">
        <v>111.2</v>
      </c>
    </row>
    <row r="124">
      <c r="A124" t="n">
        <v>105.4</v>
      </c>
    </row>
    <row r="125">
      <c r="A125" t="n">
        <v>126.3</v>
      </c>
    </row>
    <row r="126">
      <c r="A126" t="n">
        <v>93.8</v>
      </c>
    </row>
    <row r="127">
      <c r="A127" t="n">
        <v>123.8</v>
      </c>
    </row>
    <row r="128">
      <c r="A128" t="n">
        <v>59.8</v>
      </c>
    </row>
    <row r="129">
      <c r="A129" t="n">
        <v>44.3</v>
      </c>
    </row>
    <row r="130">
      <c r="A130" t="n">
        <v>46</v>
      </c>
    </row>
    <row r="131">
      <c r="A131" t="n">
        <v>36.1</v>
      </c>
    </row>
    <row r="132">
      <c r="A132" t="n">
        <v>39.4</v>
      </c>
    </row>
    <row r="133">
      <c r="A133" t="n">
        <v>73.7</v>
      </c>
    </row>
    <row r="134">
      <c r="A134" t="n">
        <v>47.3</v>
      </c>
    </row>
    <row r="135">
      <c r="A135" t="n">
        <v>103.4</v>
      </c>
    </row>
    <row r="136">
      <c r="A136" t="n">
        <v>131.2</v>
      </c>
    </row>
    <row r="137">
      <c r="A137" t="n">
        <v>132.8</v>
      </c>
    </row>
    <row r="138">
      <c r="A138" t="n">
        <v>129.6</v>
      </c>
    </row>
    <row r="139">
      <c r="A139" t="n">
        <v>113.2</v>
      </c>
    </row>
    <row r="140">
      <c r="A140" t="n">
        <v>80.09999999999999</v>
      </c>
    </row>
    <row r="141">
      <c r="A141" t="n">
        <v>83.40000000000001</v>
      </c>
    </row>
    <row r="142">
      <c r="A142" t="n">
        <v>9.300000000000001</v>
      </c>
    </row>
    <row r="143">
      <c r="A143" t="n">
        <v>62</v>
      </c>
    </row>
    <row r="144">
      <c r="A144" t="n">
        <v>51.1</v>
      </c>
    </row>
    <row r="145">
      <c r="A145" t="n">
        <v>103.7</v>
      </c>
    </row>
    <row r="146">
      <c r="A146" t="n">
        <v>113.9</v>
      </c>
    </row>
    <row r="147">
      <c r="A147" t="n">
        <v>96.09999999999999</v>
      </c>
    </row>
    <row r="148">
      <c r="A148" t="n">
        <v>116.9</v>
      </c>
    </row>
    <row r="149">
      <c r="A149" t="n">
        <v>102.6</v>
      </c>
    </row>
    <row r="150">
      <c r="A150" t="n">
        <v>97.8</v>
      </c>
    </row>
    <row r="151">
      <c r="A151" t="n">
        <v>66.2</v>
      </c>
    </row>
    <row r="152">
      <c r="A152" t="n">
        <v>82.8</v>
      </c>
    </row>
    <row r="153">
      <c r="A153" t="n">
        <v>41</v>
      </c>
    </row>
    <row r="154">
      <c r="A154" t="n">
        <v>54.1</v>
      </c>
    </row>
    <row r="155">
      <c r="A155" t="n">
        <v>84.7</v>
      </c>
    </row>
    <row r="156">
      <c r="A156" t="n">
        <v>67.40000000000001</v>
      </c>
    </row>
    <row r="157">
      <c r="A157" t="n">
        <v>39</v>
      </c>
    </row>
    <row r="158">
      <c r="A158" t="n">
        <v>97.7</v>
      </c>
    </row>
    <row r="159">
      <c r="A159" t="n">
        <v>88.8</v>
      </c>
    </row>
    <row r="160">
      <c r="A160" t="n">
        <v>99</v>
      </c>
    </row>
    <row r="161">
      <c r="A161" t="n">
        <v>88.09999999999999</v>
      </c>
    </row>
    <row r="162">
      <c r="A162" t="n">
        <v>98.90000000000001</v>
      </c>
    </row>
    <row r="163">
      <c r="A163" t="n">
        <v>72.09999999999999</v>
      </c>
    </row>
    <row r="164">
      <c r="A164" t="n">
        <v>85.59999999999999</v>
      </c>
    </row>
    <row r="165">
      <c r="A165" t="n">
        <v>81.90000000000001</v>
      </c>
    </row>
    <row r="166">
      <c r="A166" t="n">
        <v>53.9</v>
      </c>
    </row>
    <row r="167">
      <c r="A167" t="n">
        <v>80</v>
      </c>
    </row>
    <row r="168">
      <c r="A168" t="n">
        <v>75.5</v>
      </c>
    </row>
    <row r="169">
      <c r="A169" t="n">
        <v>49</v>
      </c>
    </row>
    <row r="170">
      <c r="A170" t="n">
        <v>79.8</v>
      </c>
    </row>
    <row r="171">
      <c r="A171" t="n">
        <v>84.90000000000001</v>
      </c>
    </row>
    <row r="172">
      <c r="A172" t="n">
        <v>89.5</v>
      </c>
    </row>
    <row r="173">
      <c r="A173" t="n">
        <v>93.59999999999999</v>
      </c>
    </row>
    <row r="174">
      <c r="A174" t="n">
        <v>85</v>
      </c>
    </row>
    <row r="175">
      <c r="A175" t="n">
        <v>89.3</v>
      </c>
    </row>
    <row r="176">
      <c r="A176" t="n">
        <v>92.8</v>
      </c>
    </row>
    <row r="177">
      <c r="A177" t="n">
        <v>76.3</v>
      </c>
    </row>
    <row r="178">
      <c r="A178" t="n">
        <v>116.3</v>
      </c>
    </row>
    <row r="179">
      <c r="A179" t="n">
        <v>69.8</v>
      </c>
    </row>
    <row r="180">
      <c r="A180" t="n">
        <v>80</v>
      </c>
    </row>
    <row r="181">
      <c r="A181" t="n">
        <v>112.8</v>
      </c>
    </row>
    <row r="182">
      <c r="A182" t="n">
        <v>90.2</v>
      </c>
    </row>
    <row r="183">
      <c r="A183" t="n">
        <v>110.7</v>
      </c>
    </row>
    <row r="184">
      <c r="A184" t="n">
        <v>106.4</v>
      </c>
    </row>
    <row r="185">
      <c r="A185" t="n">
        <v>110.1</v>
      </c>
    </row>
    <row r="186">
      <c r="A186" t="n">
        <v>104</v>
      </c>
    </row>
    <row r="187">
      <c r="A187" t="n">
        <v>124.6</v>
      </c>
    </row>
    <row r="188">
      <c r="A188" t="n">
        <v>93.40000000000001</v>
      </c>
    </row>
    <row r="189">
      <c r="A189" t="n">
        <v>139.6</v>
      </c>
    </row>
    <row r="190">
      <c r="A190" t="n">
        <v>125</v>
      </c>
    </row>
    <row r="191">
      <c r="A191" t="n">
        <v>153.4</v>
      </c>
    </row>
    <row r="192">
      <c r="A192" t="n">
        <v>142.3</v>
      </c>
    </row>
    <row r="193">
      <c r="A193" t="n">
        <v>115.1</v>
      </c>
    </row>
    <row r="194">
      <c r="A194" t="n">
        <v>103.2</v>
      </c>
    </row>
    <row r="195">
      <c r="A195" t="n">
        <v>81.5</v>
      </c>
    </row>
    <row r="196">
      <c r="A196" t="n">
        <v>108.6</v>
      </c>
    </row>
    <row r="197">
      <c r="A197" t="n">
        <v>133.7</v>
      </c>
    </row>
    <row r="198">
      <c r="A198" t="n">
        <v>98.2</v>
      </c>
    </row>
    <row r="199">
      <c r="A199" t="n">
        <v>113.7</v>
      </c>
    </row>
    <row r="200">
      <c r="A200" t="n">
        <v>117.1</v>
      </c>
    </row>
    <row r="201">
      <c r="A201" t="n">
        <v>121.3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AVERAGE(Data!$A$2:$A$201)</f>
        <v/>
      </c>
    </row>
    <row r="2">
      <c r="A2" s="1" t="inlineStr">
        <is>
          <t>Median (a)</t>
        </is>
      </c>
      <c r="B2" s="2">
        <f>MEDIAN(Data!$A$2:$A$201)</f>
        <v/>
      </c>
    </row>
    <row r="3">
      <c r="A3" s="1" t="inlineStr">
        <is>
          <t>90th percentile (a)</t>
        </is>
      </c>
      <c r="B3" s="2">
        <f>_xlfn.PERCENTILE.INC(Data!$A$2:$A$201,0.9)</f>
        <v/>
      </c>
    </row>
    <row r="4">
      <c r="A4" s="1" t="inlineStr">
        <is>
          <t>Q1 (c)</t>
        </is>
      </c>
      <c r="B4" s="3">
        <f>_xlfn.QUARTILE.INC(Data!$A$2:$A$201,1)</f>
        <v/>
      </c>
    </row>
    <row r="5">
      <c r="A5" s="1" t="inlineStr">
        <is>
          <t>Q3 (c)</t>
        </is>
      </c>
      <c r="B5" s="3">
        <f>_xlfn.QUARTILE.INC(Data!$A$2:$A$201,3)</f>
        <v/>
      </c>
    </row>
    <row r="6">
      <c r="A6" s="1" t="inlineStr">
        <is>
          <t>IQR (c)</t>
        </is>
      </c>
      <c r="B6" s="3">
        <f>B5-B4</f>
        <v/>
      </c>
    </row>
    <row r="8" ht="64" customHeight="1">
      <c r="A8" s="4" t="inlineStr">
        <is>
          <t>(b) Ninety percent of RMs had 2023 oat yields at or below about 117 bu/ac -- only the top tenth of RMs did better than that.</t>
        </is>
      </c>
    </row>
    <row r="9" ht="64" customHeight="1">
      <c r="A9" s="5" t="inlineStr">
        <is>
          <t>(d) The mean (71.1) sits below the median (75.9), so the distribution is left-skewed: a tail of low-yield RMs pulls the mean down.</t>
        </is>
      </c>
    </row>
    <row r="11">
      <c r="A11" s="1" t="inlineStr">
        <is>
          <t>Legend: colours mark question parts</t>
        </is>
      </c>
    </row>
    <row r="12">
      <c r="A12" s="6" t="inlineStr">
        <is>
          <t>Part (a)</t>
        </is>
      </c>
    </row>
    <row r="13">
      <c r="A13" s="7" t="inlineStr">
        <is>
          <t>Part (b)</t>
        </is>
      </c>
    </row>
    <row r="14">
      <c r="A14" s="8" t="inlineStr">
        <is>
          <t>Part (c)</t>
        </is>
      </c>
    </row>
    <row r="15">
      <c r="A15" s="9" t="inlineStr">
        <is>
          <t>Part (d)</t>
        </is>
      </c>
    </row>
  </sheetData>
  <mergeCells count="2">
    <mergeCell ref="A9:E9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