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n"/>
      <c r="B1" s="2" t="inlineStr">
        <is>
          <t>SY MANNESS</t>
        </is>
      </c>
      <c r="C1" s="2" t="inlineStr">
        <is>
          <t>AAC BRANDON</t>
        </is>
      </c>
    </row>
    <row r="2">
      <c r="A2" s="1" t="inlineStr">
        <is>
          <t>Mean yield (bu/ac)</t>
        </is>
      </c>
      <c r="B2" s="3">
        <f>AVERAGE(Data!C2:C109)</f>
        <v/>
      </c>
      <c r="C2" s="3">
        <f>AVERAGE(Data!G2:G520)</f>
        <v/>
      </c>
    </row>
    <row r="3">
      <c r="A3" s="4" t="inlineStr">
        <is>
          <t>Standard deviation (bu/ac)</t>
        </is>
      </c>
      <c r="B3" s="5">
        <f>_xlfn.STDEV.S(Data!C2:C109)</f>
        <v/>
      </c>
      <c r="C3" s="5">
        <f>_xlfn.STDEV.S(Data!G2:G520)</f>
        <v/>
      </c>
    </row>
    <row r="4">
      <c r="A4" s="6" t="inlineStr">
        <is>
          <t>Reported results (COUNT)</t>
        </is>
      </c>
      <c r="B4" s="7">
        <f>COUNT(Data!C2:C109)</f>
        <v/>
      </c>
      <c r="C4" s="7">
        <f>COUNT(Data!G2:G520)</f>
        <v/>
      </c>
    </row>
    <row r="6">
      <c r="A6" s="8" t="inlineStr">
        <is>
          <t>Difference in means (bu/ac)</t>
        </is>
      </c>
      <c r="B6" s="9">
        <f>B2-C2</f>
        <v/>
      </c>
    </row>
    <row r="7">
      <c r="A7" s="10" t="inlineStr">
        <is>
          <t>SY MANNESS has the higher average -- about 72.1 against 59.6 bu/ac, roughly 12 bu/ac more.</t>
        </is>
      </c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10">
      <c r="A10" s="11" t="inlineStr">
        <is>
          <t>SY MANNESS has 108 reports against 519 for AAC Brandon -- a much thinner track record, so its high average is less proven and could reflect a run of favourable sites or years.</t>
        </is>
      </c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3">
      <c r="A13" s="12" t="inlineStr">
        <is>
          <t>A high average on few reports may not generalize -- consistency and breadth of testing matter too, so the average alone is not enough to recommend a variety.</t>
        </is>
      </c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6">
      <c r="A16" s="1" t="inlineStr">
        <is>
          <t>Part (a)</t>
        </is>
      </c>
    </row>
    <row r="17">
      <c r="A17" s="4" t="inlineStr">
        <is>
          <t>Part (b)</t>
        </is>
      </c>
    </row>
    <row r="18">
      <c r="A18" s="8" t="inlineStr">
        <is>
          <t>Part (c)</t>
        </is>
      </c>
    </row>
    <row r="19">
      <c r="A19" s="6" t="inlineStr">
        <is>
          <t>Part (d)</t>
        </is>
      </c>
    </row>
    <row r="20">
      <c r="A20" s="13" t="inlineStr">
        <is>
          <t>Part (e)</t>
        </is>
      </c>
    </row>
  </sheetData>
  <mergeCells count="3">
    <mergeCell ref="A10:G11"/>
    <mergeCell ref="A7:G8"/>
    <mergeCell ref="A13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7" customWidth="1" min="5" max="5"/>
    <col width="24" customWidth="1" min="6" max="6"/>
    <col width="13" customWidth="1" min="7" max="7"/>
  </cols>
  <sheetData>
    <row r="1">
      <c r="A1" s="14" t="inlineStr">
        <is>
          <t>Year</t>
        </is>
      </c>
      <c r="B1" s="14" t="inlineStr">
        <is>
          <t>Municipality</t>
        </is>
      </c>
      <c r="C1" s="14" t="inlineStr">
        <is>
          <t>Yield (bu/ac)</t>
        </is>
      </c>
      <c r="E1" s="14" t="inlineStr">
        <is>
          <t>Year</t>
        </is>
      </c>
      <c r="F1" s="14" t="inlineStr">
        <is>
          <t>Municipality</t>
        </is>
      </c>
      <c r="G1" s="14" t="inlineStr">
        <is>
          <t>Yield (bu/ac)</t>
        </is>
      </c>
    </row>
    <row r="2">
      <c r="A2" t="n">
        <v>2023</v>
      </c>
      <c r="B2" t="inlineStr">
        <is>
          <t>BIFROST-RIVERTON</t>
        </is>
      </c>
      <c r="C2" t="n">
        <v>68.8</v>
      </c>
      <c r="E2" t="n">
        <v>2020</v>
      </c>
      <c r="F2" t="inlineStr">
        <is>
          <t>ALEXANDER</t>
        </is>
      </c>
      <c r="G2" t="n">
        <v>50.3</v>
      </c>
    </row>
    <row r="3">
      <c r="A3" t="n">
        <v>2023</v>
      </c>
      <c r="B3" t="inlineStr">
        <is>
          <t>GREY</t>
        </is>
      </c>
      <c r="C3" t="n">
        <v>54.8</v>
      </c>
      <c r="E3" t="n">
        <v>2020</v>
      </c>
      <c r="F3" t="inlineStr">
        <is>
          <t>ALONSA</t>
        </is>
      </c>
      <c r="G3" t="n">
        <v>65.09999999999999</v>
      </c>
    </row>
    <row r="4">
      <c r="A4" t="n">
        <v>2023</v>
      </c>
      <c r="B4" t="inlineStr">
        <is>
          <t>LOUISE</t>
        </is>
      </c>
      <c r="C4" t="n">
        <v>69.09999999999999</v>
      </c>
      <c r="E4" t="n">
        <v>2020</v>
      </c>
      <c r="F4" t="inlineStr">
        <is>
          <t>ARGYLE</t>
        </is>
      </c>
      <c r="G4" t="n">
        <v>59.4</v>
      </c>
    </row>
    <row r="5">
      <c r="A5" t="n">
        <v>2023</v>
      </c>
      <c r="B5" t="inlineStr">
        <is>
          <t>MACDONALD</t>
        </is>
      </c>
      <c r="C5" t="n">
        <v>39.7</v>
      </c>
      <c r="E5" t="n">
        <v>2020</v>
      </c>
      <c r="F5" t="inlineStr">
        <is>
          <t>ARMSTRONG</t>
        </is>
      </c>
      <c r="G5" t="n">
        <v>58.6</v>
      </c>
    </row>
    <row r="6">
      <c r="A6" t="n">
        <v>2023</v>
      </c>
      <c r="B6" t="inlineStr">
        <is>
          <t>MORRIS</t>
        </is>
      </c>
      <c r="C6" t="n">
        <v>36.9</v>
      </c>
      <c r="E6" t="n">
        <v>2020</v>
      </c>
      <c r="F6" t="inlineStr">
        <is>
          <t>BIFROST-RIVERTON</t>
        </is>
      </c>
      <c r="G6" t="n">
        <v>68.5</v>
      </c>
    </row>
    <row r="7">
      <c r="A7" t="n">
        <v>2023</v>
      </c>
      <c r="B7" t="inlineStr">
        <is>
          <t>PRAIRIE VIEW</t>
        </is>
      </c>
      <c r="C7" t="n">
        <v>82.40000000000001</v>
      </c>
      <c r="E7" t="n">
        <v>2020</v>
      </c>
      <c r="F7" t="inlineStr">
        <is>
          <t>BOISSEVAIN-MORTON</t>
        </is>
      </c>
      <c r="G7" t="n">
        <v>71.5</v>
      </c>
    </row>
    <row r="8">
      <c r="A8" t="n">
        <v>2023</v>
      </c>
      <c r="B8" t="inlineStr">
        <is>
          <t>RHINELAND</t>
        </is>
      </c>
      <c r="C8" t="n">
        <v>68.3</v>
      </c>
      <c r="E8" t="n">
        <v>2020</v>
      </c>
      <c r="F8" t="inlineStr">
        <is>
          <t>BRENDA-WASKADA</t>
        </is>
      </c>
      <c r="G8" t="n">
        <v>64.7</v>
      </c>
    </row>
    <row r="9">
      <c r="A9" t="n">
        <v>2023</v>
      </c>
      <c r="B9" t="inlineStr">
        <is>
          <t>RIDING MOUNTAIN WEST</t>
        </is>
      </c>
      <c r="C9" t="n">
        <v>81.3</v>
      </c>
      <c r="E9" t="n">
        <v>2020</v>
      </c>
      <c r="F9" t="inlineStr">
        <is>
          <t>BROKENHEAD</t>
        </is>
      </c>
      <c r="G9" t="n">
        <v>65.2</v>
      </c>
    </row>
    <row r="10">
      <c r="A10" t="n">
        <v>2023</v>
      </c>
      <c r="B10" t="inlineStr">
        <is>
          <t>RUSSELL-BINSCARTH</t>
        </is>
      </c>
      <c r="C10" t="n">
        <v>77.90000000000001</v>
      </c>
      <c r="E10" t="n">
        <v>2020</v>
      </c>
      <c r="F10" t="inlineStr">
        <is>
          <t>CARTIER</t>
        </is>
      </c>
      <c r="G10" t="n">
        <v>67.8</v>
      </c>
    </row>
    <row r="11">
      <c r="A11" t="n">
        <v>2023</v>
      </c>
      <c r="B11" t="inlineStr">
        <is>
          <t>SWAN VALLEY WEST</t>
        </is>
      </c>
      <c r="C11" t="n">
        <v>66</v>
      </c>
      <c r="E11" t="n">
        <v>2020</v>
      </c>
      <c r="F11" t="inlineStr">
        <is>
          <t>CARTWRIGHT-ROBLIN</t>
        </is>
      </c>
      <c r="G11" t="n">
        <v>61.9</v>
      </c>
    </row>
    <row r="12">
      <c r="A12" t="n">
        <v>2023</v>
      </c>
      <c r="B12" t="inlineStr">
        <is>
          <t>YELLOWHEAD</t>
        </is>
      </c>
      <c r="C12" t="n">
        <v>79.09999999999999</v>
      </c>
      <c r="E12" t="n">
        <v>2020</v>
      </c>
      <c r="F12" t="inlineStr">
        <is>
          <t>CORNWALLIS</t>
        </is>
      </c>
      <c r="G12" t="n">
        <v>49.4</v>
      </c>
    </row>
    <row r="13">
      <c r="A13" t="n">
        <v>2024</v>
      </c>
      <c r="B13" t="inlineStr">
        <is>
          <t>ARGYLE</t>
        </is>
      </c>
      <c r="C13" t="n">
        <v>76.8</v>
      </c>
      <c r="E13" t="n">
        <v>2020</v>
      </c>
      <c r="F13" t="inlineStr">
        <is>
          <t>DAUPHIN</t>
        </is>
      </c>
      <c r="G13" t="n">
        <v>65.7</v>
      </c>
    </row>
    <row r="14">
      <c r="A14" t="n">
        <v>2024</v>
      </c>
      <c r="B14" t="inlineStr">
        <is>
          <t>BIFROST-RIVERTON</t>
        </is>
      </c>
      <c r="C14" t="n">
        <v>58.5</v>
      </c>
      <c r="E14" t="n">
        <v>2020</v>
      </c>
      <c r="F14" t="inlineStr">
        <is>
          <t>DELORAINE-WINCHESTER</t>
        </is>
      </c>
      <c r="G14" t="n">
        <v>61.8</v>
      </c>
    </row>
    <row r="15">
      <c r="A15" t="n">
        <v>2024</v>
      </c>
      <c r="B15" t="inlineStr">
        <is>
          <t>CARTIER</t>
        </is>
      </c>
      <c r="C15" t="n">
        <v>91.40000000000001</v>
      </c>
      <c r="E15" t="n">
        <v>2020</v>
      </c>
      <c r="F15" t="inlineStr">
        <is>
          <t>DESALABERRY</t>
        </is>
      </c>
      <c r="G15" t="n">
        <v>68.3</v>
      </c>
    </row>
    <row r="16">
      <c r="A16" t="n">
        <v>2024</v>
      </c>
      <c r="B16" t="inlineStr">
        <is>
          <t>DAUPHIN</t>
        </is>
      </c>
      <c r="C16" t="n">
        <v>61.6</v>
      </c>
      <c r="E16" t="n">
        <v>2020</v>
      </c>
      <c r="F16" t="inlineStr">
        <is>
          <t>DUFFERIN</t>
        </is>
      </c>
      <c r="G16" t="n">
        <v>69.8</v>
      </c>
    </row>
    <row r="17">
      <c r="A17" t="n">
        <v>2024</v>
      </c>
      <c r="B17" t="inlineStr">
        <is>
          <t>DUFFERIN</t>
        </is>
      </c>
      <c r="C17" t="n">
        <v>52.3</v>
      </c>
      <c r="E17" t="n">
        <v>2020</v>
      </c>
      <c r="F17" t="inlineStr">
        <is>
          <t>ELLICE-ARCHIE</t>
        </is>
      </c>
      <c r="G17" t="n">
        <v>59.2</v>
      </c>
    </row>
    <row r="18">
      <c r="A18" t="n">
        <v>2024</v>
      </c>
      <c r="B18" t="inlineStr">
        <is>
          <t>ELLICE-ARCHIE</t>
        </is>
      </c>
      <c r="C18" t="n">
        <v>69.5</v>
      </c>
      <c r="E18" t="n">
        <v>2020</v>
      </c>
      <c r="F18" t="inlineStr">
        <is>
          <t>ELTON</t>
        </is>
      </c>
      <c r="G18" t="n">
        <v>65.3</v>
      </c>
    </row>
    <row r="19">
      <c r="A19" t="n">
        <v>2024</v>
      </c>
      <c r="B19" t="inlineStr">
        <is>
          <t>ELTON</t>
        </is>
      </c>
      <c r="C19" t="n">
        <v>66</v>
      </c>
      <c r="E19" t="n">
        <v>2020</v>
      </c>
      <c r="F19" t="inlineStr">
        <is>
          <t>EMERSON-FRANKLIN</t>
        </is>
      </c>
      <c r="G19" t="n">
        <v>57.8</v>
      </c>
    </row>
    <row r="20">
      <c r="A20" t="n">
        <v>2024</v>
      </c>
      <c r="B20" t="inlineStr">
        <is>
          <t>EMERSON-FRANKLIN</t>
        </is>
      </c>
      <c r="C20" t="n">
        <v>73.2</v>
      </c>
      <c r="E20" t="n">
        <v>2020</v>
      </c>
      <c r="F20" t="inlineStr">
        <is>
          <t>ETHELBERT</t>
        </is>
      </c>
      <c r="G20" t="n">
        <v>53</v>
      </c>
    </row>
    <row r="21">
      <c r="A21" t="n">
        <v>2024</v>
      </c>
      <c r="B21" t="inlineStr">
        <is>
          <t>GRANDVIEW</t>
        </is>
      </c>
      <c r="C21" t="n">
        <v>48.1</v>
      </c>
      <c r="E21" t="n">
        <v>2020</v>
      </c>
      <c r="F21" t="inlineStr">
        <is>
          <t>FISHER</t>
        </is>
      </c>
      <c r="G21" t="n">
        <v>57.9</v>
      </c>
    </row>
    <row r="22">
      <c r="A22" t="n">
        <v>2024</v>
      </c>
      <c r="B22" t="inlineStr">
        <is>
          <t>GREY</t>
        </is>
      </c>
      <c r="C22" t="n">
        <v>71.59999999999999</v>
      </c>
      <c r="E22" t="n">
        <v>2020</v>
      </c>
      <c r="F22" t="inlineStr">
        <is>
          <t>GILBERT PLAINS</t>
        </is>
      </c>
      <c r="G22" t="n">
        <v>64</v>
      </c>
    </row>
    <row r="23">
      <c r="A23" t="n">
        <v>2024</v>
      </c>
      <c r="B23" t="inlineStr">
        <is>
          <t>HAMIOTA</t>
        </is>
      </c>
      <c r="C23" t="n">
        <v>75.09999999999999</v>
      </c>
      <c r="E23" t="n">
        <v>2020</v>
      </c>
      <c r="F23" t="inlineStr">
        <is>
          <t>GIMLI</t>
        </is>
      </c>
      <c r="G23" t="n">
        <v>70</v>
      </c>
    </row>
    <row r="24">
      <c r="A24" t="n">
        <v>2024</v>
      </c>
      <c r="B24" t="inlineStr">
        <is>
          <t>HARRISON PARK</t>
        </is>
      </c>
      <c r="C24" t="n">
        <v>75</v>
      </c>
      <c r="E24" t="n">
        <v>2020</v>
      </c>
      <c r="F24" t="inlineStr">
        <is>
          <t>GLENBORO-SOUTH CYPRESS</t>
        </is>
      </c>
      <c r="G24" t="n">
        <v>59.3</v>
      </c>
    </row>
    <row r="25">
      <c r="A25" t="n">
        <v>2024</v>
      </c>
      <c r="B25" t="inlineStr">
        <is>
          <t>HILLSBURG-ROBLIN-SHELL RIVER</t>
        </is>
      </c>
      <c r="C25" t="n">
        <v>66.2</v>
      </c>
      <c r="E25" t="n">
        <v>2020</v>
      </c>
      <c r="F25" t="inlineStr">
        <is>
          <t>GLENELLA-LANSDOWNE</t>
        </is>
      </c>
      <c r="G25" t="n">
        <v>63.4</v>
      </c>
    </row>
    <row r="26">
      <c r="A26" t="n">
        <v>2024</v>
      </c>
      <c r="B26" t="inlineStr">
        <is>
          <t>LORNE</t>
        </is>
      </c>
      <c r="C26" t="n">
        <v>69.59999999999999</v>
      </c>
      <c r="E26" t="n">
        <v>2020</v>
      </c>
      <c r="F26" t="inlineStr">
        <is>
          <t>GRAHAMDALE</t>
        </is>
      </c>
      <c r="G26" t="n">
        <v>47.6</v>
      </c>
    </row>
    <row r="27">
      <c r="A27" t="n">
        <v>2024</v>
      </c>
      <c r="B27" t="inlineStr">
        <is>
          <t>LOUISE</t>
        </is>
      </c>
      <c r="C27" t="n">
        <v>92.7</v>
      </c>
      <c r="E27" t="n">
        <v>2020</v>
      </c>
      <c r="F27" t="inlineStr">
        <is>
          <t>GRANDVIEW</t>
        </is>
      </c>
      <c r="G27" t="n">
        <v>68.59999999999999</v>
      </c>
    </row>
    <row r="28">
      <c r="A28" t="n">
        <v>2024</v>
      </c>
      <c r="B28" t="inlineStr">
        <is>
          <t>MACDONALD</t>
        </is>
      </c>
      <c r="C28" t="n">
        <v>84.09999999999999</v>
      </c>
      <c r="E28" t="n">
        <v>2020</v>
      </c>
      <c r="F28" t="inlineStr">
        <is>
          <t>GRASSLAND</t>
        </is>
      </c>
      <c r="G28" t="n">
        <v>61.5</v>
      </c>
    </row>
    <row r="29">
      <c r="A29" t="n">
        <v>2024</v>
      </c>
      <c r="B29" t="inlineStr">
        <is>
          <t>MINITONAS-BOWSMAN</t>
        </is>
      </c>
      <c r="C29" t="n">
        <v>82.3</v>
      </c>
      <c r="E29" t="n">
        <v>2020</v>
      </c>
      <c r="F29" t="inlineStr">
        <is>
          <t>GREY</t>
        </is>
      </c>
      <c r="G29" t="n">
        <v>71.7</v>
      </c>
    </row>
    <row r="30">
      <c r="A30" t="n">
        <v>2024</v>
      </c>
      <c r="B30" t="inlineStr">
        <is>
          <t>MINTO-ODANAH</t>
        </is>
      </c>
      <c r="C30" t="n">
        <v>61.8</v>
      </c>
      <c r="E30" t="n">
        <v>2020</v>
      </c>
      <c r="F30" t="inlineStr">
        <is>
          <t>HAMIOTA</t>
        </is>
      </c>
      <c r="G30" t="n">
        <v>63.3</v>
      </c>
    </row>
    <row r="31">
      <c r="A31" t="n">
        <v>2024</v>
      </c>
      <c r="B31" t="inlineStr">
        <is>
          <t>MORRIS</t>
        </is>
      </c>
      <c r="C31" t="n">
        <v>84.59999999999999</v>
      </c>
      <c r="E31" t="n">
        <v>2020</v>
      </c>
      <c r="F31" t="inlineStr">
        <is>
          <t>HANOVER</t>
        </is>
      </c>
      <c r="G31" t="n">
        <v>69.5</v>
      </c>
    </row>
    <row r="32">
      <c r="A32" t="n">
        <v>2024</v>
      </c>
      <c r="B32" t="inlineStr">
        <is>
          <t>MOUNTAIN</t>
        </is>
      </c>
      <c r="C32" t="n">
        <v>71.40000000000001</v>
      </c>
      <c r="E32" t="n">
        <v>2020</v>
      </c>
      <c r="F32" t="inlineStr">
        <is>
          <t>HARRISON PARK</t>
        </is>
      </c>
      <c r="G32" t="n">
        <v>57.5</v>
      </c>
    </row>
    <row r="33">
      <c r="A33" t="n">
        <v>2024</v>
      </c>
      <c r="B33" t="inlineStr">
        <is>
          <t>OAKVIEW</t>
        </is>
      </c>
      <c r="C33" t="n">
        <v>70.59999999999999</v>
      </c>
      <c r="E33" t="n">
        <v>2020</v>
      </c>
      <c r="F33" t="inlineStr">
        <is>
          <t>HEADINGLEY</t>
        </is>
      </c>
      <c r="G33" t="n">
        <v>72</v>
      </c>
    </row>
    <row r="34">
      <c r="A34" t="n">
        <v>2024</v>
      </c>
      <c r="B34" t="inlineStr">
        <is>
          <t>PEMBINA</t>
        </is>
      </c>
      <c r="C34" t="n">
        <v>87.40000000000001</v>
      </c>
      <c r="E34" t="n">
        <v>2020</v>
      </c>
      <c r="F34" t="inlineStr">
        <is>
          <t>HILLSBURG-ROBLIN-SHELL RIVER</t>
        </is>
      </c>
      <c r="G34" t="n">
        <v>72.59999999999999</v>
      </c>
    </row>
    <row r="35">
      <c r="A35" t="n">
        <v>2024</v>
      </c>
      <c r="B35" t="inlineStr">
        <is>
          <t>PRAIRIE VIEW</t>
        </is>
      </c>
      <c r="C35" t="n">
        <v>72.2</v>
      </c>
      <c r="E35" t="n">
        <v>2020</v>
      </c>
      <c r="F35" t="inlineStr">
        <is>
          <t>KILLARNEY-TURTLE MTN</t>
        </is>
      </c>
      <c r="G35" t="n">
        <v>66.40000000000001</v>
      </c>
    </row>
    <row r="36">
      <c r="A36" t="n">
        <v>2024</v>
      </c>
      <c r="B36" t="inlineStr">
        <is>
          <t>RHINELAND</t>
        </is>
      </c>
      <c r="C36" t="n">
        <v>85.8</v>
      </c>
      <c r="E36" t="n">
        <v>2020</v>
      </c>
      <c r="F36" t="inlineStr">
        <is>
          <t>LA BROQUERIE</t>
        </is>
      </c>
      <c r="G36" t="n">
        <v>45.6</v>
      </c>
    </row>
    <row r="37">
      <c r="A37" t="n">
        <v>2024</v>
      </c>
      <c r="B37" t="inlineStr">
        <is>
          <t>RIDING MOUNTAIN WEST</t>
        </is>
      </c>
      <c r="C37" t="n">
        <v>73</v>
      </c>
      <c r="E37" t="n">
        <v>2020</v>
      </c>
      <c r="F37" t="inlineStr">
        <is>
          <t>LAC DU BONNET</t>
        </is>
      </c>
      <c r="G37" t="n">
        <v>61.6</v>
      </c>
    </row>
    <row r="38">
      <c r="A38" t="n">
        <v>2024</v>
      </c>
      <c r="B38" t="inlineStr">
        <is>
          <t>ROLAND</t>
        </is>
      </c>
      <c r="C38" t="n">
        <v>85.90000000000001</v>
      </c>
      <c r="E38" t="n">
        <v>2020</v>
      </c>
      <c r="F38" t="inlineStr">
        <is>
          <t>LAKESHORE</t>
        </is>
      </c>
      <c r="G38" t="n">
        <v>63.7</v>
      </c>
    </row>
    <row r="39">
      <c r="A39" t="n">
        <v>2024</v>
      </c>
      <c r="B39" t="inlineStr">
        <is>
          <t>ROSSBURN</t>
        </is>
      </c>
      <c r="C39" t="n">
        <v>61.1</v>
      </c>
      <c r="E39" t="n">
        <v>2020</v>
      </c>
      <c r="F39" t="inlineStr">
        <is>
          <t>LORNE</t>
        </is>
      </c>
      <c r="G39" t="n">
        <v>71.59999999999999</v>
      </c>
    </row>
    <row r="40">
      <c r="A40" t="n">
        <v>2024</v>
      </c>
      <c r="B40" t="inlineStr">
        <is>
          <t>RUSSELL-BINSCARTH</t>
        </is>
      </c>
      <c r="C40" t="n">
        <v>84.5</v>
      </c>
      <c r="E40" t="n">
        <v>2020</v>
      </c>
      <c r="F40" t="inlineStr">
        <is>
          <t>LOUISE</t>
        </is>
      </c>
      <c r="G40" t="n">
        <v>73</v>
      </c>
    </row>
    <row r="41">
      <c r="A41" t="n">
        <v>2024</v>
      </c>
      <c r="B41" t="inlineStr">
        <is>
          <t>SOURIS-GLENWOOD</t>
        </is>
      </c>
      <c r="C41" t="n">
        <v>69</v>
      </c>
      <c r="E41" t="n">
        <v>2020</v>
      </c>
      <c r="F41" t="inlineStr">
        <is>
          <t>MACDONALD</t>
        </is>
      </c>
      <c r="G41" t="n">
        <v>71.59999999999999</v>
      </c>
    </row>
    <row r="42">
      <c r="A42" t="n">
        <v>2024</v>
      </c>
      <c r="B42" t="inlineStr">
        <is>
          <t>SPRINGFIELD</t>
        </is>
      </c>
      <c r="C42" t="n">
        <v>83.2</v>
      </c>
      <c r="E42" t="n">
        <v>2020</v>
      </c>
      <c r="F42" t="inlineStr">
        <is>
          <t>MCCREARY</t>
        </is>
      </c>
      <c r="G42" t="n">
        <v>57.2</v>
      </c>
    </row>
    <row r="43">
      <c r="A43" t="n">
        <v>2024</v>
      </c>
      <c r="B43" t="inlineStr">
        <is>
          <t>STANLEY</t>
        </is>
      </c>
      <c r="C43" t="n">
        <v>71.09999999999999</v>
      </c>
      <c r="E43" t="n">
        <v>2020</v>
      </c>
      <c r="F43" t="inlineStr">
        <is>
          <t>MINITONAS-BOWSMAN</t>
        </is>
      </c>
      <c r="G43" t="n">
        <v>72.59999999999999</v>
      </c>
    </row>
    <row r="44">
      <c r="A44" t="n">
        <v>2024</v>
      </c>
      <c r="B44" t="inlineStr">
        <is>
          <t>SWAN VALLEY WEST</t>
        </is>
      </c>
      <c r="C44" t="n">
        <v>78.7</v>
      </c>
      <c r="E44" t="n">
        <v>2020</v>
      </c>
      <c r="F44" t="inlineStr">
        <is>
          <t>MINTO-ODANAH</t>
        </is>
      </c>
      <c r="G44" t="n">
        <v>60.5</v>
      </c>
    </row>
    <row r="45">
      <c r="A45" t="n">
        <v>2024</v>
      </c>
      <c r="B45" t="inlineStr">
        <is>
          <t>WALLACE-WOODWORTH</t>
        </is>
      </c>
      <c r="C45" t="n">
        <v>71.59999999999999</v>
      </c>
      <c r="E45" t="n">
        <v>2020</v>
      </c>
      <c r="F45" t="inlineStr">
        <is>
          <t>MONTCALM</t>
        </is>
      </c>
      <c r="G45" t="n">
        <v>68.09999999999999</v>
      </c>
    </row>
    <row r="46">
      <c r="A46" t="n">
        <v>2024</v>
      </c>
      <c r="B46" t="inlineStr">
        <is>
          <t>WHITEHEAD</t>
        </is>
      </c>
      <c r="C46" t="n">
        <v>60.6</v>
      </c>
      <c r="E46" t="n">
        <v>2020</v>
      </c>
      <c r="F46" t="inlineStr">
        <is>
          <t>MORRIS</t>
        </is>
      </c>
      <c r="G46" t="n">
        <v>66.8</v>
      </c>
    </row>
    <row r="47">
      <c r="A47" t="n">
        <v>2024</v>
      </c>
      <c r="B47" t="inlineStr">
        <is>
          <t>YELLOWHEAD</t>
        </is>
      </c>
      <c r="C47" t="n">
        <v>74.09999999999999</v>
      </c>
      <c r="E47" t="n">
        <v>2020</v>
      </c>
      <c r="F47" t="inlineStr">
        <is>
          <t>MOSSEY RIVER</t>
        </is>
      </c>
      <c r="G47" t="n">
        <v>58.3</v>
      </c>
    </row>
    <row r="48">
      <c r="A48" t="n">
        <v>2025</v>
      </c>
      <c r="B48" t="inlineStr">
        <is>
          <t>ARGYLE</t>
        </is>
      </c>
      <c r="C48" t="n">
        <v>66.90000000000001</v>
      </c>
      <c r="E48" t="n">
        <v>2020</v>
      </c>
      <c r="F48" t="inlineStr">
        <is>
          <t>MOUNTAIN</t>
        </is>
      </c>
      <c r="G48" t="n">
        <v>66.59999999999999</v>
      </c>
    </row>
    <row r="49">
      <c r="A49" t="n">
        <v>2025</v>
      </c>
      <c r="B49" t="inlineStr">
        <is>
          <t>ARMSTRONG</t>
        </is>
      </c>
      <c r="C49" t="n">
        <v>42.9</v>
      </c>
      <c r="E49" t="n">
        <v>2020</v>
      </c>
      <c r="F49" t="inlineStr">
        <is>
          <t>NORFOLK-TREHERNE</t>
        </is>
      </c>
      <c r="G49" t="n">
        <v>62.9</v>
      </c>
    </row>
    <row r="50">
      <c r="A50" t="n">
        <v>2025</v>
      </c>
      <c r="B50" t="inlineStr">
        <is>
          <t>BIFROST-RIVERTON</t>
        </is>
      </c>
      <c r="C50" t="n">
        <v>57.3</v>
      </c>
      <c r="E50" t="n">
        <v>2020</v>
      </c>
      <c r="F50" t="inlineStr">
        <is>
          <t>NORTH CYPRESS-LANGFORD</t>
        </is>
      </c>
      <c r="G50" t="n">
        <v>61.2</v>
      </c>
    </row>
    <row r="51">
      <c r="A51" t="n">
        <v>2025</v>
      </c>
      <c r="B51" t="inlineStr">
        <is>
          <t>BOISSEVAIN-MORTON</t>
        </is>
      </c>
      <c r="C51" t="n">
        <v>90.90000000000001</v>
      </c>
      <c r="E51" t="n">
        <v>2020</v>
      </c>
      <c r="F51" t="inlineStr">
        <is>
          <t>NORTH NORFOLK</t>
        </is>
      </c>
      <c r="G51" t="n">
        <v>59.6</v>
      </c>
    </row>
    <row r="52">
      <c r="A52" t="n">
        <v>2025</v>
      </c>
      <c r="B52" t="inlineStr">
        <is>
          <t>BROKENHEAD</t>
        </is>
      </c>
      <c r="C52" t="n">
        <v>67.90000000000001</v>
      </c>
      <c r="E52" t="n">
        <v>2020</v>
      </c>
      <c r="F52" t="inlineStr">
        <is>
          <t>OAKLAND-WAWANESA</t>
        </is>
      </c>
      <c r="G52" t="n">
        <v>63.8</v>
      </c>
    </row>
    <row r="53">
      <c r="A53" t="n">
        <v>2025</v>
      </c>
      <c r="B53" t="inlineStr">
        <is>
          <t>CARTIER</t>
        </is>
      </c>
      <c r="C53" t="n">
        <v>78.59999999999999</v>
      </c>
      <c r="E53" t="n">
        <v>2020</v>
      </c>
      <c r="F53" t="inlineStr">
        <is>
          <t>OAKVIEW</t>
        </is>
      </c>
      <c r="G53" t="n">
        <v>57.9</v>
      </c>
    </row>
    <row r="54">
      <c r="A54" t="n">
        <v>2025</v>
      </c>
      <c r="B54" t="inlineStr">
        <is>
          <t>CARTWRIGHT-ROBLIN</t>
        </is>
      </c>
      <c r="C54" t="n">
        <v>79.3</v>
      </c>
      <c r="E54" t="n">
        <v>2020</v>
      </c>
      <c r="F54" t="inlineStr">
        <is>
          <t>PEMBINA</t>
        </is>
      </c>
      <c r="G54" t="n">
        <v>69.8</v>
      </c>
    </row>
    <row r="55">
      <c r="A55" t="n">
        <v>2025</v>
      </c>
      <c r="B55" t="inlineStr">
        <is>
          <t>DAUPHIN</t>
        </is>
      </c>
      <c r="C55" t="n">
        <v>74.40000000000001</v>
      </c>
      <c r="E55" t="n">
        <v>2020</v>
      </c>
      <c r="F55" t="inlineStr">
        <is>
          <t>PINEY</t>
        </is>
      </c>
      <c r="G55" t="n">
        <v>43.2</v>
      </c>
    </row>
    <row r="56">
      <c r="A56" t="n">
        <v>2025</v>
      </c>
      <c r="B56" t="inlineStr">
        <is>
          <t>DELORAINE-WINCHESTER</t>
        </is>
      </c>
      <c r="C56" t="n">
        <v>73.2</v>
      </c>
      <c r="E56" t="n">
        <v>2020</v>
      </c>
      <c r="F56" t="inlineStr">
        <is>
          <t>PIPESTONE</t>
        </is>
      </c>
      <c r="G56" t="n">
        <v>53.9</v>
      </c>
    </row>
    <row r="57">
      <c r="A57" t="n">
        <v>2025</v>
      </c>
      <c r="B57" t="inlineStr">
        <is>
          <t>DESALABERRY</t>
        </is>
      </c>
      <c r="C57" t="n">
        <v>83.59999999999999</v>
      </c>
      <c r="E57" t="n">
        <v>2020</v>
      </c>
      <c r="F57" t="inlineStr">
        <is>
          <t>PORTAGE LA PRAIRIE</t>
        </is>
      </c>
      <c r="G57" t="n">
        <v>68.8</v>
      </c>
    </row>
    <row r="58">
      <c r="A58" t="n">
        <v>2025</v>
      </c>
      <c r="B58" t="inlineStr">
        <is>
          <t>DUFFERIN</t>
        </is>
      </c>
      <c r="C58" t="n">
        <v>78.2</v>
      </c>
      <c r="E58" t="n">
        <v>2020</v>
      </c>
      <c r="F58" t="inlineStr">
        <is>
          <t>PRAIRIE LAKES</t>
        </is>
      </c>
      <c r="G58" t="n">
        <v>61.9</v>
      </c>
    </row>
    <row r="59">
      <c r="A59" t="n">
        <v>2025</v>
      </c>
      <c r="B59" t="inlineStr">
        <is>
          <t>ELTON</t>
        </is>
      </c>
      <c r="C59" t="n">
        <v>73.2</v>
      </c>
      <c r="E59" t="n">
        <v>2020</v>
      </c>
      <c r="F59" t="inlineStr">
        <is>
          <t>PRAIRIE VIEW</t>
        </is>
      </c>
      <c r="G59" t="n">
        <v>56.2</v>
      </c>
    </row>
    <row r="60">
      <c r="A60" t="n">
        <v>2025</v>
      </c>
      <c r="B60" t="inlineStr">
        <is>
          <t>EMERSON-FRANKLIN</t>
        </is>
      </c>
      <c r="C60" t="n">
        <v>86.5</v>
      </c>
      <c r="E60" t="n">
        <v>2020</v>
      </c>
      <c r="F60" t="inlineStr">
        <is>
          <t>REYNOLDS</t>
        </is>
      </c>
      <c r="G60" t="n">
        <v>47.3</v>
      </c>
    </row>
    <row r="61">
      <c r="A61" t="n">
        <v>2025</v>
      </c>
      <c r="B61" t="inlineStr">
        <is>
          <t>ETHELBERT</t>
        </is>
      </c>
      <c r="C61" t="n">
        <v>57.9</v>
      </c>
      <c r="E61" t="n">
        <v>2020</v>
      </c>
      <c r="F61" t="inlineStr">
        <is>
          <t>RHINELAND</t>
        </is>
      </c>
      <c r="G61" t="n">
        <v>67.5</v>
      </c>
    </row>
    <row r="62">
      <c r="A62" t="n">
        <v>2025</v>
      </c>
      <c r="B62" t="inlineStr">
        <is>
          <t>FISHER</t>
        </is>
      </c>
      <c r="C62" t="n">
        <v>47.9</v>
      </c>
      <c r="E62" t="n">
        <v>2020</v>
      </c>
      <c r="F62" t="inlineStr">
        <is>
          <t>RIDING MOUNTAIN WEST</t>
        </is>
      </c>
      <c r="G62" t="n">
        <v>64.90000000000001</v>
      </c>
    </row>
    <row r="63">
      <c r="A63" t="n">
        <v>2025</v>
      </c>
      <c r="B63" t="inlineStr">
        <is>
          <t>GILBERT PLAINS</t>
        </is>
      </c>
      <c r="C63" t="n">
        <v>63.9</v>
      </c>
      <c r="E63" t="n">
        <v>2020</v>
      </c>
      <c r="F63" t="inlineStr">
        <is>
          <t>RITCHOT</t>
        </is>
      </c>
      <c r="G63" t="n">
        <v>70.7</v>
      </c>
    </row>
    <row r="64">
      <c r="A64" t="n">
        <v>2025</v>
      </c>
      <c r="B64" t="inlineStr">
        <is>
          <t>GLENBORO-SOUTH CYPRESS</t>
        </is>
      </c>
      <c r="C64" t="n">
        <v>52.3</v>
      </c>
      <c r="E64" t="n">
        <v>2020</v>
      </c>
      <c r="F64" t="inlineStr">
        <is>
          <t>RIVERDALE</t>
        </is>
      </c>
      <c r="G64" t="n">
        <v>57.6</v>
      </c>
    </row>
    <row r="65">
      <c r="A65" t="n">
        <v>2025</v>
      </c>
      <c r="B65" t="inlineStr">
        <is>
          <t>GRANDVIEW</t>
        </is>
      </c>
      <c r="C65" t="n">
        <v>75.5</v>
      </c>
      <c r="E65" t="n">
        <v>2020</v>
      </c>
      <c r="F65" t="inlineStr">
        <is>
          <t>ROCKWOOD</t>
        </is>
      </c>
      <c r="G65" t="n">
        <v>61.1</v>
      </c>
    </row>
    <row r="66">
      <c r="A66" t="n">
        <v>2025</v>
      </c>
      <c r="B66" t="inlineStr">
        <is>
          <t>GREY</t>
        </is>
      </c>
      <c r="C66" t="n">
        <v>75.8</v>
      </c>
      <c r="E66" t="n">
        <v>2020</v>
      </c>
      <c r="F66" t="inlineStr">
        <is>
          <t>ROLAND</t>
        </is>
      </c>
      <c r="G66" t="n">
        <v>67.8</v>
      </c>
    </row>
    <row r="67">
      <c r="A67" t="n">
        <v>2025</v>
      </c>
      <c r="B67" t="inlineStr">
        <is>
          <t>HAMIOTA</t>
        </is>
      </c>
      <c r="C67" t="n">
        <v>71.90000000000001</v>
      </c>
      <c r="E67" t="n">
        <v>2020</v>
      </c>
      <c r="F67" t="inlineStr">
        <is>
          <t>ROSEDALE</t>
        </is>
      </c>
      <c r="G67" t="n">
        <v>66.40000000000001</v>
      </c>
    </row>
    <row r="68">
      <c r="A68" t="n">
        <v>2025</v>
      </c>
      <c r="B68" t="inlineStr">
        <is>
          <t>HARRISON PARK</t>
        </is>
      </c>
      <c r="C68" t="n">
        <v>70.09999999999999</v>
      </c>
      <c r="E68" t="n">
        <v>2020</v>
      </c>
      <c r="F68" t="inlineStr">
        <is>
          <t>ROSSBURN</t>
        </is>
      </c>
      <c r="G68" t="n">
        <v>61.4</v>
      </c>
    </row>
    <row r="69">
      <c r="A69" t="n">
        <v>2025</v>
      </c>
      <c r="B69" t="inlineStr">
        <is>
          <t>HEADINGLEY</t>
        </is>
      </c>
      <c r="C69" t="n">
        <v>72.40000000000001</v>
      </c>
      <c r="E69" t="n">
        <v>2020</v>
      </c>
      <c r="F69" t="inlineStr">
        <is>
          <t>ROSSER</t>
        </is>
      </c>
      <c r="G69" t="n">
        <v>71.09999999999999</v>
      </c>
    </row>
    <row r="70">
      <c r="A70" t="n">
        <v>2025</v>
      </c>
      <c r="B70" t="inlineStr">
        <is>
          <t>HILLSBURG-ROBLIN-SHELL RIVER</t>
        </is>
      </c>
      <c r="C70" t="n">
        <v>82.09999999999999</v>
      </c>
      <c r="E70" t="n">
        <v>2020</v>
      </c>
      <c r="F70" t="inlineStr">
        <is>
          <t>RUSSELL-BINSCARTH</t>
        </is>
      </c>
      <c r="G70" t="n">
        <v>64.8</v>
      </c>
    </row>
    <row r="71">
      <c r="A71" t="n">
        <v>2025</v>
      </c>
      <c r="B71" t="inlineStr">
        <is>
          <t>KILLARNEY-TURTLE MTN</t>
        </is>
      </c>
      <c r="C71" t="n">
        <v>76.09999999999999</v>
      </c>
      <c r="E71" t="n">
        <v>2020</v>
      </c>
      <c r="F71" t="inlineStr">
        <is>
          <t>SIFTON</t>
        </is>
      </c>
      <c r="G71" t="n">
        <v>50.9</v>
      </c>
    </row>
    <row r="72">
      <c r="A72" t="n">
        <v>2025</v>
      </c>
      <c r="B72" t="inlineStr">
        <is>
          <t>LAC DU BONNET</t>
        </is>
      </c>
      <c r="C72" t="n">
        <v>68.3</v>
      </c>
      <c r="E72" t="n">
        <v>2020</v>
      </c>
      <c r="F72" t="inlineStr">
        <is>
          <t>SOURIS-GLENWOOD</t>
        </is>
      </c>
      <c r="G72" t="n">
        <v>63.7</v>
      </c>
    </row>
    <row r="73">
      <c r="A73" t="n">
        <v>2025</v>
      </c>
      <c r="B73" t="inlineStr">
        <is>
          <t>LAKESHORE</t>
        </is>
      </c>
      <c r="C73" t="n">
        <v>51.2</v>
      </c>
      <c r="E73" t="n">
        <v>2020</v>
      </c>
      <c r="F73" t="inlineStr">
        <is>
          <t>SPRINGFIELD</t>
        </is>
      </c>
      <c r="G73" t="n">
        <v>69.3</v>
      </c>
    </row>
    <row r="74">
      <c r="A74" t="n">
        <v>2025</v>
      </c>
      <c r="B74" t="inlineStr">
        <is>
          <t>LORNE</t>
        </is>
      </c>
      <c r="C74" t="n">
        <v>74.3</v>
      </c>
      <c r="E74" t="n">
        <v>2020</v>
      </c>
      <c r="F74" t="inlineStr">
        <is>
          <t>ST. ANDREWS</t>
        </is>
      </c>
      <c r="G74" t="n">
        <v>70.8</v>
      </c>
    </row>
    <row r="75">
      <c r="A75" t="n">
        <v>2025</v>
      </c>
      <c r="B75" t="inlineStr">
        <is>
          <t>LOUISE</t>
        </is>
      </c>
      <c r="C75" t="n">
        <v>96.3</v>
      </c>
      <c r="E75" t="n">
        <v>2020</v>
      </c>
      <c r="F75" t="inlineStr">
        <is>
          <t>ST. CLEMENTS</t>
        </is>
      </c>
      <c r="G75" t="n">
        <v>63.8</v>
      </c>
    </row>
    <row r="76">
      <c r="A76" t="n">
        <v>2025</v>
      </c>
      <c r="B76" t="inlineStr">
        <is>
          <t>MACDONALD</t>
        </is>
      </c>
      <c r="C76" t="n">
        <v>73.3</v>
      </c>
      <c r="E76" t="n">
        <v>2020</v>
      </c>
      <c r="F76" t="inlineStr">
        <is>
          <t>ST. FRANCIS XAVIER</t>
        </is>
      </c>
      <c r="G76" t="n">
        <v>66.7</v>
      </c>
    </row>
    <row r="77">
      <c r="A77" t="n">
        <v>2025</v>
      </c>
      <c r="B77" t="inlineStr">
        <is>
          <t>MINITONAS-BOWSMAN</t>
        </is>
      </c>
      <c r="C77" t="n">
        <v>67.3</v>
      </c>
      <c r="E77" t="n">
        <v>2020</v>
      </c>
      <c r="F77" t="inlineStr">
        <is>
          <t>ST. LAURENT</t>
        </is>
      </c>
      <c r="G77" t="n">
        <v>27.6</v>
      </c>
    </row>
    <row r="78">
      <c r="A78" t="n">
        <v>2025</v>
      </c>
      <c r="B78" t="inlineStr">
        <is>
          <t>MINTO-ODANAH</t>
        </is>
      </c>
      <c r="C78" t="n">
        <v>74.2</v>
      </c>
      <c r="E78" t="n">
        <v>2020</v>
      </c>
      <c r="F78" t="inlineStr">
        <is>
          <t>STANLEY</t>
        </is>
      </c>
      <c r="G78" t="n">
        <v>68.2</v>
      </c>
    </row>
    <row r="79">
      <c r="A79" t="n">
        <v>2025</v>
      </c>
      <c r="B79" t="inlineStr">
        <is>
          <t>MONTCALM</t>
        </is>
      </c>
      <c r="C79" t="n">
        <v>80.3</v>
      </c>
      <c r="E79" t="n">
        <v>2020</v>
      </c>
      <c r="F79" t="inlineStr">
        <is>
          <t>STE. ANNE</t>
        </is>
      </c>
      <c r="G79" t="n">
        <v>68.2</v>
      </c>
    </row>
    <row r="80">
      <c r="A80" t="n">
        <v>2025</v>
      </c>
      <c r="B80" t="inlineStr">
        <is>
          <t>MORRIS</t>
        </is>
      </c>
      <c r="C80" t="n">
        <v>76.40000000000001</v>
      </c>
      <c r="E80" t="n">
        <v>2020</v>
      </c>
      <c r="F80" t="inlineStr">
        <is>
          <t>STE. ROSE</t>
        </is>
      </c>
      <c r="G80" t="n">
        <v>64.3</v>
      </c>
    </row>
    <row r="81">
      <c r="A81" t="n">
        <v>2025</v>
      </c>
      <c r="B81" t="inlineStr">
        <is>
          <t>MOUNTAIN</t>
        </is>
      </c>
      <c r="C81" t="n">
        <v>77.8</v>
      </c>
      <c r="E81" t="n">
        <v>2020</v>
      </c>
      <c r="F81" t="inlineStr">
        <is>
          <t>SWAN VALLEY WEST</t>
        </is>
      </c>
      <c r="G81" t="n">
        <v>66.5</v>
      </c>
    </row>
    <row r="82">
      <c r="A82" t="n">
        <v>2025</v>
      </c>
      <c r="B82" t="inlineStr">
        <is>
          <t>OAKVIEW</t>
        </is>
      </c>
      <c r="C82" t="n">
        <v>72.40000000000001</v>
      </c>
      <c r="E82" t="n">
        <v>2020</v>
      </c>
      <c r="F82" t="inlineStr">
        <is>
          <t>TACHE</t>
        </is>
      </c>
      <c r="G82" t="n">
        <v>67.8</v>
      </c>
    </row>
    <row r="83">
      <c r="A83" t="n">
        <v>2025</v>
      </c>
      <c r="B83" t="inlineStr">
        <is>
          <t>PEMBINA</t>
        </is>
      </c>
      <c r="C83" t="n">
        <v>88</v>
      </c>
      <c r="E83" t="n">
        <v>2020</v>
      </c>
      <c r="F83" t="inlineStr">
        <is>
          <t>THOMPSON</t>
        </is>
      </c>
      <c r="G83" t="n">
        <v>66.09999999999999</v>
      </c>
    </row>
    <row r="84">
      <c r="A84" t="n">
        <v>2025</v>
      </c>
      <c r="B84" t="inlineStr">
        <is>
          <t>PIPESTONE</t>
        </is>
      </c>
      <c r="C84" t="n">
        <v>65.40000000000001</v>
      </c>
      <c r="E84" t="n">
        <v>2020</v>
      </c>
      <c r="F84" t="inlineStr">
        <is>
          <t>TWO BORDERS</t>
        </is>
      </c>
      <c r="G84" t="n">
        <v>58.8</v>
      </c>
    </row>
    <row r="85">
      <c r="A85" t="n">
        <v>2025</v>
      </c>
      <c r="B85" t="inlineStr">
        <is>
          <t>PORTAGE LA PRAIRIE</t>
        </is>
      </c>
      <c r="C85" t="n">
        <v>81.40000000000001</v>
      </c>
      <c r="E85" t="n">
        <v>2020</v>
      </c>
      <c r="F85" t="inlineStr">
        <is>
          <t>UNORG TERRITORY</t>
        </is>
      </c>
      <c r="G85" t="n">
        <v>59.5</v>
      </c>
    </row>
    <row r="86">
      <c r="A86" t="n">
        <v>2025</v>
      </c>
      <c r="B86" t="inlineStr">
        <is>
          <t>PRAIRIE LAKES</t>
        </is>
      </c>
      <c r="C86" t="n">
        <v>64.7</v>
      </c>
      <c r="E86" t="n">
        <v>2020</v>
      </c>
      <c r="F86" t="inlineStr">
        <is>
          <t>VICTORIA</t>
        </is>
      </c>
      <c r="G86" t="n">
        <v>67.59999999999999</v>
      </c>
    </row>
    <row r="87">
      <c r="A87" t="n">
        <v>2025</v>
      </c>
      <c r="B87" t="inlineStr">
        <is>
          <t>PRAIRIE VIEW</t>
        </is>
      </c>
      <c r="C87" t="n">
        <v>66.8</v>
      </c>
      <c r="E87" t="n">
        <v>2020</v>
      </c>
      <c r="F87" t="inlineStr">
        <is>
          <t>WALLACE-WOODWORTH</t>
        </is>
      </c>
      <c r="G87" t="n">
        <v>65.2</v>
      </c>
    </row>
    <row r="88">
      <c r="A88" t="n">
        <v>2025</v>
      </c>
      <c r="B88" t="inlineStr">
        <is>
          <t>RHINELAND</t>
        </is>
      </c>
      <c r="C88" t="n">
        <v>80.09999999999999</v>
      </c>
      <c r="E88" t="n">
        <v>2020</v>
      </c>
      <c r="F88" t="inlineStr">
        <is>
          <t>WEST INTERLAKE</t>
        </is>
      </c>
      <c r="G88" t="n">
        <v>43.4</v>
      </c>
    </row>
    <row r="89">
      <c r="A89" t="n">
        <v>2025</v>
      </c>
      <c r="B89" t="inlineStr">
        <is>
          <t>RIDING MOUNTAIN WEST</t>
        </is>
      </c>
      <c r="C89" t="n">
        <v>77.7</v>
      </c>
      <c r="E89" t="n">
        <v>2020</v>
      </c>
      <c r="F89" t="inlineStr">
        <is>
          <t>WEST ST. PAUL</t>
        </is>
      </c>
      <c r="G89" t="n">
        <v>53.9</v>
      </c>
    </row>
    <row r="90">
      <c r="A90" t="n">
        <v>2025</v>
      </c>
      <c r="B90" t="inlineStr">
        <is>
          <t>RITCHOT</t>
        </is>
      </c>
      <c r="C90" t="n">
        <v>76.59999999999999</v>
      </c>
      <c r="E90" t="n">
        <v>2020</v>
      </c>
      <c r="F90" t="inlineStr">
        <is>
          <t>WESTLAKE-GLADSTONE</t>
        </is>
      </c>
      <c r="G90" t="n">
        <v>65.5</v>
      </c>
    </row>
    <row r="91">
      <c r="A91" t="n">
        <v>2025</v>
      </c>
      <c r="B91" t="inlineStr">
        <is>
          <t>RIVERDALE</t>
        </is>
      </c>
      <c r="C91" t="n">
        <v>73.8</v>
      </c>
      <c r="E91" t="n">
        <v>2020</v>
      </c>
      <c r="F91" t="inlineStr">
        <is>
          <t>WHITEHEAD</t>
        </is>
      </c>
      <c r="G91" t="n">
        <v>54.8</v>
      </c>
    </row>
    <row r="92">
      <c r="A92" t="n">
        <v>2025</v>
      </c>
      <c r="B92" t="inlineStr">
        <is>
          <t>ROCKWOOD</t>
        </is>
      </c>
      <c r="C92" t="n">
        <v>59.1</v>
      </c>
      <c r="E92" t="n">
        <v>2020</v>
      </c>
      <c r="F92" t="inlineStr">
        <is>
          <t>WHITEMOUTH</t>
        </is>
      </c>
      <c r="G92" t="n">
        <v>54</v>
      </c>
    </row>
    <row r="93">
      <c r="A93" t="n">
        <v>2025</v>
      </c>
      <c r="B93" t="inlineStr">
        <is>
          <t>ROLAND</t>
        </is>
      </c>
      <c r="C93" t="n">
        <v>88.59999999999999</v>
      </c>
      <c r="E93" t="n">
        <v>2020</v>
      </c>
      <c r="F93" t="inlineStr">
        <is>
          <t>WINNIPEG</t>
        </is>
      </c>
      <c r="G93" t="n">
        <v>71.40000000000001</v>
      </c>
    </row>
    <row r="94">
      <c r="A94" t="n">
        <v>2025</v>
      </c>
      <c r="B94" t="inlineStr">
        <is>
          <t>ROSSBURN</t>
        </is>
      </c>
      <c r="C94" t="n">
        <v>75.90000000000001</v>
      </c>
      <c r="E94" t="n">
        <v>2020</v>
      </c>
      <c r="F94" t="inlineStr">
        <is>
          <t>WOODLANDS</t>
        </is>
      </c>
      <c r="G94" t="n">
        <v>61.2</v>
      </c>
    </row>
    <row r="95">
      <c r="A95" t="n">
        <v>2025</v>
      </c>
      <c r="B95" t="inlineStr">
        <is>
          <t>RUSSELL-BINSCARTH</t>
        </is>
      </c>
      <c r="C95" t="n">
        <v>79.8</v>
      </c>
      <c r="E95" t="n">
        <v>2020</v>
      </c>
      <c r="F95" t="inlineStr">
        <is>
          <t>YELLOWHEAD</t>
        </is>
      </c>
      <c r="G95" t="n">
        <v>59.2</v>
      </c>
    </row>
    <row r="96">
      <c r="A96" t="n">
        <v>2025</v>
      </c>
      <c r="B96" t="inlineStr">
        <is>
          <t>SOURIS-GLENWOOD</t>
        </is>
      </c>
      <c r="C96" t="n">
        <v>55.6</v>
      </c>
      <c r="E96" t="n">
        <v>2021</v>
      </c>
      <c r="F96" t="inlineStr">
        <is>
          <t>ALONSA</t>
        </is>
      </c>
      <c r="G96" t="n">
        <v>34.6</v>
      </c>
    </row>
    <row r="97">
      <c r="A97" t="n">
        <v>2025</v>
      </c>
      <c r="B97" t="inlineStr">
        <is>
          <t>SPRINGFIELD</t>
        </is>
      </c>
      <c r="C97" t="n">
        <v>83.40000000000001</v>
      </c>
      <c r="E97" t="n">
        <v>2021</v>
      </c>
      <c r="F97" t="inlineStr">
        <is>
          <t>ARGYLE</t>
        </is>
      </c>
      <c r="G97" t="n">
        <v>46.8</v>
      </c>
    </row>
    <row r="98">
      <c r="A98" t="n">
        <v>2025</v>
      </c>
      <c r="B98" t="inlineStr">
        <is>
          <t>ST. ANDREWS</t>
        </is>
      </c>
      <c r="C98" t="n">
        <v>49.8</v>
      </c>
      <c r="E98" t="n">
        <v>2021</v>
      </c>
      <c r="F98" t="inlineStr">
        <is>
          <t>ARMSTRONG</t>
        </is>
      </c>
      <c r="G98" t="n">
        <v>20.7</v>
      </c>
    </row>
    <row r="99">
      <c r="A99" t="n">
        <v>2025</v>
      </c>
      <c r="B99" t="inlineStr">
        <is>
          <t>ST. CLEMENTS</t>
        </is>
      </c>
      <c r="C99" t="n">
        <v>88.8</v>
      </c>
      <c r="E99" t="n">
        <v>2021</v>
      </c>
      <c r="F99" t="inlineStr">
        <is>
          <t>BIFROST-RIVERTON</t>
        </is>
      </c>
      <c r="G99" t="n">
        <v>31.4</v>
      </c>
    </row>
    <row r="100">
      <c r="A100" t="n">
        <v>2025</v>
      </c>
      <c r="B100" t="inlineStr">
        <is>
          <t>ST. FRANCIS XAVIER</t>
        </is>
      </c>
      <c r="C100" t="n">
        <v>76.59999999999999</v>
      </c>
      <c r="E100" t="n">
        <v>2021</v>
      </c>
      <c r="F100" t="inlineStr">
        <is>
          <t>BOISSEVAIN-MORTON</t>
        </is>
      </c>
      <c r="G100" t="n">
        <v>50.7</v>
      </c>
    </row>
    <row r="101">
      <c r="A101" t="n">
        <v>2025</v>
      </c>
      <c r="B101" t="inlineStr">
        <is>
          <t>STANLEY</t>
        </is>
      </c>
      <c r="C101" t="n">
        <v>78.8</v>
      </c>
      <c r="E101" t="n">
        <v>2021</v>
      </c>
      <c r="F101" t="inlineStr">
        <is>
          <t>BRENDA-WASKADA</t>
        </is>
      </c>
      <c r="G101" t="n">
        <v>48.9</v>
      </c>
    </row>
    <row r="102">
      <c r="A102" t="n">
        <v>2025</v>
      </c>
      <c r="B102" t="inlineStr">
        <is>
          <t>STE. ROSE</t>
        </is>
      </c>
      <c r="C102" t="n">
        <v>71.90000000000001</v>
      </c>
      <c r="E102" t="n">
        <v>2021</v>
      </c>
      <c r="F102" t="inlineStr">
        <is>
          <t>BROKENHEAD</t>
        </is>
      </c>
      <c r="G102" t="n">
        <v>61.3</v>
      </c>
    </row>
    <row r="103">
      <c r="A103" t="n">
        <v>2025</v>
      </c>
      <c r="B103" t="inlineStr">
        <is>
          <t>SWAN VALLEY WEST</t>
        </is>
      </c>
      <c r="C103" t="n">
        <v>59.2</v>
      </c>
      <c r="E103" t="n">
        <v>2021</v>
      </c>
      <c r="F103" t="inlineStr">
        <is>
          <t>CARTIER</t>
        </is>
      </c>
      <c r="G103" t="n">
        <v>52.4</v>
      </c>
    </row>
    <row r="104">
      <c r="A104" t="n">
        <v>2025</v>
      </c>
      <c r="B104" t="inlineStr">
        <is>
          <t>TACHE</t>
        </is>
      </c>
      <c r="C104" t="n">
        <v>74.8</v>
      </c>
      <c r="E104" t="n">
        <v>2021</v>
      </c>
      <c r="F104" t="inlineStr">
        <is>
          <t>CARTWRIGHT-ROBLIN</t>
        </is>
      </c>
      <c r="G104" t="n">
        <v>53.1</v>
      </c>
    </row>
    <row r="105">
      <c r="A105" t="n">
        <v>2025</v>
      </c>
      <c r="B105" t="inlineStr">
        <is>
          <t>THOMPSON</t>
        </is>
      </c>
      <c r="C105" t="n">
        <v>86.2</v>
      </c>
      <c r="E105" t="n">
        <v>2021</v>
      </c>
      <c r="F105" t="inlineStr">
        <is>
          <t>CLANWILLIAM-ERICKSON</t>
        </is>
      </c>
      <c r="G105" t="n">
        <v>64.8</v>
      </c>
    </row>
    <row r="106">
      <c r="A106" t="n">
        <v>2025</v>
      </c>
      <c r="B106" t="inlineStr">
        <is>
          <t>TWO BORDERS</t>
        </is>
      </c>
      <c r="C106" t="n">
        <v>67.09999999999999</v>
      </c>
      <c r="E106" t="n">
        <v>2021</v>
      </c>
      <c r="F106" t="inlineStr">
        <is>
          <t>CORNWALLIS</t>
        </is>
      </c>
      <c r="G106" t="n">
        <v>55.4</v>
      </c>
    </row>
    <row r="107">
      <c r="A107" t="n">
        <v>2025</v>
      </c>
      <c r="B107" t="inlineStr">
        <is>
          <t>VICTORIA</t>
        </is>
      </c>
      <c r="C107" t="n">
        <v>77.40000000000001</v>
      </c>
      <c r="E107" t="n">
        <v>2021</v>
      </c>
      <c r="F107" t="inlineStr">
        <is>
          <t>DAUPHIN</t>
        </is>
      </c>
      <c r="G107" t="n">
        <v>47.7</v>
      </c>
    </row>
    <row r="108">
      <c r="A108" t="n">
        <v>2025</v>
      </c>
      <c r="B108" t="inlineStr">
        <is>
          <t>WALLACE-WOODWORTH</t>
        </is>
      </c>
      <c r="C108" t="n">
        <v>72.09999999999999</v>
      </c>
      <c r="E108" t="n">
        <v>2021</v>
      </c>
      <c r="F108" t="inlineStr">
        <is>
          <t>DELORAINE-WINCHESTER</t>
        </is>
      </c>
      <c r="G108" t="n">
        <v>53.3</v>
      </c>
    </row>
    <row r="109">
      <c r="A109" t="n">
        <v>2025</v>
      </c>
      <c r="B109" t="inlineStr">
        <is>
          <t>YELLOWHEAD</t>
        </is>
      </c>
      <c r="C109" t="n">
        <v>74</v>
      </c>
      <c r="E109" t="n">
        <v>2021</v>
      </c>
      <c r="F109" t="inlineStr">
        <is>
          <t>DESALABERRY</t>
        </is>
      </c>
      <c r="G109" t="n">
        <v>60.8</v>
      </c>
    </row>
    <row r="110">
      <c r="E110" t="n">
        <v>2021</v>
      </c>
      <c r="F110" t="inlineStr">
        <is>
          <t>DUFFERIN</t>
        </is>
      </c>
      <c r="G110" t="n">
        <v>39.7</v>
      </c>
    </row>
    <row r="111">
      <c r="E111" t="n">
        <v>2021</v>
      </c>
      <c r="F111" t="inlineStr">
        <is>
          <t>ELLICE-ARCHIE</t>
        </is>
      </c>
      <c r="G111" t="n">
        <v>45.1</v>
      </c>
    </row>
    <row r="112">
      <c r="E112" t="n">
        <v>2021</v>
      </c>
      <c r="F112" t="inlineStr">
        <is>
          <t>ELTON</t>
        </is>
      </c>
      <c r="G112" t="n">
        <v>64.09999999999999</v>
      </c>
    </row>
    <row r="113">
      <c r="E113" t="n">
        <v>2021</v>
      </c>
      <c r="F113" t="inlineStr">
        <is>
          <t>EMERSON-FRANKLIN</t>
        </is>
      </c>
      <c r="G113" t="n">
        <v>65.09999999999999</v>
      </c>
    </row>
    <row r="114">
      <c r="E114" t="n">
        <v>2021</v>
      </c>
      <c r="F114" t="inlineStr">
        <is>
          <t>ETHELBERT</t>
        </is>
      </c>
      <c r="G114" t="n">
        <v>45.5</v>
      </c>
    </row>
    <row r="115">
      <c r="E115" t="n">
        <v>2021</v>
      </c>
      <c r="F115" t="inlineStr">
        <is>
          <t>FISHER</t>
        </is>
      </c>
      <c r="G115" t="n">
        <v>27.9</v>
      </c>
    </row>
    <row r="116">
      <c r="E116" t="n">
        <v>2021</v>
      </c>
      <c r="F116" t="inlineStr">
        <is>
          <t>GILBERT PLAINS</t>
        </is>
      </c>
      <c r="G116" t="n">
        <v>51.5</v>
      </c>
    </row>
    <row r="117">
      <c r="E117" t="n">
        <v>2021</v>
      </c>
      <c r="F117" t="inlineStr">
        <is>
          <t>GIMLI</t>
        </is>
      </c>
      <c r="G117" t="n">
        <v>44.5</v>
      </c>
    </row>
    <row r="118">
      <c r="E118" t="n">
        <v>2021</v>
      </c>
      <c r="F118" t="inlineStr">
        <is>
          <t>GLENBORO-SOUTH CYPRESS</t>
        </is>
      </c>
      <c r="G118" t="n">
        <v>42.8</v>
      </c>
    </row>
    <row r="119">
      <c r="E119" t="n">
        <v>2021</v>
      </c>
      <c r="F119" t="inlineStr">
        <is>
          <t>GLENELLA-LANSDOWNE</t>
        </is>
      </c>
      <c r="G119" t="n">
        <v>36.6</v>
      </c>
    </row>
    <row r="120">
      <c r="E120" t="n">
        <v>2021</v>
      </c>
      <c r="F120" t="inlineStr">
        <is>
          <t>GRAHAMDALE</t>
        </is>
      </c>
      <c r="G120" t="n">
        <v>14.3</v>
      </c>
    </row>
    <row r="121">
      <c r="E121" t="n">
        <v>2021</v>
      </c>
      <c r="F121" t="inlineStr">
        <is>
          <t>GRANDVIEW</t>
        </is>
      </c>
      <c r="G121" t="n">
        <v>56.7</v>
      </c>
    </row>
    <row r="122">
      <c r="E122" t="n">
        <v>2021</v>
      </c>
      <c r="F122" t="inlineStr">
        <is>
          <t>GRASSLAND</t>
        </is>
      </c>
      <c r="G122" t="n">
        <v>48.1</v>
      </c>
    </row>
    <row r="123">
      <c r="E123" t="n">
        <v>2021</v>
      </c>
      <c r="F123" t="inlineStr">
        <is>
          <t>GREY</t>
        </is>
      </c>
      <c r="G123" t="n">
        <v>45.7</v>
      </c>
    </row>
    <row r="124">
      <c r="E124" t="n">
        <v>2021</v>
      </c>
      <c r="F124" t="inlineStr">
        <is>
          <t>HAMIOTA</t>
        </is>
      </c>
      <c r="G124" t="n">
        <v>54.2</v>
      </c>
    </row>
    <row r="125">
      <c r="E125" t="n">
        <v>2021</v>
      </c>
      <c r="F125" t="inlineStr">
        <is>
          <t>HANOVER</t>
        </is>
      </c>
      <c r="G125" t="n">
        <v>64.3</v>
      </c>
    </row>
    <row r="126">
      <c r="E126" t="n">
        <v>2021</v>
      </c>
      <c r="F126" t="inlineStr">
        <is>
          <t>HARRISON PARK</t>
        </is>
      </c>
      <c r="G126" t="n">
        <v>53.7</v>
      </c>
    </row>
    <row r="127">
      <c r="E127" t="n">
        <v>2021</v>
      </c>
      <c r="F127" t="inlineStr">
        <is>
          <t>HEADINGLEY</t>
        </is>
      </c>
      <c r="G127" t="n">
        <v>47.1</v>
      </c>
    </row>
    <row r="128">
      <c r="E128" t="n">
        <v>2021</v>
      </c>
      <c r="F128" t="inlineStr">
        <is>
          <t>HILLSBURG-ROBLIN-SHELL RIVER</t>
        </is>
      </c>
      <c r="G128" t="n">
        <v>52</v>
      </c>
    </row>
    <row r="129">
      <c r="E129" t="n">
        <v>2021</v>
      </c>
      <c r="F129" t="inlineStr">
        <is>
          <t>KILLARNEY-TURTLE MTN</t>
        </is>
      </c>
      <c r="G129" t="n">
        <v>47.7</v>
      </c>
    </row>
    <row r="130">
      <c r="E130" t="n">
        <v>2021</v>
      </c>
      <c r="F130" t="inlineStr">
        <is>
          <t>LAC DU BONNET</t>
        </is>
      </c>
      <c r="G130" t="n">
        <v>72.8</v>
      </c>
    </row>
    <row r="131">
      <c r="E131" t="n">
        <v>2021</v>
      </c>
      <c r="F131" t="inlineStr">
        <is>
          <t>LAKESHORE</t>
        </is>
      </c>
      <c r="G131" t="n">
        <v>44</v>
      </c>
    </row>
    <row r="132">
      <c r="E132" t="n">
        <v>2021</v>
      </c>
      <c r="F132" t="inlineStr">
        <is>
          <t>LORNE</t>
        </is>
      </c>
      <c r="G132" t="n">
        <v>62.1</v>
      </c>
    </row>
    <row r="133">
      <c r="E133" t="n">
        <v>2021</v>
      </c>
      <c r="F133" t="inlineStr">
        <is>
          <t>LOUISE</t>
        </is>
      </c>
      <c r="G133" t="n">
        <v>61.5</v>
      </c>
    </row>
    <row r="134">
      <c r="E134" t="n">
        <v>2021</v>
      </c>
      <c r="F134" t="inlineStr">
        <is>
          <t>MACDONALD</t>
        </is>
      </c>
      <c r="G134" t="n">
        <v>35.5</v>
      </c>
    </row>
    <row r="135">
      <c r="E135" t="n">
        <v>2021</v>
      </c>
      <c r="F135" t="inlineStr">
        <is>
          <t>MCCREARY</t>
        </is>
      </c>
      <c r="G135" t="n">
        <v>39.7</v>
      </c>
    </row>
    <row r="136">
      <c r="E136" t="n">
        <v>2021</v>
      </c>
      <c r="F136" t="inlineStr">
        <is>
          <t>MINITONAS-BOWSMAN</t>
        </is>
      </c>
      <c r="G136" t="n">
        <v>61.6</v>
      </c>
    </row>
    <row r="137">
      <c r="E137" t="n">
        <v>2021</v>
      </c>
      <c r="F137" t="inlineStr">
        <is>
          <t>MINTO-ODANAH</t>
        </is>
      </c>
      <c r="G137" t="n">
        <v>59.2</v>
      </c>
    </row>
    <row r="138">
      <c r="E138" t="n">
        <v>2021</v>
      </c>
      <c r="F138" t="inlineStr">
        <is>
          <t>MONTCALM</t>
        </is>
      </c>
      <c r="G138" t="n">
        <v>66.3</v>
      </c>
    </row>
    <row r="139">
      <c r="E139" t="n">
        <v>2021</v>
      </c>
      <c r="F139" t="inlineStr">
        <is>
          <t>MORRIS</t>
        </is>
      </c>
      <c r="G139" t="n">
        <v>52.2</v>
      </c>
    </row>
    <row r="140">
      <c r="E140" t="n">
        <v>2021</v>
      </c>
      <c r="F140" t="inlineStr">
        <is>
          <t>MOSSEY RIVER</t>
        </is>
      </c>
      <c r="G140" t="n">
        <v>54.1</v>
      </c>
    </row>
    <row r="141">
      <c r="E141" t="n">
        <v>2021</v>
      </c>
      <c r="F141" t="inlineStr">
        <is>
          <t>MOUNTAIN</t>
        </is>
      </c>
      <c r="G141" t="n">
        <v>50.9</v>
      </c>
    </row>
    <row r="142">
      <c r="E142" t="n">
        <v>2021</v>
      </c>
      <c r="F142" t="inlineStr">
        <is>
          <t>NORFOLK-TREHERNE</t>
        </is>
      </c>
      <c r="G142" t="n">
        <v>62.2</v>
      </c>
    </row>
    <row r="143">
      <c r="E143" t="n">
        <v>2021</v>
      </c>
      <c r="F143" t="inlineStr">
        <is>
          <t>NORTH CYPRESS-LANGFORD</t>
        </is>
      </c>
      <c r="G143" t="n">
        <v>48.7</v>
      </c>
    </row>
    <row r="144">
      <c r="E144" t="n">
        <v>2021</v>
      </c>
      <c r="F144" t="inlineStr">
        <is>
          <t>NORTH NORFOLK</t>
        </is>
      </c>
      <c r="G144" t="n">
        <v>43.2</v>
      </c>
    </row>
    <row r="145">
      <c r="E145" t="n">
        <v>2021</v>
      </c>
      <c r="F145" t="inlineStr">
        <is>
          <t>OAKLAND-WAWANESA</t>
        </is>
      </c>
      <c r="G145" t="n">
        <v>58.2</v>
      </c>
    </row>
    <row r="146">
      <c r="E146" t="n">
        <v>2021</v>
      </c>
      <c r="F146" t="inlineStr">
        <is>
          <t>OAKVIEW</t>
        </is>
      </c>
      <c r="G146" t="n">
        <v>60.3</v>
      </c>
    </row>
    <row r="147">
      <c r="E147" t="n">
        <v>2021</v>
      </c>
      <c r="F147" t="inlineStr">
        <is>
          <t>PEMBINA</t>
        </is>
      </c>
      <c r="G147" t="n">
        <v>52.2</v>
      </c>
    </row>
    <row r="148">
      <c r="E148" t="n">
        <v>2021</v>
      </c>
      <c r="F148" t="inlineStr">
        <is>
          <t>PINEY</t>
        </is>
      </c>
      <c r="G148" t="n">
        <v>58.1</v>
      </c>
    </row>
    <row r="149">
      <c r="E149" t="n">
        <v>2021</v>
      </c>
      <c r="F149" t="inlineStr">
        <is>
          <t>PIPESTONE</t>
        </is>
      </c>
      <c r="G149" t="n">
        <v>41.8</v>
      </c>
    </row>
    <row r="150">
      <c r="E150" t="n">
        <v>2021</v>
      </c>
      <c r="F150" t="inlineStr">
        <is>
          <t>PORTAGE LA PRAIRIE</t>
        </is>
      </c>
      <c r="G150" t="n">
        <v>55.5</v>
      </c>
    </row>
    <row r="151">
      <c r="E151" t="n">
        <v>2021</v>
      </c>
      <c r="F151" t="inlineStr">
        <is>
          <t>PRAIRIE LAKES</t>
        </is>
      </c>
      <c r="G151" t="n">
        <v>55.8</v>
      </c>
    </row>
    <row r="152">
      <c r="E152" t="n">
        <v>2021</v>
      </c>
      <c r="F152" t="inlineStr">
        <is>
          <t>PRAIRIE VIEW</t>
        </is>
      </c>
      <c r="G152" t="n">
        <v>46</v>
      </c>
    </row>
    <row r="153">
      <c r="E153" t="n">
        <v>2021</v>
      </c>
      <c r="F153" t="inlineStr">
        <is>
          <t>RHINELAND</t>
        </is>
      </c>
      <c r="G153" t="n">
        <v>57</v>
      </c>
    </row>
    <row r="154">
      <c r="E154" t="n">
        <v>2021</v>
      </c>
      <c r="F154" t="inlineStr">
        <is>
          <t>RIDING MOUNTAIN WEST</t>
        </is>
      </c>
      <c r="G154" t="n">
        <v>61</v>
      </c>
    </row>
    <row r="155">
      <c r="E155" t="n">
        <v>2021</v>
      </c>
      <c r="F155" t="inlineStr">
        <is>
          <t>RITCHOT</t>
        </is>
      </c>
      <c r="G155" t="n">
        <v>51.4</v>
      </c>
    </row>
    <row r="156">
      <c r="E156" t="n">
        <v>2021</v>
      </c>
      <c r="F156" t="inlineStr">
        <is>
          <t>RIVERDALE</t>
        </is>
      </c>
      <c r="G156" t="n">
        <v>51.6</v>
      </c>
    </row>
    <row r="157">
      <c r="E157" t="n">
        <v>2021</v>
      </c>
      <c r="F157" t="inlineStr">
        <is>
          <t>ROCKWOOD</t>
        </is>
      </c>
      <c r="G157" t="n">
        <v>33.3</v>
      </c>
    </row>
    <row r="158">
      <c r="E158" t="n">
        <v>2021</v>
      </c>
      <c r="F158" t="inlineStr">
        <is>
          <t>ROLAND</t>
        </is>
      </c>
      <c r="G158" t="n">
        <v>38.7</v>
      </c>
    </row>
    <row r="159">
      <c r="E159" t="n">
        <v>2021</v>
      </c>
      <c r="F159" t="inlineStr">
        <is>
          <t>ROSEDALE</t>
        </is>
      </c>
      <c r="G159" t="n">
        <v>44.2</v>
      </c>
    </row>
    <row r="160">
      <c r="E160" t="n">
        <v>2021</v>
      </c>
      <c r="F160" t="inlineStr">
        <is>
          <t>ROSSBURN</t>
        </is>
      </c>
      <c r="G160" t="n">
        <v>60.1</v>
      </c>
    </row>
    <row r="161">
      <c r="E161" t="n">
        <v>2021</v>
      </c>
      <c r="F161" t="inlineStr">
        <is>
          <t>ROSSER</t>
        </is>
      </c>
      <c r="G161" t="n">
        <v>39.8</v>
      </c>
    </row>
    <row r="162">
      <c r="E162" t="n">
        <v>2021</v>
      </c>
      <c r="F162" t="inlineStr">
        <is>
          <t>RUSSELL-BINSCARTH</t>
        </is>
      </c>
      <c r="G162" t="n">
        <v>61</v>
      </c>
    </row>
    <row r="163">
      <c r="E163" t="n">
        <v>2021</v>
      </c>
      <c r="F163" t="inlineStr">
        <is>
          <t>SIFTON</t>
        </is>
      </c>
      <c r="G163" t="n">
        <v>40.9</v>
      </c>
    </row>
    <row r="164">
      <c r="E164" t="n">
        <v>2021</v>
      </c>
      <c r="F164" t="inlineStr">
        <is>
          <t>SOURIS-GLENWOOD</t>
        </is>
      </c>
      <c r="G164" t="n">
        <v>57.6</v>
      </c>
    </row>
    <row r="165">
      <c r="E165" t="n">
        <v>2021</v>
      </c>
      <c r="F165" t="inlineStr">
        <is>
          <t>SPRINGFIELD</t>
        </is>
      </c>
      <c r="G165" t="n">
        <v>46.5</v>
      </c>
    </row>
    <row r="166">
      <c r="E166" t="n">
        <v>2021</v>
      </c>
      <c r="F166" t="inlineStr">
        <is>
          <t>ST. ANDREWS</t>
        </is>
      </c>
      <c r="G166" t="n">
        <v>46.6</v>
      </c>
    </row>
    <row r="167">
      <c r="E167" t="n">
        <v>2021</v>
      </c>
      <c r="F167" t="inlineStr">
        <is>
          <t>ST. CLEMENTS</t>
        </is>
      </c>
      <c r="G167" t="n">
        <v>54.2</v>
      </c>
    </row>
    <row r="168">
      <c r="E168" t="n">
        <v>2021</v>
      </c>
      <c r="F168" t="inlineStr">
        <is>
          <t>ST. FRANCIS XAVIER</t>
        </is>
      </c>
      <c r="G168" t="n">
        <v>49.9</v>
      </c>
    </row>
    <row r="169">
      <c r="E169" t="n">
        <v>2021</v>
      </c>
      <c r="F169" t="inlineStr">
        <is>
          <t>STANLEY</t>
        </is>
      </c>
      <c r="G169" t="n">
        <v>38.3</v>
      </c>
    </row>
    <row r="170">
      <c r="E170" t="n">
        <v>2021</v>
      </c>
      <c r="F170" t="inlineStr">
        <is>
          <t>STE. ANNE</t>
        </is>
      </c>
      <c r="G170" t="n">
        <v>62.6</v>
      </c>
    </row>
    <row r="171">
      <c r="E171" t="n">
        <v>2021</v>
      </c>
      <c r="F171" t="inlineStr">
        <is>
          <t>STE. ROSE</t>
        </is>
      </c>
      <c r="G171" t="n">
        <v>49.4</v>
      </c>
    </row>
    <row r="172">
      <c r="E172" t="n">
        <v>2021</v>
      </c>
      <c r="F172" t="inlineStr">
        <is>
          <t>SWAN VALLEY WEST</t>
        </is>
      </c>
      <c r="G172" t="n">
        <v>56.7</v>
      </c>
    </row>
    <row r="173">
      <c r="E173" t="n">
        <v>2021</v>
      </c>
      <c r="F173" t="inlineStr">
        <is>
          <t>TACHE</t>
        </is>
      </c>
      <c r="G173" t="n">
        <v>59.1</v>
      </c>
    </row>
    <row r="174">
      <c r="E174" t="n">
        <v>2021</v>
      </c>
      <c r="F174" t="inlineStr">
        <is>
          <t>THOMPSON</t>
        </is>
      </c>
      <c r="G174" t="n">
        <v>40.6</v>
      </c>
    </row>
    <row r="175">
      <c r="E175" t="n">
        <v>2021</v>
      </c>
      <c r="F175" t="inlineStr">
        <is>
          <t>TWO BORDERS</t>
        </is>
      </c>
      <c r="G175" t="n">
        <v>40</v>
      </c>
    </row>
    <row r="176">
      <c r="E176" t="n">
        <v>2021</v>
      </c>
      <c r="F176" t="inlineStr">
        <is>
          <t>VICTORIA</t>
        </is>
      </c>
      <c r="G176" t="n">
        <v>47.1</v>
      </c>
    </row>
    <row r="177">
      <c r="E177" t="n">
        <v>2021</v>
      </c>
      <c r="F177" t="inlineStr">
        <is>
          <t>WALLACE-WOODWORTH</t>
        </is>
      </c>
      <c r="G177" t="n">
        <v>45</v>
      </c>
    </row>
    <row r="178">
      <c r="E178" t="n">
        <v>2021</v>
      </c>
      <c r="F178" t="inlineStr">
        <is>
          <t>WEST INTERLAKE</t>
        </is>
      </c>
      <c r="G178" t="n">
        <v>4.5</v>
      </c>
    </row>
    <row r="179">
      <c r="E179" t="n">
        <v>2021</v>
      </c>
      <c r="F179" t="inlineStr">
        <is>
          <t>WEST ST. PAUL</t>
        </is>
      </c>
      <c r="G179" t="n">
        <v>51.4</v>
      </c>
    </row>
    <row r="180">
      <c r="E180" t="n">
        <v>2021</v>
      </c>
      <c r="F180" t="inlineStr">
        <is>
          <t>WESTLAKE-GLADSTONE</t>
        </is>
      </c>
      <c r="G180" t="n">
        <v>29.5</v>
      </c>
    </row>
    <row r="181">
      <c r="E181" t="n">
        <v>2021</v>
      </c>
      <c r="F181" t="inlineStr">
        <is>
          <t>WHITEHEAD</t>
        </is>
      </c>
      <c r="G181" t="n">
        <v>49.4</v>
      </c>
    </row>
    <row r="182">
      <c r="E182" t="n">
        <v>2021</v>
      </c>
      <c r="F182" t="inlineStr">
        <is>
          <t>WHITEMOUTH</t>
        </is>
      </c>
      <c r="G182" t="n">
        <v>53.8</v>
      </c>
    </row>
    <row r="183">
      <c r="E183" t="n">
        <v>2021</v>
      </c>
      <c r="F183" t="inlineStr">
        <is>
          <t>WINNIPEG</t>
        </is>
      </c>
      <c r="G183" t="n">
        <v>38.5</v>
      </c>
    </row>
    <row r="184">
      <c r="E184" t="n">
        <v>2021</v>
      </c>
      <c r="F184" t="inlineStr">
        <is>
          <t>WOODLANDS</t>
        </is>
      </c>
      <c r="G184" t="n">
        <v>38.4</v>
      </c>
    </row>
    <row r="185">
      <c r="E185" t="n">
        <v>2021</v>
      </c>
      <c r="F185" t="inlineStr">
        <is>
          <t>YELLOWHEAD</t>
        </is>
      </c>
      <c r="G185" t="n">
        <v>53.8</v>
      </c>
    </row>
    <row r="186">
      <c r="E186" t="n">
        <v>2022</v>
      </c>
      <c r="F186" t="inlineStr">
        <is>
          <t>ALEXANDER</t>
        </is>
      </c>
      <c r="G186" t="n">
        <v>53.4</v>
      </c>
    </row>
    <row r="187">
      <c r="E187" t="n">
        <v>2022</v>
      </c>
      <c r="F187" t="inlineStr">
        <is>
          <t>ALONSA</t>
        </is>
      </c>
      <c r="G187" t="n">
        <v>49.6</v>
      </c>
    </row>
    <row r="188">
      <c r="E188" t="n">
        <v>2022</v>
      </c>
      <c r="F188" t="inlineStr">
        <is>
          <t>ARGYLE</t>
        </is>
      </c>
      <c r="G188" t="n">
        <v>59.3</v>
      </c>
    </row>
    <row r="189">
      <c r="E189" t="n">
        <v>2022</v>
      </c>
      <c r="F189" t="inlineStr">
        <is>
          <t>BIFROST-RIVERTON</t>
        </is>
      </c>
      <c r="G189" t="n">
        <v>40.5</v>
      </c>
    </row>
    <row r="190">
      <c r="E190" t="n">
        <v>2022</v>
      </c>
      <c r="F190" t="inlineStr">
        <is>
          <t>BOISSEVAIN-MORTON</t>
        </is>
      </c>
      <c r="G190" t="n">
        <v>62.3</v>
      </c>
    </row>
    <row r="191">
      <c r="E191" t="n">
        <v>2022</v>
      </c>
      <c r="F191" t="inlineStr">
        <is>
          <t>BRENDA-WASKADA</t>
        </is>
      </c>
      <c r="G191" t="n">
        <v>59.4</v>
      </c>
    </row>
    <row r="192">
      <c r="E192" t="n">
        <v>2022</v>
      </c>
      <c r="F192" t="inlineStr">
        <is>
          <t>BROKENHEAD</t>
        </is>
      </c>
      <c r="G192" t="n">
        <v>62.9</v>
      </c>
    </row>
    <row r="193">
      <c r="E193" t="n">
        <v>2022</v>
      </c>
      <c r="F193" t="inlineStr">
        <is>
          <t>CARTIER</t>
        </is>
      </c>
      <c r="G193" t="n">
        <v>63.2</v>
      </c>
    </row>
    <row r="194">
      <c r="E194" t="n">
        <v>2022</v>
      </c>
      <c r="F194" t="inlineStr">
        <is>
          <t>CARTWRIGHT-ROBLIN</t>
        </is>
      </c>
      <c r="G194" t="n">
        <v>56.4</v>
      </c>
    </row>
    <row r="195">
      <c r="E195" t="n">
        <v>2022</v>
      </c>
      <c r="F195" t="inlineStr">
        <is>
          <t>CLANWILLIAM-ERICKSON</t>
        </is>
      </c>
      <c r="G195" t="n">
        <v>56.6</v>
      </c>
    </row>
    <row r="196">
      <c r="E196" t="n">
        <v>2022</v>
      </c>
      <c r="F196" t="inlineStr">
        <is>
          <t>CORNWALLIS</t>
        </is>
      </c>
      <c r="G196" t="n">
        <v>54.2</v>
      </c>
    </row>
    <row r="197">
      <c r="E197" t="n">
        <v>2022</v>
      </c>
      <c r="F197" t="inlineStr">
        <is>
          <t>DAUPHIN</t>
        </is>
      </c>
      <c r="G197" t="n">
        <v>51.5</v>
      </c>
    </row>
    <row r="198">
      <c r="E198" t="n">
        <v>2022</v>
      </c>
      <c r="F198" t="inlineStr">
        <is>
          <t>DELORAINE-WINCHESTER</t>
        </is>
      </c>
      <c r="G198" t="n">
        <v>50.4</v>
      </c>
    </row>
    <row r="199">
      <c r="E199" t="n">
        <v>2022</v>
      </c>
      <c r="F199" t="inlineStr">
        <is>
          <t>DESALABERRY</t>
        </is>
      </c>
      <c r="G199" t="n">
        <v>66</v>
      </c>
    </row>
    <row r="200">
      <c r="E200" t="n">
        <v>2022</v>
      </c>
      <c r="F200" t="inlineStr">
        <is>
          <t>DUFFERIN</t>
        </is>
      </c>
      <c r="G200" t="n">
        <v>66.59999999999999</v>
      </c>
    </row>
    <row r="201">
      <c r="E201" t="n">
        <v>2022</v>
      </c>
      <c r="F201" t="inlineStr">
        <is>
          <t>ELLICE-ARCHIE</t>
        </is>
      </c>
      <c r="G201" t="n">
        <v>50.4</v>
      </c>
    </row>
    <row r="202">
      <c r="E202" t="n">
        <v>2022</v>
      </c>
      <c r="F202" t="inlineStr">
        <is>
          <t>ELTON</t>
        </is>
      </c>
      <c r="G202" t="n">
        <v>60</v>
      </c>
    </row>
    <row r="203">
      <c r="E203" t="n">
        <v>2022</v>
      </c>
      <c r="F203" t="inlineStr">
        <is>
          <t>EMERSON-FRANKLIN</t>
        </is>
      </c>
      <c r="G203" t="n">
        <v>56.7</v>
      </c>
    </row>
    <row r="204">
      <c r="E204" t="n">
        <v>2022</v>
      </c>
      <c r="F204" t="inlineStr">
        <is>
          <t>ETHELBERT</t>
        </is>
      </c>
      <c r="G204" t="n">
        <v>52.6</v>
      </c>
    </row>
    <row r="205">
      <c r="E205" t="n">
        <v>2022</v>
      </c>
      <c r="F205" t="inlineStr">
        <is>
          <t>FISHER</t>
        </is>
      </c>
      <c r="G205" t="n">
        <v>23.4</v>
      </c>
    </row>
    <row r="206">
      <c r="E206" t="n">
        <v>2022</v>
      </c>
      <c r="F206" t="inlineStr">
        <is>
          <t>GILBERT PLAINS</t>
        </is>
      </c>
      <c r="G206" t="n">
        <v>55.3</v>
      </c>
    </row>
    <row r="207">
      <c r="E207" t="n">
        <v>2022</v>
      </c>
      <c r="F207" t="inlineStr">
        <is>
          <t>GIMLI</t>
        </is>
      </c>
      <c r="G207" t="n">
        <v>51.1</v>
      </c>
    </row>
    <row r="208">
      <c r="E208" t="n">
        <v>2022</v>
      </c>
      <c r="F208" t="inlineStr">
        <is>
          <t>GLENBORO-SOUTH CYPRESS</t>
        </is>
      </c>
      <c r="G208" t="n">
        <v>61.6</v>
      </c>
    </row>
    <row r="209">
      <c r="E209" t="n">
        <v>2022</v>
      </c>
      <c r="F209" t="inlineStr">
        <is>
          <t>GLENELLA-LANSDOWNE</t>
        </is>
      </c>
      <c r="G209" t="n">
        <v>49.1</v>
      </c>
    </row>
    <row r="210">
      <c r="E210" t="n">
        <v>2022</v>
      </c>
      <c r="F210" t="inlineStr">
        <is>
          <t>GRANDVIEW</t>
        </is>
      </c>
      <c r="G210" t="n">
        <v>60.4</v>
      </c>
    </row>
    <row r="211">
      <c r="E211" t="n">
        <v>2022</v>
      </c>
      <c r="F211" t="inlineStr">
        <is>
          <t>GRASSLAND</t>
        </is>
      </c>
      <c r="G211" t="n">
        <v>53.7</v>
      </c>
    </row>
    <row r="212">
      <c r="E212" t="n">
        <v>2022</v>
      </c>
      <c r="F212" t="inlineStr">
        <is>
          <t>GREY</t>
        </is>
      </c>
      <c r="G212" t="n">
        <v>61.7</v>
      </c>
    </row>
    <row r="213">
      <c r="E213" t="n">
        <v>2022</v>
      </c>
      <c r="F213" t="inlineStr">
        <is>
          <t>HAMIOTA</t>
        </is>
      </c>
      <c r="G213" t="n">
        <v>73</v>
      </c>
    </row>
    <row r="214">
      <c r="E214" t="n">
        <v>2022</v>
      </c>
      <c r="F214" t="inlineStr">
        <is>
          <t>HANOVER</t>
        </is>
      </c>
      <c r="G214" t="n">
        <v>62.4</v>
      </c>
    </row>
    <row r="215">
      <c r="E215" t="n">
        <v>2022</v>
      </c>
      <c r="F215" t="inlineStr">
        <is>
          <t>HARRISON PARK</t>
        </is>
      </c>
      <c r="G215" t="n">
        <v>50.3</v>
      </c>
    </row>
    <row r="216">
      <c r="E216" t="n">
        <v>2022</v>
      </c>
      <c r="F216" t="inlineStr">
        <is>
          <t>HEADINGLEY</t>
        </is>
      </c>
      <c r="G216" t="n">
        <v>64.5</v>
      </c>
    </row>
    <row r="217">
      <c r="E217" t="n">
        <v>2022</v>
      </c>
      <c r="F217" t="inlineStr">
        <is>
          <t>HILLSBURG-ROBLIN-SHELL RIVER</t>
        </is>
      </c>
      <c r="G217" t="n">
        <v>58.4</v>
      </c>
    </row>
    <row r="218">
      <c r="E218" t="n">
        <v>2022</v>
      </c>
      <c r="F218" t="inlineStr">
        <is>
          <t>KILLARNEY-TURTLE MTN</t>
        </is>
      </c>
      <c r="G218" t="n">
        <v>62.2</v>
      </c>
    </row>
    <row r="219">
      <c r="E219" t="n">
        <v>2022</v>
      </c>
      <c r="F219" t="inlineStr">
        <is>
          <t>LAC DU BONNET</t>
        </is>
      </c>
      <c r="G219" t="n">
        <v>69.2</v>
      </c>
    </row>
    <row r="220">
      <c r="E220" t="n">
        <v>2022</v>
      </c>
      <c r="F220" t="inlineStr">
        <is>
          <t>LAKESHORE</t>
        </is>
      </c>
      <c r="G220" t="n">
        <v>57.1</v>
      </c>
    </row>
    <row r="221">
      <c r="E221" t="n">
        <v>2022</v>
      </c>
      <c r="F221" t="inlineStr">
        <is>
          <t>LORNE</t>
        </is>
      </c>
      <c r="G221" t="n">
        <v>70.3</v>
      </c>
    </row>
    <row r="222">
      <c r="E222" t="n">
        <v>2022</v>
      </c>
      <c r="F222" t="inlineStr">
        <is>
          <t>LOUISE</t>
        </is>
      </c>
      <c r="G222" t="n">
        <v>71.40000000000001</v>
      </c>
    </row>
    <row r="223">
      <c r="E223" t="n">
        <v>2022</v>
      </c>
      <c r="F223" t="inlineStr">
        <is>
          <t>MACDONALD</t>
        </is>
      </c>
      <c r="G223" t="n">
        <v>62.8</v>
      </c>
    </row>
    <row r="224">
      <c r="E224" t="n">
        <v>2022</v>
      </c>
      <c r="F224" t="inlineStr">
        <is>
          <t>MCCREARY</t>
        </is>
      </c>
      <c r="G224" t="n">
        <v>41.1</v>
      </c>
    </row>
    <row r="225">
      <c r="E225" t="n">
        <v>2022</v>
      </c>
      <c r="F225" t="inlineStr">
        <is>
          <t>MINITONAS-BOWSMAN</t>
        </is>
      </c>
      <c r="G225" t="n">
        <v>78.09999999999999</v>
      </c>
    </row>
    <row r="226">
      <c r="E226" t="n">
        <v>2022</v>
      </c>
      <c r="F226" t="inlineStr">
        <is>
          <t>MINTO-ODANAH</t>
        </is>
      </c>
      <c r="G226" t="n">
        <v>56.7</v>
      </c>
    </row>
    <row r="227">
      <c r="E227" t="n">
        <v>2022</v>
      </c>
      <c r="F227" t="inlineStr">
        <is>
          <t>MONTCALM</t>
        </is>
      </c>
      <c r="G227" t="n">
        <v>61.6</v>
      </c>
    </row>
    <row r="228">
      <c r="E228" t="n">
        <v>2022</v>
      </c>
      <c r="F228" t="inlineStr">
        <is>
          <t>MORRIS</t>
        </is>
      </c>
      <c r="G228" t="n">
        <v>61.6</v>
      </c>
    </row>
    <row r="229">
      <c r="E229" t="n">
        <v>2022</v>
      </c>
      <c r="F229" t="inlineStr">
        <is>
          <t>MOSSEY RIVER</t>
        </is>
      </c>
      <c r="G229" t="n">
        <v>51.4</v>
      </c>
    </row>
    <row r="230">
      <c r="E230" t="n">
        <v>2022</v>
      </c>
      <c r="F230" t="inlineStr">
        <is>
          <t>MOUNTAIN</t>
        </is>
      </c>
      <c r="G230" t="n">
        <v>48.8</v>
      </c>
    </row>
    <row r="231">
      <c r="E231" t="n">
        <v>2022</v>
      </c>
      <c r="F231" t="inlineStr">
        <is>
          <t>NORFOLK-TREHERNE</t>
        </is>
      </c>
      <c r="G231" t="n">
        <v>66.59999999999999</v>
      </c>
    </row>
    <row r="232">
      <c r="E232" t="n">
        <v>2022</v>
      </c>
      <c r="F232" t="inlineStr">
        <is>
          <t>NORTH CYPRESS-LANGFORD</t>
        </is>
      </c>
      <c r="G232" t="n">
        <v>58</v>
      </c>
    </row>
    <row r="233">
      <c r="E233" t="n">
        <v>2022</v>
      </c>
      <c r="F233" t="inlineStr">
        <is>
          <t>NORTH NORFOLK</t>
        </is>
      </c>
      <c r="G233" t="n">
        <v>42.5</v>
      </c>
    </row>
    <row r="234">
      <c r="E234" t="n">
        <v>2022</v>
      </c>
      <c r="F234" t="inlineStr">
        <is>
          <t>OAKLAND-WAWANESA</t>
        </is>
      </c>
      <c r="G234" t="n">
        <v>59.5</v>
      </c>
    </row>
    <row r="235">
      <c r="E235" t="n">
        <v>2022</v>
      </c>
      <c r="F235" t="inlineStr">
        <is>
          <t>OAKVIEW</t>
        </is>
      </c>
      <c r="G235" t="n">
        <v>54.4</v>
      </c>
    </row>
    <row r="236">
      <c r="E236" t="n">
        <v>2022</v>
      </c>
      <c r="F236" t="inlineStr">
        <is>
          <t>PEMBINA</t>
        </is>
      </c>
      <c r="G236" t="n">
        <v>69</v>
      </c>
    </row>
    <row r="237">
      <c r="E237" t="n">
        <v>2022</v>
      </c>
      <c r="F237" t="inlineStr">
        <is>
          <t>PINEY</t>
        </is>
      </c>
      <c r="G237" t="n">
        <v>50.1</v>
      </c>
    </row>
    <row r="238">
      <c r="E238" t="n">
        <v>2022</v>
      </c>
      <c r="F238" t="inlineStr">
        <is>
          <t>PIPESTONE</t>
        </is>
      </c>
      <c r="G238" t="n">
        <v>49.4</v>
      </c>
    </row>
    <row r="239">
      <c r="E239" t="n">
        <v>2022</v>
      </c>
      <c r="F239" t="inlineStr">
        <is>
          <t>PORTAGE LA PRAIRIE</t>
        </is>
      </c>
      <c r="G239" t="n">
        <v>63.1</v>
      </c>
    </row>
    <row r="240">
      <c r="E240" t="n">
        <v>2022</v>
      </c>
      <c r="F240" t="inlineStr">
        <is>
          <t>PRAIRIE LAKES</t>
        </is>
      </c>
      <c r="G240" t="n">
        <v>55.9</v>
      </c>
    </row>
    <row r="241">
      <c r="E241" t="n">
        <v>2022</v>
      </c>
      <c r="F241" t="inlineStr">
        <is>
          <t>PRAIRIE VIEW</t>
        </is>
      </c>
      <c r="G241" t="n">
        <v>49.6</v>
      </c>
    </row>
    <row r="242">
      <c r="E242" t="n">
        <v>2022</v>
      </c>
      <c r="F242" t="inlineStr">
        <is>
          <t>RHINELAND</t>
        </is>
      </c>
      <c r="G242" t="n">
        <v>63.3</v>
      </c>
    </row>
    <row r="243">
      <c r="E243" t="n">
        <v>2022</v>
      </c>
      <c r="F243" t="inlineStr">
        <is>
          <t>RIDING MOUNTAIN WEST</t>
        </is>
      </c>
      <c r="G243" t="n">
        <v>61.9</v>
      </c>
    </row>
    <row r="244">
      <c r="E244" t="n">
        <v>2022</v>
      </c>
      <c r="F244" t="inlineStr">
        <is>
          <t>RITCHOT</t>
        </is>
      </c>
      <c r="G244" t="n">
        <v>55.5</v>
      </c>
    </row>
    <row r="245">
      <c r="E245" t="n">
        <v>2022</v>
      </c>
      <c r="F245" t="inlineStr">
        <is>
          <t>RIVERDALE</t>
        </is>
      </c>
      <c r="G245" t="n">
        <v>58.1</v>
      </c>
    </row>
    <row r="246">
      <c r="E246" t="n">
        <v>2022</v>
      </c>
      <c r="F246" t="inlineStr">
        <is>
          <t>ROCKWOOD</t>
        </is>
      </c>
      <c r="G246" t="n">
        <v>56</v>
      </c>
    </row>
    <row r="247">
      <c r="E247" t="n">
        <v>2022</v>
      </c>
      <c r="F247" t="inlineStr">
        <is>
          <t>ROLAND</t>
        </is>
      </c>
      <c r="G247" t="n">
        <v>71.8</v>
      </c>
    </row>
    <row r="248">
      <c r="E248" t="n">
        <v>2022</v>
      </c>
      <c r="F248" t="inlineStr">
        <is>
          <t>ROSEDALE</t>
        </is>
      </c>
      <c r="G248" t="n">
        <v>59.3</v>
      </c>
    </row>
    <row r="249">
      <c r="E249" t="n">
        <v>2022</v>
      </c>
      <c r="F249" t="inlineStr">
        <is>
          <t>ROSSBURN</t>
        </is>
      </c>
      <c r="G249" t="n">
        <v>60.3</v>
      </c>
    </row>
    <row r="250">
      <c r="E250" t="n">
        <v>2022</v>
      </c>
      <c r="F250" t="inlineStr">
        <is>
          <t>ROSSER</t>
        </is>
      </c>
      <c r="G250" t="n">
        <v>64.5</v>
      </c>
    </row>
    <row r="251">
      <c r="E251" t="n">
        <v>2022</v>
      </c>
      <c r="F251" t="inlineStr">
        <is>
          <t>RUSSELL-BINSCARTH</t>
        </is>
      </c>
      <c r="G251" t="n">
        <v>54.8</v>
      </c>
    </row>
    <row r="252">
      <c r="E252" t="n">
        <v>2022</v>
      </c>
      <c r="F252" t="inlineStr">
        <is>
          <t>SIFTON</t>
        </is>
      </c>
      <c r="G252" t="n">
        <v>41.7</v>
      </c>
    </row>
    <row r="253">
      <c r="E253" t="n">
        <v>2022</v>
      </c>
      <c r="F253" t="inlineStr">
        <is>
          <t>SOURIS-GLENWOOD</t>
        </is>
      </c>
      <c r="G253" t="n">
        <v>53.4</v>
      </c>
    </row>
    <row r="254">
      <c r="E254" t="n">
        <v>2022</v>
      </c>
      <c r="F254" t="inlineStr">
        <is>
          <t>SPRINGFIELD</t>
        </is>
      </c>
      <c r="G254" t="n">
        <v>57.7</v>
      </c>
    </row>
    <row r="255">
      <c r="E255" t="n">
        <v>2022</v>
      </c>
      <c r="F255" t="inlineStr">
        <is>
          <t>ST. ANDREWS</t>
        </is>
      </c>
      <c r="G255" t="n">
        <v>61.6</v>
      </c>
    </row>
    <row r="256">
      <c r="E256" t="n">
        <v>2022</v>
      </c>
      <c r="F256" t="inlineStr">
        <is>
          <t>ST. CLEMENTS</t>
        </is>
      </c>
      <c r="G256" t="n">
        <v>61</v>
      </c>
    </row>
    <row r="257">
      <c r="E257" t="n">
        <v>2022</v>
      </c>
      <c r="F257" t="inlineStr">
        <is>
          <t>ST. FRANCIS XAVIER</t>
        </is>
      </c>
      <c r="G257" t="n">
        <v>67.5</v>
      </c>
    </row>
    <row r="258">
      <c r="E258" t="n">
        <v>2022</v>
      </c>
      <c r="F258" t="inlineStr">
        <is>
          <t>STANLEY</t>
        </is>
      </c>
      <c r="G258" t="n">
        <v>64.40000000000001</v>
      </c>
    </row>
    <row r="259">
      <c r="E259" t="n">
        <v>2022</v>
      </c>
      <c r="F259" t="inlineStr">
        <is>
          <t>STE. ANNE</t>
        </is>
      </c>
      <c r="G259" t="n">
        <v>64.40000000000001</v>
      </c>
    </row>
    <row r="260">
      <c r="E260" t="n">
        <v>2022</v>
      </c>
      <c r="F260" t="inlineStr">
        <is>
          <t>STE. ROSE</t>
        </is>
      </c>
      <c r="G260" t="n">
        <v>44.9</v>
      </c>
    </row>
    <row r="261">
      <c r="E261" t="n">
        <v>2022</v>
      </c>
      <c r="F261" t="inlineStr">
        <is>
          <t>SWAN VALLEY WEST</t>
        </is>
      </c>
      <c r="G261" t="n">
        <v>66.5</v>
      </c>
    </row>
    <row r="262">
      <c r="E262" t="n">
        <v>2022</v>
      </c>
      <c r="F262" t="inlineStr">
        <is>
          <t>TACHE</t>
        </is>
      </c>
      <c r="G262" t="n">
        <v>64.5</v>
      </c>
    </row>
    <row r="263">
      <c r="E263" t="n">
        <v>2022</v>
      </c>
      <c r="F263" t="inlineStr">
        <is>
          <t>THOMPSON</t>
        </is>
      </c>
      <c r="G263" t="n">
        <v>66.40000000000001</v>
      </c>
    </row>
    <row r="264">
      <c r="E264" t="n">
        <v>2022</v>
      </c>
      <c r="F264" t="inlineStr">
        <is>
          <t>TWO BORDERS</t>
        </is>
      </c>
      <c r="G264" t="n">
        <v>52.2</v>
      </c>
    </row>
    <row r="265">
      <c r="E265" t="n">
        <v>2022</v>
      </c>
      <c r="F265" t="inlineStr">
        <is>
          <t>VICTORIA</t>
        </is>
      </c>
      <c r="G265" t="n">
        <v>61.3</v>
      </c>
    </row>
    <row r="266">
      <c r="E266" t="n">
        <v>2022</v>
      </c>
      <c r="F266" t="inlineStr">
        <is>
          <t>WALLACE-WOODWORTH</t>
        </is>
      </c>
      <c r="G266" t="n">
        <v>61.9</v>
      </c>
    </row>
    <row r="267">
      <c r="E267" t="n">
        <v>2022</v>
      </c>
      <c r="F267" t="inlineStr">
        <is>
          <t>WESTLAKE-GLADSTONE</t>
        </is>
      </c>
      <c r="G267" t="n">
        <v>54.7</v>
      </c>
    </row>
    <row r="268">
      <c r="E268" t="n">
        <v>2022</v>
      </c>
      <c r="F268" t="inlineStr">
        <is>
          <t>WHITEHEAD</t>
        </is>
      </c>
      <c r="G268" t="n">
        <v>53.5</v>
      </c>
    </row>
    <row r="269">
      <c r="E269" t="n">
        <v>2022</v>
      </c>
      <c r="F269" t="inlineStr">
        <is>
          <t>WHITEMOUTH</t>
        </is>
      </c>
      <c r="G269" t="n">
        <v>43.2</v>
      </c>
    </row>
    <row r="270">
      <c r="E270" t="n">
        <v>2022</v>
      </c>
      <c r="F270" t="inlineStr">
        <is>
          <t>WINNIPEG</t>
        </is>
      </c>
      <c r="G270" t="n">
        <v>63.7</v>
      </c>
    </row>
    <row r="271">
      <c r="E271" t="n">
        <v>2022</v>
      </c>
      <c r="F271" t="inlineStr">
        <is>
          <t>WOODLANDS</t>
        </is>
      </c>
      <c r="G271" t="n">
        <v>65.7</v>
      </c>
    </row>
    <row r="272">
      <c r="E272" t="n">
        <v>2022</v>
      </c>
      <c r="F272" t="inlineStr">
        <is>
          <t>YELLOWHEAD</t>
        </is>
      </c>
      <c r="G272" t="n">
        <v>51.6</v>
      </c>
    </row>
    <row r="273">
      <c r="E273" t="n">
        <v>2023</v>
      </c>
      <c r="F273" t="inlineStr">
        <is>
          <t>ALONSA</t>
        </is>
      </c>
      <c r="G273" t="n">
        <v>55.7</v>
      </c>
    </row>
    <row r="274">
      <c r="E274" t="n">
        <v>2023</v>
      </c>
      <c r="F274" t="inlineStr">
        <is>
          <t>ARGYLE</t>
        </is>
      </c>
      <c r="G274" t="n">
        <v>57.6</v>
      </c>
    </row>
    <row r="275">
      <c r="E275" t="n">
        <v>2023</v>
      </c>
      <c r="F275" t="inlineStr">
        <is>
          <t>ARMSTRONG</t>
        </is>
      </c>
      <c r="G275" t="n">
        <v>46.3</v>
      </c>
    </row>
    <row r="276">
      <c r="E276" t="n">
        <v>2023</v>
      </c>
      <c r="F276" t="inlineStr">
        <is>
          <t>BIFROST-RIVERTON</t>
        </is>
      </c>
      <c r="G276" t="n">
        <v>60.3</v>
      </c>
    </row>
    <row r="277">
      <c r="E277" t="n">
        <v>2023</v>
      </c>
      <c r="F277" t="inlineStr">
        <is>
          <t>BOISSEVAIN-MORTON</t>
        </is>
      </c>
      <c r="G277" t="n">
        <v>69.90000000000001</v>
      </c>
    </row>
    <row r="278">
      <c r="E278" t="n">
        <v>2023</v>
      </c>
      <c r="F278" t="inlineStr">
        <is>
          <t>BRENDA-WASKADA</t>
        </is>
      </c>
      <c r="G278" t="n">
        <v>56.7</v>
      </c>
    </row>
    <row r="279">
      <c r="E279" t="n">
        <v>2023</v>
      </c>
      <c r="F279" t="inlineStr">
        <is>
          <t>BROKENHEAD</t>
        </is>
      </c>
      <c r="G279" t="n">
        <v>50.5</v>
      </c>
    </row>
    <row r="280">
      <c r="E280" t="n">
        <v>2023</v>
      </c>
      <c r="F280" t="inlineStr">
        <is>
          <t>CARTIER</t>
        </is>
      </c>
      <c r="G280" t="n">
        <v>68.3</v>
      </c>
    </row>
    <row r="281">
      <c r="E281" t="n">
        <v>2023</v>
      </c>
      <c r="F281" t="inlineStr">
        <is>
          <t>CARTWRIGHT-ROBLIN</t>
        </is>
      </c>
      <c r="G281" t="n">
        <v>54.6</v>
      </c>
    </row>
    <row r="282">
      <c r="E282" t="n">
        <v>2023</v>
      </c>
      <c r="F282" t="inlineStr">
        <is>
          <t>CLANWILLIAM-ERICKSON</t>
        </is>
      </c>
      <c r="G282" t="n">
        <v>68.5</v>
      </c>
    </row>
    <row r="283">
      <c r="E283" t="n">
        <v>2023</v>
      </c>
      <c r="F283" t="inlineStr">
        <is>
          <t>CORNWALLIS</t>
        </is>
      </c>
      <c r="G283" t="n">
        <v>57.5</v>
      </c>
    </row>
    <row r="284">
      <c r="E284" t="n">
        <v>2023</v>
      </c>
      <c r="F284" t="inlineStr">
        <is>
          <t>DAUPHIN</t>
        </is>
      </c>
      <c r="G284" t="n">
        <v>54.6</v>
      </c>
    </row>
    <row r="285">
      <c r="E285" t="n">
        <v>2023</v>
      </c>
      <c r="F285" t="inlineStr">
        <is>
          <t>DELORAINE-WINCHESTER</t>
        </is>
      </c>
      <c r="G285" t="n">
        <v>61.8</v>
      </c>
    </row>
    <row r="286">
      <c r="E286" t="n">
        <v>2023</v>
      </c>
      <c r="F286" t="inlineStr">
        <is>
          <t>DESALABERRY</t>
        </is>
      </c>
      <c r="G286" t="n">
        <v>48.6</v>
      </c>
    </row>
    <row r="287">
      <c r="E287" t="n">
        <v>2023</v>
      </c>
      <c r="F287" t="inlineStr">
        <is>
          <t>DUFFERIN</t>
        </is>
      </c>
      <c r="G287" t="n">
        <v>51</v>
      </c>
    </row>
    <row r="288">
      <c r="E288" t="n">
        <v>2023</v>
      </c>
      <c r="F288" t="inlineStr">
        <is>
          <t>ELLICE-ARCHIE</t>
        </is>
      </c>
      <c r="G288" t="n">
        <v>53.8</v>
      </c>
    </row>
    <row r="289">
      <c r="E289" t="n">
        <v>2023</v>
      </c>
      <c r="F289" t="inlineStr">
        <is>
          <t>ELTON</t>
        </is>
      </c>
      <c r="G289" t="n">
        <v>78.59999999999999</v>
      </c>
    </row>
    <row r="290">
      <c r="E290" t="n">
        <v>2023</v>
      </c>
      <c r="F290" t="inlineStr">
        <is>
          <t>EMERSON-FRANKLIN</t>
        </is>
      </c>
      <c r="G290" t="n">
        <v>70.2</v>
      </c>
    </row>
    <row r="291">
      <c r="E291" t="n">
        <v>2023</v>
      </c>
      <c r="F291" t="inlineStr">
        <is>
          <t>ETHELBERT</t>
        </is>
      </c>
      <c r="G291" t="n">
        <v>52.8</v>
      </c>
    </row>
    <row r="292">
      <c r="E292" t="n">
        <v>2023</v>
      </c>
      <c r="F292" t="inlineStr">
        <is>
          <t>FISHER</t>
        </is>
      </c>
      <c r="G292" t="n">
        <v>58.9</v>
      </c>
    </row>
    <row r="293">
      <c r="E293" t="n">
        <v>2023</v>
      </c>
      <c r="F293" t="inlineStr">
        <is>
          <t>GILBERT PLAINS</t>
        </is>
      </c>
      <c r="G293" t="n">
        <v>64.09999999999999</v>
      </c>
    </row>
    <row r="294">
      <c r="E294" t="n">
        <v>2023</v>
      </c>
      <c r="F294" t="inlineStr">
        <is>
          <t>GIMLI</t>
        </is>
      </c>
      <c r="G294" t="n">
        <v>73.3</v>
      </c>
    </row>
    <row r="295">
      <c r="E295" t="n">
        <v>2023</v>
      </c>
      <c r="F295" t="inlineStr">
        <is>
          <t>GLENBORO-SOUTH CYPRESS</t>
        </is>
      </c>
      <c r="G295" t="n">
        <v>56.4</v>
      </c>
    </row>
    <row r="296">
      <c r="E296" t="n">
        <v>2023</v>
      </c>
      <c r="F296" t="inlineStr">
        <is>
          <t>GLENELLA-LANSDOWNE</t>
        </is>
      </c>
      <c r="G296" t="n">
        <v>59</v>
      </c>
    </row>
    <row r="297">
      <c r="E297" t="n">
        <v>2023</v>
      </c>
      <c r="F297" t="inlineStr">
        <is>
          <t>GRAHAMDALE</t>
        </is>
      </c>
      <c r="G297" t="n">
        <v>41.9</v>
      </c>
    </row>
    <row r="298">
      <c r="E298" t="n">
        <v>2023</v>
      </c>
      <c r="F298" t="inlineStr">
        <is>
          <t>GRANDVIEW</t>
        </is>
      </c>
      <c r="G298" t="n">
        <v>68.90000000000001</v>
      </c>
    </row>
    <row r="299">
      <c r="E299" t="n">
        <v>2023</v>
      </c>
      <c r="F299" t="inlineStr">
        <is>
          <t>GRASSLAND</t>
        </is>
      </c>
      <c r="G299" t="n">
        <v>61.8</v>
      </c>
    </row>
    <row r="300">
      <c r="E300" t="n">
        <v>2023</v>
      </c>
      <c r="F300" t="inlineStr">
        <is>
          <t>GREY</t>
        </is>
      </c>
      <c r="G300" t="n">
        <v>56.9</v>
      </c>
    </row>
    <row r="301">
      <c r="E301" t="n">
        <v>2023</v>
      </c>
      <c r="F301" t="inlineStr">
        <is>
          <t>HAMIOTA</t>
        </is>
      </c>
      <c r="G301" t="n">
        <v>66.09999999999999</v>
      </c>
    </row>
    <row r="302">
      <c r="E302" t="n">
        <v>2023</v>
      </c>
      <c r="F302" t="inlineStr">
        <is>
          <t>HANOVER</t>
        </is>
      </c>
      <c r="G302" t="n">
        <v>65</v>
      </c>
    </row>
    <row r="303">
      <c r="E303" t="n">
        <v>2023</v>
      </c>
      <c r="F303" t="inlineStr">
        <is>
          <t>HARRISON PARK</t>
        </is>
      </c>
      <c r="G303" t="n">
        <v>63.8</v>
      </c>
    </row>
    <row r="304">
      <c r="E304" t="n">
        <v>2023</v>
      </c>
      <c r="F304" t="inlineStr">
        <is>
          <t>HEADINGLEY</t>
        </is>
      </c>
      <c r="G304" t="n">
        <v>65.40000000000001</v>
      </c>
    </row>
    <row r="305">
      <c r="E305" t="n">
        <v>2023</v>
      </c>
      <c r="F305" t="inlineStr">
        <is>
          <t>HILLSBURG-ROBLIN-SHELL RIVER</t>
        </is>
      </c>
      <c r="G305" t="n">
        <v>65.7</v>
      </c>
    </row>
    <row r="306">
      <c r="E306" t="n">
        <v>2023</v>
      </c>
      <c r="F306" t="inlineStr">
        <is>
          <t>KILLARNEY-TURTLE MTN</t>
        </is>
      </c>
      <c r="G306" t="n">
        <v>65.2</v>
      </c>
    </row>
    <row r="307">
      <c r="E307" t="n">
        <v>2023</v>
      </c>
      <c r="F307" t="inlineStr">
        <is>
          <t>LAC DU BONNET</t>
        </is>
      </c>
      <c r="G307" t="n">
        <v>64</v>
      </c>
    </row>
    <row r="308">
      <c r="E308" t="n">
        <v>2023</v>
      </c>
      <c r="F308" t="inlineStr">
        <is>
          <t>LAKESHORE</t>
        </is>
      </c>
      <c r="G308" t="n">
        <v>58.4</v>
      </c>
    </row>
    <row r="309">
      <c r="E309" t="n">
        <v>2023</v>
      </c>
      <c r="F309" t="inlineStr">
        <is>
          <t>LORNE</t>
        </is>
      </c>
      <c r="G309" t="n">
        <v>64.59999999999999</v>
      </c>
    </row>
    <row r="310">
      <c r="E310" t="n">
        <v>2023</v>
      </c>
      <c r="F310" t="inlineStr">
        <is>
          <t>LOUISE</t>
        </is>
      </c>
      <c r="G310" t="n">
        <v>70.2</v>
      </c>
    </row>
    <row r="311">
      <c r="E311" t="n">
        <v>2023</v>
      </c>
      <c r="F311" t="inlineStr">
        <is>
          <t>MACDONALD</t>
        </is>
      </c>
      <c r="G311" t="n">
        <v>52.2</v>
      </c>
    </row>
    <row r="312">
      <c r="E312" t="n">
        <v>2023</v>
      </c>
      <c r="F312" t="inlineStr">
        <is>
          <t>MCCREARY</t>
        </is>
      </c>
      <c r="G312" t="n">
        <v>55.2</v>
      </c>
    </row>
    <row r="313">
      <c r="E313" t="n">
        <v>2023</v>
      </c>
      <c r="F313" t="inlineStr">
        <is>
          <t>MINITONAS-BOWSMAN</t>
        </is>
      </c>
      <c r="G313" t="n">
        <v>66.09999999999999</v>
      </c>
    </row>
    <row r="314">
      <c r="E314" t="n">
        <v>2023</v>
      </c>
      <c r="F314" t="inlineStr">
        <is>
          <t>MINTO-ODANAH</t>
        </is>
      </c>
      <c r="G314" t="n">
        <v>72.59999999999999</v>
      </c>
    </row>
    <row r="315">
      <c r="E315" t="n">
        <v>2023</v>
      </c>
      <c r="F315" t="inlineStr">
        <is>
          <t>MONTCALM</t>
        </is>
      </c>
      <c r="G315" t="n">
        <v>61.6</v>
      </c>
    </row>
    <row r="316">
      <c r="E316" t="n">
        <v>2023</v>
      </c>
      <c r="F316" t="inlineStr">
        <is>
          <t>MORRIS</t>
        </is>
      </c>
      <c r="G316" t="n">
        <v>41.3</v>
      </c>
    </row>
    <row r="317">
      <c r="E317" t="n">
        <v>2023</v>
      </c>
      <c r="F317" t="inlineStr">
        <is>
          <t>MOSSEY RIVER</t>
        </is>
      </c>
      <c r="G317" t="n">
        <v>18.7</v>
      </c>
    </row>
    <row r="318">
      <c r="E318" t="n">
        <v>2023</v>
      </c>
      <c r="F318" t="inlineStr">
        <is>
          <t>NORFOLK-TREHERNE</t>
        </is>
      </c>
      <c r="G318" t="n">
        <v>58.7</v>
      </c>
    </row>
    <row r="319">
      <c r="E319" t="n">
        <v>2023</v>
      </c>
      <c r="F319" t="inlineStr">
        <is>
          <t>NORTH CYPRESS-LANGFORD</t>
        </is>
      </c>
      <c r="G319" t="n">
        <v>63.5</v>
      </c>
    </row>
    <row r="320">
      <c r="E320" t="n">
        <v>2023</v>
      </c>
      <c r="F320" t="inlineStr">
        <is>
          <t>NORTH NORFOLK</t>
        </is>
      </c>
      <c r="G320" t="n">
        <v>53.2</v>
      </c>
    </row>
    <row r="321">
      <c r="E321" t="n">
        <v>2023</v>
      </c>
      <c r="F321" t="inlineStr">
        <is>
          <t>OAKLAND-WAWANESA</t>
        </is>
      </c>
      <c r="G321" t="n">
        <v>68.40000000000001</v>
      </c>
    </row>
    <row r="322">
      <c r="E322" t="n">
        <v>2023</v>
      </c>
      <c r="F322" t="inlineStr">
        <is>
          <t>OAKVIEW</t>
        </is>
      </c>
      <c r="G322" t="n">
        <v>67.7</v>
      </c>
    </row>
    <row r="323">
      <c r="E323" t="n">
        <v>2023</v>
      </c>
      <c r="F323" t="inlineStr">
        <is>
          <t>PEMBINA</t>
        </is>
      </c>
      <c r="G323" t="n">
        <v>63.2</v>
      </c>
    </row>
    <row r="324">
      <c r="E324" t="n">
        <v>2023</v>
      </c>
      <c r="F324" t="inlineStr">
        <is>
          <t>PINEY</t>
        </is>
      </c>
      <c r="G324" t="n">
        <v>57.1</v>
      </c>
    </row>
    <row r="325">
      <c r="E325" t="n">
        <v>2023</v>
      </c>
      <c r="F325" t="inlineStr">
        <is>
          <t>PIPESTONE</t>
        </is>
      </c>
      <c r="G325" t="n">
        <v>48.7</v>
      </c>
    </row>
    <row r="326">
      <c r="E326" t="n">
        <v>2023</v>
      </c>
      <c r="F326" t="inlineStr">
        <is>
          <t>PORTAGE LA PRAIRIE</t>
        </is>
      </c>
      <c r="G326" t="n">
        <v>67.5</v>
      </c>
    </row>
    <row r="327">
      <c r="E327" t="n">
        <v>2023</v>
      </c>
      <c r="F327" t="inlineStr">
        <is>
          <t>PRAIRIE LAKES</t>
        </is>
      </c>
      <c r="G327" t="n">
        <v>60.5</v>
      </c>
    </row>
    <row r="328">
      <c r="E328" t="n">
        <v>2023</v>
      </c>
      <c r="F328" t="inlineStr">
        <is>
          <t>PRAIRIE VIEW</t>
        </is>
      </c>
      <c r="G328" t="n">
        <v>54.6</v>
      </c>
    </row>
    <row r="329">
      <c r="E329" t="n">
        <v>2023</v>
      </c>
      <c r="F329" t="inlineStr">
        <is>
          <t>RHINELAND</t>
        </is>
      </c>
      <c r="G329" t="n">
        <v>59.5</v>
      </c>
    </row>
    <row r="330">
      <c r="E330" t="n">
        <v>2023</v>
      </c>
      <c r="F330" t="inlineStr">
        <is>
          <t>RIDING MOUNTAIN WEST</t>
        </is>
      </c>
      <c r="G330" t="n">
        <v>68.90000000000001</v>
      </c>
    </row>
    <row r="331">
      <c r="E331" t="n">
        <v>2023</v>
      </c>
      <c r="F331" t="inlineStr">
        <is>
          <t>RITCHOT</t>
        </is>
      </c>
      <c r="G331" t="n">
        <v>61.5</v>
      </c>
    </row>
    <row r="332">
      <c r="E332" t="n">
        <v>2023</v>
      </c>
      <c r="F332" t="inlineStr">
        <is>
          <t>RIVERDALE</t>
        </is>
      </c>
      <c r="G332" t="n">
        <v>70.7</v>
      </c>
    </row>
    <row r="333">
      <c r="E333" t="n">
        <v>2023</v>
      </c>
      <c r="F333" t="inlineStr">
        <is>
          <t>ROCKWOOD</t>
        </is>
      </c>
      <c r="G333" t="n">
        <v>57.5</v>
      </c>
    </row>
    <row r="334">
      <c r="E334" t="n">
        <v>2023</v>
      </c>
      <c r="F334" t="inlineStr">
        <is>
          <t>ROLAND</t>
        </is>
      </c>
      <c r="G334" t="n">
        <v>49.2</v>
      </c>
    </row>
    <row r="335">
      <c r="E335" t="n">
        <v>2023</v>
      </c>
      <c r="F335" t="inlineStr">
        <is>
          <t>ROSEDALE</t>
        </is>
      </c>
      <c r="G335" t="n">
        <v>72.8</v>
      </c>
    </row>
    <row r="336">
      <c r="E336" t="n">
        <v>2023</v>
      </c>
      <c r="F336" t="inlineStr">
        <is>
          <t>ROSSBURN</t>
        </is>
      </c>
      <c r="G336" t="n">
        <v>66.5</v>
      </c>
    </row>
    <row r="337">
      <c r="E337" t="n">
        <v>2023</v>
      </c>
      <c r="F337" t="inlineStr">
        <is>
          <t>ROSSER</t>
        </is>
      </c>
      <c r="G337" t="n">
        <v>65.3</v>
      </c>
    </row>
    <row r="338">
      <c r="E338" t="n">
        <v>2023</v>
      </c>
      <c r="F338" t="inlineStr">
        <is>
          <t>SIFTON</t>
        </is>
      </c>
      <c r="G338" t="n">
        <v>50.1</v>
      </c>
    </row>
    <row r="339">
      <c r="E339" t="n">
        <v>2023</v>
      </c>
      <c r="F339" t="inlineStr">
        <is>
          <t>SOURIS-GLENWOOD</t>
        </is>
      </c>
      <c r="G339" t="n">
        <v>63.7</v>
      </c>
    </row>
    <row r="340">
      <c r="E340" t="n">
        <v>2023</v>
      </c>
      <c r="F340" t="inlineStr">
        <is>
          <t>SPRINGFIELD</t>
        </is>
      </c>
      <c r="G340" t="n">
        <v>65.40000000000001</v>
      </c>
    </row>
    <row r="341">
      <c r="E341" t="n">
        <v>2023</v>
      </c>
      <c r="F341" t="inlineStr">
        <is>
          <t>ST. ANDREWS</t>
        </is>
      </c>
      <c r="G341" t="n">
        <v>69.40000000000001</v>
      </c>
    </row>
    <row r="342">
      <c r="E342" t="n">
        <v>2023</v>
      </c>
      <c r="F342" t="inlineStr">
        <is>
          <t>ST. CLEMENTS</t>
        </is>
      </c>
      <c r="G342" t="n">
        <v>54.6</v>
      </c>
    </row>
    <row r="343">
      <c r="E343" t="n">
        <v>2023</v>
      </c>
      <c r="F343" t="inlineStr">
        <is>
          <t>ST. FRANCIS XAVIER</t>
        </is>
      </c>
      <c r="G343" t="n">
        <v>67.8</v>
      </c>
    </row>
    <row r="344">
      <c r="E344" t="n">
        <v>2023</v>
      </c>
      <c r="F344" t="inlineStr">
        <is>
          <t>STANLEY</t>
        </is>
      </c>
      <c r="G344" t="n">
        <v>57</v>
      </c>
    </row>
    <row r="345">
      <c r="E345" t="n">
        <v>2023</v>
      </c>
      <c r="F345" t="inlineStr">
        <is>
          <t>STE. ANNE</t>
        </is>
      </c>
      <c r="G345" t="n">
        <v>71</v>
      </c>
    </row>
    <row r="346">
      <c r="E346" t="n">
        <v>2023</v>
      </c>
      <c r="F346" t="inlineStr">
        <is>
          <t>STE. ROSE</t>
        </is>
      </c>
      <c r="G346" t="n">
        <v>65.2</v>
      </c>
    </row>
    <row r="347">
      <c r="E347" t="n">
        <v>2023</v>
      </c>
      <c r="F347" t="inlineStr">
        <is>
          <t>TACHE</t>
        </is>
      </c>
      <c r="G347" t="n">
        <v>65.90000000000001</v>
      </c>
    </row>
    <row r="348">
      <c r="E348" t="n">
        <v>2023</v>
      </c>
      <c r="F348" t="inlineStr">
        <is>
          <t>THOMPSON</t>
        </is>
      </c>
      <c r="G348" t="n">
        <v>67.09999999999999</v>
      </c>
    </row>
    <row r="349">
      <c r="E349" t="n">
        <v>2023</v>
      </c>
      <c r="F349" t="inlineStr">
        <is>
          <t>TWO BORDERS</t>
        </is>
      </c>
      <c r="G349" t="n">
        <v>49.3</v>
      </c>
    </row>
    <row r="350">
      <c r="E350" t="n">
        <v>2023</v>
      </c>
      <c r="F350" t="inlineStr">
        <is>
          <t>VICTORIA</t>
        </is>
      </c>
      <c r="G350" t="n">
        <v>60.4</v>
      </c>
    </row>
    <row r="351">
      <c r="E351" t="n">
        <v>2023</v>
      </c>
      <c r="F351" t="inlineStr">
        <is>
          <t>WALLACE-WOODWORTH</t>
        </is>
      </c>
      <c r="G351" t="n">
        <v>58.6</v>
      </c>
    </row>
    <row r="352">
      <c r="E352" t="n">
        <v>2023</v>
      </c>
      <c r="F352" t="inlineStr">
        <is>
          <t>WESTLAKE-GLADSTONE</t>
        </is>
      </c>
      <c r="G352" t="n">
        <v>59.4</v>
      </c>
    </row>
    <row r="353">
      <c r="E353" t="n">
        <v>2023</v>
      </c>
      <c r="F353" t="inlineStr">
        <is>
          <t>WHITEHEAD</t>
        </is>
      </c>
      <c r="G353" t="n">
        <v>60.8</v>
      </c>
    </row>
    <row r="354">
      <c r="E354" t="n">
        <v>2023</v>
      </c>
      <c r="F354" t="inlineStr">
        <is>
          <t>WINNIPEG</t>
        </is>
      </c>
      <c r="G354" t="n">
        <v>53.2</v>
      </c>
    </row>
    <row r="355">
      <c r="E355" t="n">
        <v>2023</v>
      </c>
      <c r="F355" t="inlineStr">
        <is>
          <t>WOODLANDS</t>
        </is>
      </c>
      <c r="G355" t="n">
        <v>56.1</v>
      </c>
    </row>
    <row r="356">
      <c r="E356" t="n">
        <v>2023</v>
      </c>
      <c r="F356" t="inlineStr">
        <is>
          <t>YELLOWHEAD</t>
        </is>
      </c>
      <c r="G356" t="n">
        <v>62.3</v>
      </c>
    </row>
    <row r="357">
      <c r="E357" t="n">
        <v>2024</v>
      </c>
      <c r="F357" t="inlineStr">
        <is>
          <t>ALEXANDER</t>
        </is>
      </c>
      <c r="G357" t="n">
        <v>69.3</v>
      </c>
    </row>
    <row r="358">
      <c r="E358" t="n">
        <v>2024</v>
      </c>
      <c r="F358" t="inlineStr">
        <is>
          <t>ALONSA</t>
        </is>
      </c>
      <c r="G358" t="n">
        <v>51.1</v>
      </c>
    </row>
    <row r="359">
      <c r="E359" t="n">
        <v>2024</v>
      </c>
      <c r="F359" t="inlineStr">
        <is>
          <t>ARGYLE</t>
        </is>
      </c>
      <c r="G359" t="n">
        <v>64.59999999999999</v>
      </c>
    </row>
    <row r="360">
      <c r="E360" t="n">
        <v>2024</v>
      </c>
      <c r="F360" t="inlineStr">
        <is>
          <t>BIFROST-RIVERTON</t>
        </is>
      </c>
      <c r="G360" t="n">
        <v>46.1</v>
      </c>
    </row>
    <row r="361">
      <c r="E361" t="n">
        <v>2024</v>
      </c>
      <c r="F361" t="inlineStr">
        <is>
          <t>BOISSEVAIN-MORTON</t>
        </is>
      </c>
      <c r="G361" t="n">
        <v>72.8</v>
      </c>
    </row>
    <row r="362">
      <c r="E362" t="n">
        <v>2024</v>
      </c>
      <c r="F362" t="inlineStr">
        <is>
          <t>BRENDA-WASKADA</t>
        </is>
      </c>
      <c r="G362" t="n">
        <v>65.90000000000001</v>
      </c>
    </row>
    <row r="363">
      <c r="E363" t="n">
        <v>2024</v>
      </c>
      <c r="F363" t="inlineStr">
        <is>
          <t>BROKENHEAD</t>
        </is>
      </c>
      <c r="G363" t="n">
        <v>59.3</v>
      </c>
    </row>
    <row r="364">
      <c r="E364" t="n">
        <v>2024</v>
      </c>
      <c r="F364" t="inlineStr">
        <is>
          <t>CARTIER</t>
        </is>
      </c>
      <c r="G364" t="n">
        <v>67.59999999999999</v>
      </c>
    </row>
    <row r="365">
      <c r="E365" t="n">
        <v>2024</v>
      </c>
      <c r="F365" t="inlineStr">
        <is>
          <t>CARTWRIGHT-ROBLIN</t>
        </is>
      </c>
      <c r="G365" t="n">
        <v>67.90000000000001</v>
      </c>
    </row>
    <row r="366">
      <c r="E366" t="n">
        <v>2024</v>
      </c>
      <c r="F366" t="inlineStr">
        <is>
          <t>CLANWILLIAM-ERICKSON</t>
        </is>
      </c>
      <c r="G366" t="n">
        <v>40.3</v>
      </c>
    </row>
    <row r="367">
      <c r="E367" t="n">
        <v>2024</v>
      </c>
      <c r="F367" t="inlineStr">
        <is>
          <t>CORNWALLIS</t>
        </is>
      </c>
      <c r="G367" t="n">
        <v>60.8</v>
      </c>
    </row>
    <row r="368">
      <c r="E368" t="n">
        <v>2024</v>
      </c>
      <c r="F368" t="inlineStr">
        <is>
          <t>DAUPHIN</t>
        </is>
      </c>
      <c r="G368" t="n">
        <v>49.7</v>
      </c>
    </row>
    <row r="369">
      <c r="E369" t="n">
        <v>2024</v>
      </c>
      <c r="F369" t="inlineStr">
        <is>
          <t>DELORAINE-WINCHESTER</t>
        </is>
      </c>
      <c r="G369" t="n">
        <v>68.09999999999999</v>
      </c>
    </row>
    <row r="370">
      <c r="E370" t="n">
        <v>2024</v>
      </c>
      <c r="F370" t="inlineStr">
        <is>
          <t>DESALABERRY</t>
        </is>
      </c>
      <c r="G370" t="n">
        <v>74.7</v>
      </c>
    </row>
    <row r="371">
      <c r="E371" t="n">
        <v>2024</v>
      </c>
      <c r="F371" t="inlineStr">
        <is>
          <t>DUFFERIN</t>
        </is>
      </c>
      <c r="G371" t="n">
        <v>76.5</v>
      </c>
    </row>
    <row r="372">
      <c r="E372" t="n">
        <v>2024</v>
      </c>
      <c r="F372" t="inlineStr">
        <is>
          <t>ELLICE-ARCHIE</t>
        </is>
      </c>
      <c r="G372" t="n">
        <v>58.6</v>
      </c>
    </row>
    <row r="373">
      <c r="E373" t="n">
        <v>2024</v>
      </c>
      <c r="F373" t="inlineStr">
        <is>
          <t>ELTON</t>
        </is>
      </c>
      <c r="G373" t="n">
        <v>66.3</v>
      </c>
    </row>
    <row r="374">
      <c r="E374" t="n">
        <v>2024</v>
      </c>
      <c r="F374" t="inlineStr">
        <is>
          <t>EMERSON-FRANKLIN</t>
        </is>
      </c>
      <c r="G374" t="n">
        <v>72</v>
      </c>
    </row>
    <row r="375">
      <c r="E375" t="n">
        <v>2024</v>
      </c>
      <c r="F375" t="inlineStr">
        <is>
          <t>ETHELBERT</t>
        </is>
      </c>
      <c r="G375" t="n">
        <v>18.3</v>
      </c>
    </row>
    <row r="376">
      <c r="E376" t="n">
        <v>2024</v>
      </c>
      <c r="F376" t="inlineStr">
        <is>
          <t>FISHER</t>
        </is>
      </c>
      <c r="G376" t="n">
        <v>44.9</v>
      </c>
    </row>
    <row r="377">
      <c r="E377" t="n">
        <v>2024</v>
      </c>
      <c r="F377" t="inlineStr">
        <is>
          <t>GILBERT PLAINS</t>
        </is>
      </c>
      <c r="G377" t="n">
        <v>50.9</v>
      </c>
    </row>
    <row r="378">
      <c r="E378" t="n">
        <v>2024</v>
      </c>
      <c r="F378" t="inlineStr">
        <is>
          <t>GIMLI</t>
        </is>
      </c>
      <c r="G378" t="n">
        <v>56.1</v>
      </c>
    </row>
    <row r="379">
      <c r="E379" t="n">
        <v>2024</v>
      </c>
      <c r="F379" t="inlineStr">
        <is>
          <t>GLENBORO-SOUTH CYPRESS</t>
        </is>
      </c>
      <c r="G379" t="n">
        <v>65.5</v>
      </c>
    </row>
    <row r="380">
      <c r="E380" t="n">
        <v>2024</v>
      </c>
      <c r="F380" t="inlineStr">
        <is>
          <t>GLENELLA-LANSDOWNE</t>
        </is>
      </c>
      <c r="G380" t="n">
        <v>60.2</v>
      </c>
    </row>
    <row r="381">
      <c r="E381" t="n">
        <v>2024</v>
      </c>
      <c r="F381" t="inlineStr">
        <is>
          <t>GRANDVIEW</t>
        </is>
      </c>
      <c r="G381" t="n">
        <v>53.1</v>
      </c>
    </row>
    <row r="382">
      <c r="E382" t="n">
        <v>2024</v>
      </c>
      <c r="F382" t="inlineStr">
        <is>
          <t>GRASSLAND</t>
        </is>
      </c>
      <c r="G382" t="n">
        <v>65.3</v>
      </c>
    </row>
    <row r="383">
      <c r="E383" t="n">
        <v>2024</v>
      </c>
      <c r="F383" t="inlineStr">
        <is>
          <t>GREY</t>
        </is>
      </c>
      <c r="G383" t="n">
        <v>73.8</v>
      </c>
    </row>
    <row r="384">
      <c r="E384" t="n">
        <v>2024</v>
      </c>
      <c r="F384" t="inlineStr">
        <is>
          <t>HAMIOTA</t>
        </is>
      </c>
      <c r="G384" t="n">
        <v>62.7</v>
      </c>
    </row>
    <row r="385">
      <c r="E385" t="n">
        <v>2024</v>
      </c>
      <c r="F385" t="inlineStr">
        <is>
          <t>HANOVER</t>
        </is>
      </c>
      <c r="G385" t="n">
        <v>69.8</v>
      </c>
    </row>
    <row r="386">
      <c r="E386" t="n">
        <v>2024</v>
      </c>
      <c r="F386" t="inlineStr">
        <is>
          <t>HARRISON PARK</t>
        </is>
      </c>
      <c r="G386" t="n">
        <v>55.1</v>
      </c>
    </row>
    <row r="387">
      <c r="E387" t="n">
        <v>2024</v>
      </c>
      <c r="F387" t="inlineStr">
        <is>
          <t>HEADINGLEY</t>
        </is>
      </c>
      <c r="G387" t="n">
        <v>72.59999999999999</v>
      </c>
    </row>
    <row r="388">
      <c r="E388" t="n">
        <v>2024</v>
      </c>
      <c r="F388" t="inlineStr">
        <is>
          <t>HILLSBURG-ROBLIN-SHELL RIVER</t>
        </is>
      </c>
      <c r="G388" t="n">
        <v>63.4</v>
      </c>
    </row>
    <row r="389">
      <c r="E389" t="n">
        <v>2024</v>
      </c>
      <c r="F389" t="inlineStr">
        <is>
          <t>KILLARNEY-TURTLE MTN</t>
        </is>
      </c>
      <c r="G389" t="n">
        <v>65.90000000000001</v>
      </c>
    </row>
    <row r="390">
      <c r="E390" t="n">
        <v>2024</v>
      </c>
      <c r="F390" t="inlineStr">
        <is>
          <t>LAC DU BONNET</t>
        </is>
      </c>
      <c r="G390" t="n">
        <v>67.5</v>
      </c>
    </row>
    <row r="391">
      <c r="E391" t="n">
        <v>2024</v>
      </c>
      <c r="F391" t="inlineStr">
        <is>
          <t>LAKESHORE</t>
        </is>
      </c>
      <c r="G391" t="n">
        <v>56.4</v>
      </c>
    </row>
    <row r="392">
      <c r="E392" t="n">
        <v>2024</v>
      </c>
      <c r="F392" t="inlineStr">
        <is>
          <t>LORNE</t>
        </is>
      </c>
      <c r="G392" t="n">
        <v>73.40000000000001</v>
      </c>
    </row>
    <row r="393">
      <c r="E393" t="n">
        <v>2024</v>
      </c>
      <c r="F393" t="inlineStr">
        <is>
          <t>LOUISE</t>
        </is>
      </c>
      <c r="G393" t="n">
        <v>78.2</v>
      </c>
    </row>
    <row r="394">
      <c r="E394" t="n">
        <v>2024</v>
      </c>
      <c r="F394" t="inlineStr">
        <is>
          <t>MACDONALD</t>
        </is>
      </c>
      <c r="G394" t="n">
        <v>69.09999999999999</v>
      </c>
    </row>
    <row r="395">
      <c r="E395" t="n">
        <v>2024</v>
      </c>
      <c r="F395" t="inlineStr">
        <is>
          <t>MCCREARY</t>
        </is>
      </c>
      <c r="G395" t="n">
        <v>54.9</v>
      </c>
    </row>
    <row r="396">
      <c r="E396" t="n">
        <v>2024</v>
      </c>
      <c r="F396" t="inlineStr">
        <is>
          <t>MINITONAS-BOWSMAN</t>
        </is>
      </c>
      <c r="G396" t="n">
        <v>70.7</v>
      </c>
    </row>
    <row r="397">
      <c r="E397" t="n">
        <v>2024</v>
      </c>
      <c r="F397" t="inlineStr">
        <is>
          <t>MINTO-ODANAH</t>
        </is>
      </c>
      <c r="G397" t="n">
        <v>51.8</v>
      </c>
    </row>
    <row r="398">
      <c r="E398" t="n">
        <v>2024</v>
      </c>
      <c r="F398" t="inlineStr">
        <is>
          <t>MONTCALM</t>
        </is>
      </c>
      <c r="G398" t="n">
        <v>75.09999999999999</v>
      </c>
    </row>
    <row r="399">
      <c r="E399" t="n">
        <v>2024</v>
      </c>
      <c r="F399" t="inlineStr">
        <is>
          <t>MORRIS</t>
        </is>
      </c>
      <c r="G399" t="n">
        <v>73.09999999999999</v>
      </c>
    </row>
    <row r="400">
      <c r="E400" t="n">
        <v>2024</v>
      </c>
      <c r="F400" t="inlineStr">
        <is>
          <t>MOUNTAIN</t>
        </is>
      </c>
      <c r="G400" t="n">
        <v>36.6</v>
      </c>
    </row>
    <row r="401">
      <c r="E401" t="n">
        <v>2024</v>
      </c>
      <c r="F401" t="inlineStr">
        <is>
          <t>NORFOLK-TREHERNE</t>
        </is>
      </c>
      <c r="G401" t="n">
        <v>73.90000000000001</v>
      </c>
    </row>
    <row r="402">
      <c r="E402" t="n">
        <v>2024</v>
      </c>
      <c r="F402" t="inlineStr">
        <is>
          <t>NORTH CYPRESS-LANGFORD</t>
        </is>
      </c>
      <c r="G402" t="n">
        <v>58.2</v>
      </c>
    </row>
    <row r="403">
      <c r="E403" t="n">
        <v>2024</v>
      </c>
      <c r="F403" t="inlineStr">
        <is>
          <t>NORTH NORFOLK</t>
        </is>
      </c>
      <c r="G403" t="n">
        <v>56.4</v>
      </c>
    </row>
    <row r="404">
      <c r="E404" t="n">
        <v>2024</v>
      </c>
      <c r="F404" t="inlineStr">
        <is>
          <t>OAKLAND-WAWANESA</t>
        </is>
      </c>
      <c r="G404" t="n">
        <v>63.6</v>
      </c>
    </row>
    <row r="405">
      <c r="E405" t="n">
        <v>2024</v>
      </c>
      <c r="F405" t="inlineStr">
        <is>
          <t>OAKVIEW</t>
        </is>
      </c>
      <c r="G405" t="n">
        <v>61</v>
      </c>
    </row>
    <row r="406">
      <c r="E406" t="n">
        <v>2024</v>
      </c>
      <c r="F406" t="inlineStr">
        <is>
          <t>PEMBINA</t>
        </is>
      </c>
      <c r="G406" t="n">
        <v>72.2</v>
      </c>
    </row>
    <row r="407">
      <c r="E407" t="n">
        <v>2024</v>
      </c>
      <c r="F407" t="inlineStr">
        <is>
          <t>PINEY</t>
        </is>
      </c>
      <c r="G407" t="n">
        <v>43.8</v>
      </c>
    </row>
    <row r="408">
      <c r="E408" t="n">
        <v>2024</v>
      </c>
      <c r="F408" t="inlineStr">
        <is>
          <t>PIPESTONE</t>
        </is>
      </c>
      <c r="G408" t="n">
        <v>57.8</v>
      </c>
    </row>
    <row r="409">
      <c r="E409" t="n">
        <v>2024</v>
      </c>
      <c r="F409" t="inlineStr">
        <is>
          <t>PORTAGE LA PRAIRIE</t>
        </is>
      </c>
      <c r="G409" t="n">
        <v>67</v>
      </c>
    </row>
    <row r="410">
      <c r="E410" t="n">
        <v>2024</v>
      </c>
      <c r="F410" t="inlineStr">
        <is>
          <t>PRAIRIE LAKES</t>
        </is>
      </c>
      <c r="G410" t="n">
        <v>60.6</v>
      </c>
    </row>
    <row r="411">
      <c r="E411" t="n">
        <v>2024</v>
      </c>
      <c r="F411" t="inlineStr">
        <is>
          <t>PRAIRIE VIEW</t>
        </is>
      </c>
      <c r="G411" t="n">
        <v>60.9</v>
      </c>
    </row>
    <row r="412">
      <c r="E412" t="n">
        <v>2024</v>
      </c>
      <c r="F412" t="inlineStr">
        <is>
          <t>RHINELAND</t>
        </is>
      </c>
      <c r="G412" t="n">
        <v>78.90000000000001</v>
      </c>
    </row>
    <row r="413">
      <c r="E413" t="n">
        <v>2024</v>
      </c>
      <c r="F413" t="inlineStr">
        <is>
          <t>RIDING MOUNTAIN WEST</t>
        </is>
      </c>
      <c r="G413" t="n">
        <v>59.8</v>
      </c>
    </row>
    <row r="414">
      <c r="E414" t="n">
        <v>2024</v>
      </c>
      <c r="F414" t="inlineStr">
        <is>
          <t>RITCHOT</t>
        </is>
      </c>
      <c r="G414" t="n">
        <v>63.8</v>
      </c>
    </row>
    <row r="415">
      <c r="E415" t="n">
        <v>2024</v>
      </c>
      <c r="F415" t="inlineStr">
        <is>
          <t>RIVERDALE</t>
        </is>
      </c>
      <c r="G415" t="n">
        <v>68.5</v>
      </c>
    </row>
    <row r="416">
      <c r="E416" t="n">
        <v>2024</v>
      </c>
      <c r="F416" t="inlineStr">
        <is>
          <t>ROCKWOOD</t>
        </is>
      </c>
      <c r="G416" t="n">
        <v>60</v>
      </c>
    </row>
    <row r="417">
      <c r="E417" t="n">
        <v>2024</v>
      </c>
      <c r="F417" t="inlineStr">
        <is>
          <t>ROLAND</t>
        </is>
      </c>
      <c r="G417" t="n">
        <v>78.5</v>
      </c>
    </row>
    <row r="418">
      <c r="E418" t="n">
        <v>2024</v>
      </c>
      <c r="F418" t="inlineStr">
        <is>
          <t>ROSEDALE</t>
        </is>
      </c>
      <c r="G418" t="n">
        <v>65.09999999999999</v>
      </c>
    </row>
    <row r="419">
      <c r="E419" t="n">
        <v>2024</v>
      </c>
      <c r="F419" t="inlineStr">
        <is>
          <t>ROSSBURN</t>
        </is>
      </c>
      <c r="G419" t="n">
        <v>62</v>
      </c>
    </row>
    <row r="420">
      <c r="E420" t="n">
        <v>2024</v>
      </c>
      <c r="F420" t="inlineStr">
        <is>
          <t>ROSSER</t>
        </is>
      </c>
      <c r="G420" t="n">
        <v>58.3</v>
      </c>
    </row>
    <row r="421">
      <c r="E421" t="n">
        <v>2024</v>
      </c>
      <c r="F421" t="inlineStr">
        <is>
          <t>SIFTON</t>
        </is>
      </c>
      <c r="G421" t="n">
        <v>52.8</v>
      </c>
    </row>
    <row r="422">
      <c r="E422" t="n">
        <v>2024</v>
      </c>
      <c r="F422" t="inlineStr">
        <is>
          <t>SOURIS-GLENWOOD</t>
        </is>
      </c>
      <c r="G422" t="n">
        <v>67</v>
      </c>
    </row>
    <row r="423">
      <c r="E423" t="n">
        <v>2024</v>
      </c>
      <c r="F423" t="inlineStr">
        <is>
          <t>SPRINGFIELD</t>
        </is>
      </c>
      <c r="G423" t="n">
        <v>54.4</v>
      </c>
    </row>
    <row r="424">
      <c r="E424" t="n">
        <v>2024</v>
      </c>
      <c r="F424" t="inlineStr">
        <is>
          <t>ST. ANDREWS</t>
        </is>
      </c>
      <c r="G424" t="n">
        <v>65.09999999999999</v>
      </c>
    </row>
    <row r="425">
      <c r="E425" t="n">
        <v>2024</v>
      </c>
      <c r="F425" t="inlineStr">
        <is>
          <t>ST. CLEMENTS</t>
        </is>
      </c>
      <c r="G425" t="n">
        <v>49.4</v>
      </c>
    </row>
    <row r="426">
      <c r="E426" t="n">
        <v>2024</v>
      </c>
      <c r="F426" t="inlineStr">
        <is>
          <t>ST. FRANCIS XAVIER</t>
        </is>
      </c>
      <c r="G426" t="n">
        <v>69.2</v>
      </c>
    </row>
    <row r="427">
      <c r="E427" t="n">
        <v>2024</v>
      </c>
      <c r="F427" t="inlineStr">
        <is>
          <t>STANLEY</t>
        </is>
      </c>
      <c r="G427" t="n">
        <v>71.40000000000001</v>
      </c>
    </row>
    <row r="428">
      <c r="E428" t="n">
        <v>2024</v>
      </c>
      <c r="F428" t="inlineStr">
        <is>
          <t>STE. ANNE</t>
        </is>
      </c>
      <c r="G428" t="n">
        <v>73.7</v>
      </c>
    </row>
    <row r="429">
      <c r="E429" t="n">
        <v>2024</v>
      </c>
      <c r="F429" t="inlineStr">
        <is>
          <t>STE. ROSE</t>
        </is>
      </c>
      <c r="G429" t="n">
        <v>60.6</v>
      </c>
    </row>
    <row r="430">
      <c r="E430" t="n">
        <v>2024</v>
      </c>
      <c r="F430" t="inlineStr">
        <is>
          <t>TACHE</t>
        </is>
      </c>
      <c r="G430" t="n">
        <v>69.59999999999999</v>
      </c>
    </row>
    <row r="431">
      <c r="E431" t="n">
        <v>2024</v>
      </c>
      <c r="F431" t="inlineStr">
        <is>
          <t>THOMPSON</t>
        </is>
      </c>
      <c r="G431" t="n">
        <v>72.09999999999999</v>
      </c>
    </row>
    <row r="432">
      <c r="E432" t="n">
        <v>2024</v>
      </c>
      <c r="F432" t="inlineStr">
        <is>
          <t>TWO BORDERS</t>
        </is>
      </c>
      <c r="G432" t="n">
        <v>61.6</v>
      </c>
    </row>
    <row r="433">
      <c r="E433" t="n">
        <v>2024</v>
      </c>
      <c r="F433" t="inlineStr">
        <is>
          <t>VICTORIA</t>
        </is>
      </c>
      <c r="G433" t="n">
        <v>71.7</v>
      </c>
    </row>
    <row r="434">
      <c r="E434" t="n">
        <v>2024</v>
      </c>
      <c r="F434" t="inlineStr">
        <is>
          <t>WALLACE-WOODWORTH</t>
        </is>
      </c>
      <c r="G434" t="n">
        <v>55</v>
      </c>
    </row>
    <row r="435">
      <c r="E435" t="n">
        <v>2024</v>
      </c>
      <c r="F435" t="inlineStr">
        <is>
          <t>WESTLAKE-GLADSTONE</t>
        </is>
      </c>
      <c r="G435" t="n">
        <v>63.1</v>
      </c>
    </row>
    <row r="436">
      <c r="E436" t="n">
        <v>2024</v>
      </c>
      <c r="F436" t="inlineStr">
        <is>
          <t>WHITEHEAD</t>
        </is>
      </c>
      <c r="G436" t="n">
        <v>57.7</v>
      </c>
    </row>
    <row r="437">
      <c r="E437" t="n">
        <v>2024</v>
      </c>
      <c r="F437" t="inlineStr">
        <is>
          <t>WHITEMOUTH</t>
        </is>
      </c>
      <c r="G437" t="n">
        <v>62.2</v>
      </c>
    </row>
    <row r="438">
      <c r="E438" t="n">
        <v>2024</v>
      </c>
      <c r="F438" t="inlineStr">
        <is>
          <t>WOODLANDS</t>
        </is>
      </c>
      <c r="G438" t="n">
        <v>54.2</v>
      </c>
    </row>
    <row r="439">
      <c r="E439" t="n">
        <v>2024</v>
      </c>
      <c r="F439" t="inlineStr">
        <is>
          <t>YELLOWHEAD</t>
        </is>
      </c>
      <c r="G439" t="n">
        <v>55.8</v>
      </c>
    </row>
    <row r="440">
      <c r="E440" t="n">
        <v>2025</v>
      </c>
      <c r="F440" t="inlineStr">
        <is>
          <t>ALEXANDER</t>
        </is>
      </c>
      <c r="G440" t="n">
        <v>70.2</v>
      </c>
    </row>
    <row r="441">
      <c r="E441" t="n">
        <v>2025</v>
      </c>
      <c r="F441" t="inlineStr">
        <is>
          <t>ALONSA</t>
        </is>
      </c>
      <c r="G441" t="n">
        <v>50.7</v>
      </c>
    </row>
    <row r="442">
      <c r="E442" t="n">
        <v>2025</v>
      </c>
      <c r="F442" t="inlineStr">
        <is>
          <t>ARGYLE</t>
        </is>
      </c>
      <c r="G442" t="n">
        <v>67.7</v>
      </c>
    </row>
    <row r="443">
      <c r="E443" t="n">
        <v>2025</v>
      </c>
      <c r="F443" t="inlineStr">
        <is>
          <t>ARMSTRONG</t>
        </is>
      </c>
      <c r="G443" t="n">
        <v>22.3</v>
      </c>
    </row>
    <row r="444">
      <c r="E444" t="n">
        <v>2025</v>
      </c>
      <c r="F444" t="inlineStr">
        <is>
          <t>BIFROST-RIVERTON</t>
        </is>
      </c>
      <c r="G444" t="n">
        <v>50.9</v>
      </c>
    </row>
    <row r="445">
      <c r="E445" t="n">
        <v>2025</v>
      </c>
      <c r="F445" t="inlineStr">
        <is>
          <t>BOISSEVAIN-MORTON</t>
        </is>
      </c>
      <c r="G445" t="n">
        <v>71.2</v>
      </c>
    </row>
    <row r="446">
      <c r="E446" t="n">
        <v>2025</v>
      </c>
      <c r="F446" t="inlineStr">
        <is>
          <t>BRENDA-WASKADA</t>
        </is>
      </c>
      <c r="G446" t="n">
        <v>60.3</v>
      </c>
    </row>
    <row r="447">
      <c r="E447" t="n">
        <v>2025</v>
      </c>
      <c r="F447" t="inlineStr">
        <is>
          <t>BROKENHEAD</t>
        </is>
      </c>
      <c r="G447" t="n">
        <v>66.7</v>
      </c>
    </row>
    <row r="448">
      <c r="E448" t="n">
        <v>2025</v>
      </c>
      <c r="F448" t="inlineStr">
        <is>
          <t>CARTIER</t>
        </is>
      </c>
      <c r="G448" t="n">
        <v>74.7</v>
      </c>
    </row>
    <row r="449">
      <c r="E449" t="n">
        <v>2025</v>
      </c>
      <c r="F449" t="inlineStr">
        <is>
          <t>CARTWRIGHT-ROBLIN</t>
        </is>
      </c>
      <c r="G449" t="n">
        <v>69</v>
      </c>
    </row>
    <row r="450">
      <c r="E450" t="n">
        <v>2025</v>
      </c>
      <c r="F450" t="inlineStr">
        <is>
          <t>CLANWILLIAM-ERICKSON</t>
        </is>
      </c>
      <c r="G450" t="n">
        <v>46</v>
      </c>
    </row>
    <row r="451">
      <c r="E451" t="n">
        <v>2025</v>
      </c>
      <c r="F451" t="inlineStr">
        <is>
          <t>CORNWALLIS</t>
        </is>
      </c>
      <c r="G451" t="n">
        <v>60.1</v>
      </c>
    </row>
    <row r="452">
      <c r="E452" t="n">
        <v>2025</v>
      </c>
      <c r="F452" t="inlineStr">
        <is>
          <t>DAUPHIN</t>
        </is>
      </c>
      <c r="G452" t="n">
        <v>63.7</v>
      </c>
    </row>
    <row r="453">
      <c r="E453" t="n">
        <v>2025</v>
      </c>
      <c r="F453" t="inlineStr">
        <is>
          <t>DELORAINE-WINCHESTER</t>
        </is>
      </c>
      <c r="G453" t="n">
        <v>67.8</v>
      </c>
    </row>
    <row r="454">
      <c r="E454" t="n">
        <v>2025</v>
      </c>
      <c r="F454" t="inlineStr">
        <is>
          <t>DESALABERRY</t>
        </is>
      </c>
      <c r="G454" t="n">
        <v>70.59999999999999</v>
      </c>
    </row>
    <row r="455">
      <c r="E455" t="n">
        <v>2025</v>
      </c>
      <c r="F455" t="inlineStr">
        <is>
          <t>DUFFERIN</t>
        </is>
      </c>
      <c r="G455" t="n">
        <v>76.8</v>
      </c>
    </row>
    <row r="456">
      <c r="E456" t="n">
        <v>2025</v>
      </c>
      <c r="F456" t="inlineStr">
        <is>
          <t>ELLICE-ARCHIE</t>
        </is>
      </c>
      <c r="G456" t="n">
        <v>63.7</v>
      </c>
    </row>
    <row r="457">
      <c r="E457" t="n">
        <v>2025</v>
      </c>
      <c r="F457" t="inlineStr">
        <is>
          <t>ELTON</t>
        </is>
      </c>
      <c r="G457" t="n">
        <v>78</v>
      </c>
    </row>
    <row r="458">
      <c r="E458" t="n">
        <v>2025</v>
      </c>
      <c r="F458" t="inlineStr">
        <is>
          <t>EMERSON-FRANKLIN</t>
        </is>
      </c>
      <c r="G458" t="n">
        <v>76.5</v>
      </c>
    </row>
    <row r="459">
      <c r="E459" t="n">
        <v>2025</v>
      </c>
      <c r="F459" t="inlineStr">
        <is>
          <t>ETHELBERT</t>
        </is>
      </c>
      <c r="G459" t="n">
        <v>53.3</v>
      </c>
    </row>
    <row r="460">
      <c r="E460" t="n">
        <v>2025</v>
      </c>
      <c r="F460" t="inlineStr">
        <is>
          <t>FISHER</t>
        </is>
      </c>
      <c r="G460" t="n">
        <v>45.5</v>
      </c>
    </row>
    <row r="461">
      <c r="E461" t="n">
        <v>2025</v>
      </c>
      <c r="F461" t="inlineStr">
        <is>
          <t>GILBERT PLAINS</t>
        </is>
      </c>
      <c r="G461" t="n">
        <v>74.90000000000001</v>
      </c>
    </row>
    <row r="462">
      <c r="E462" t="n">
        <v>2025</v>
      </c>
      <c r="F462" t="inlineStr">
        <is>
          <t>GIMLI</t>
        </is>
      </c>
      <c r="G462" t="n">
        <v>65.40000000000001</v>
      </c>
    </row>
    <row r="463">
      <c r="E463" t="n">
        <v>2025</v>
      </c>
      <c r="F463" t="inlineStr">
        <is>
          <t>GLENBORO-SOUTH CYPRESS</t>
        </is>
      </c>
      <c r="G463" t="n">
        <v>53.8</v>
      </c>
    </row>
    <row r="464">
      <c r="E464" t="n">
        <v>2025</v>
      </c>
      <c r="F464" t="inlineStr">
        <is>
          <t>GLENELLA-LANSDOWNE</t>
        </is>
      </c>
      <c r="G464" t="n">
        <v>54</v>
      </c>
    </row>
    <row r="465">
      <c r="E465" t="n">
        <v>2025</v>
      </c>
      <c r="F465" t="inlineStr">
        <is>
          <t>GRANDVIEW</t>
        </is>
      </c>
      <c r="G465" t="n">
        <v>86.40000000000001</v>
      </c>
    </row>
    <row r="466">
      <c r="E466" t="n">
        <v>2025</v>
      </c>
      <c r="F466" t="inlineStr">
        <is>
          <t>GRASSLAND</t>
        </is>
      </c>
      <c r="G466" t="n">
        <v>65.40000000000001</v>
      </c>
    </row>
    <row r="467">
      <c r="E467" t="n">
        <v>2025</v>
      </c>
      <c r="F467" t="inlineStr">
        <is>
          <t>GREY</t>
        </is>
      </c>
      <c r="G467" t="n">
        <v>81.5</v>
      </c>
    </row>
    <row r="468">
      <c r="E468" t="n">
        <v>2025</v>
      </c>
      <c r="F468" t="inlineStr">
        <is>
          <t>HAMIOTA</t>
        </is>
      </c>
      <c r="G468" t="n">
        <v>59.4</v>
      </c>
    </row>
    <row r="469">
      <c r="E469" t="n">
        <v>2025</v>
      </c>
      <c r="F469" t="inlineStr">
        <is>
          <t>HANOVER</t>
        </is>
      </c>
      <c r="G469" t="n">
        <v>68.5</v>
      </c>
    </row>
    <row r="470">
      <c r="E470" t="n">
        <v>2025</v>
      </c>
      <c r="F470" t="inlineStr">
        <is>
          <t>HARRISON PARK</t>
        </is>
      </c>
      <c r="G470" t="n">
        <v>63.6</v>
      </c>
    </row>
    <row r="471">
      <c r="E471" t="n">
        <v>2025</v>
      </c>
      <c r="F471" t="inlineStr">
        <is>
          <t>KILLARNEY-TURTLE MTN</t>
        </is>
      </c>
      <c r="G471" t="n">
        <v>68.5</v>
      </c>
    </row>
    <row r="472">
      <c r="E472" t="n">
        <v>2025</v>
      </c>
      <c r="F472" t="inlineStr">
        <is>
          <t>LAKESHORE</t>
        </is>
      </c>
      <c r="G472" t="n">
        <v>61.9</v>
      </c>
    </row>
    <row r="473">
      <c r="E473" t="n">
        <v>2025</v>
      </c>
      <c r="F473" t="inlineStr">
        <is>
          <t>LORNE</t>
        </is>
      </c>
      <c r="G473" t="n">
        <v>80.40000000000001</v>
      </c>
    </row>
    <row r="474">
      <c r="E474" t="n">
        <v>2025</v>
      </c>
      <c r="F474" t="inlineStr">
        <is>
          <t>LOUISE</t>
        </is>
      </c>
      <c r="G474" t="n">
        <v>81.40000000000001</v>
      </c>
    </row>
    <row r="475">
      <c r="E475" t="n">
        <v>2025</v>
      </c>
      <c r="F475" t="inlineStr">
        <is>
          <t>MACDONALD</t>
        </is>
      </c>
      <c r="G475" t="n">
        <v>69.59999999999999</v>
      </c>
    </row>
    <row r="476">
      <c r="E476" t="n">
        <v>2025</v>
      </c>
      <c r="F476" t="inlineStr">
        <is>
          <t>MCCREARY</t>
        </is>
      </c>
      <c r="G476" t="n">
        <v>50.3</v>
      </c>
    </row>
    <row r="477">
      <c r="E477" t="n">
        <v>2025</v>
      </c>
      <c r="F477" t="inlineStr">
        <is>
          <t>MINITONAS-BOWSMAN</t>
        </is>
      </c>
      <c r="G477" t="n">
        <v>93</v>
      </c>
    </row>
    <row r="478">
      <c r="E478" t="n">
        <v>2025</v>
      </c>
      <c r="F478" t="inlineStr">
        <is>
          <t>MINTO-ODANAH</t>
        </is>
      </c>
      <c r="G478" t="n">
        <v>70.59999999999999</v>
      </c>
    </row>
    <row r="479">
      <c r="E479" t="n">
        <v>2025</v>
      </c>
      <c r="F479" t="inlineStr">
        <is>
          <t>MONTCALM</t>
        </is>
      </c>
      <c r="G479" t="n">
        <v>82.59999999999999</v>
      </c>
    </row>
    <row r="480">
      <c r="E480" t="n">
        <v>2025</v>
      </c>
      <c r="F480" t="inlineStr">
        <is>
          <t>MORRIS</t>
        </is>
      </c>
      <c r="G480" t="n">
        <v>71</v>
      </c>
    </row>
    <row r="481">
      <c r="E481" t="n">
        <v>2025</v>
      </c>
      <c r="F481" t="inlineStr">
        <is>
          <t>MOSSEY RIVER</t>
        </is>
      </c>
      <c r="G481" t="n">
        <v>52</v>
      </c>
    </row>
    <row r="482">
      <c r="E482" t="n">
        <v>2025</v>
      </c>
      <c r="F482" t="inlineStr">
        <is>
          <t>NORFOLK-TREHERNE</t>
        </is>
      </c>
      <c r="G482" t="n">
        <v>76.8</v>
      </c>
    </row>
    <row r="483">
      <c r="E483" t="n">
        <v>2025</v>
      </c>
      <c r="F483" t="inlineStr">
        <is>
          <t>NORTH CYPRESS-LANGFORD</t>
        </is>
      </c>
      <c r="G483" t="n">
        <v>63.4</v>
      </c>
    </row>
    <row r="484">
      <c r="E484" t="n">
        <v>2025</v>
      </c>
      <c r="F484" t="inlineStr">
        <is>
          <t>NORTH NORFOLK</t>
        </is>
      </c>
      <c r="G484" t="n">
        <v>67.40000000000001</v>
      </c>
    </row>
    <row r="485">
      <c r="E485" t="n">
        <v>2025</v>
      </c>
      <c r="F485" t="inlineStr">
        <is>
          <t>OAKLAND-WAWANESA</t>
        </is>
      </c>
      <c r="G485" t="n">
        <v>68.09999999999999</v>
      </c>
    </row>
    <row r="486">
      <c r="E486" t="n">
        <v>2025</v>
      </c>
      <c r="F486" t="inlineStr">
        <is>
          <t>OAKVIEW</t>
        </is>
      </c>
      <c r="G486" t="n">
        <v>64</v>
      </c>
    </row>
    <row r="487">
      <c r="E487" t="n">
        <v>2025</v>
      </c>
      <c r="F487" t="inlineStr">
        <is>
          <t>PEMBINA</t>
        </is>
      </c>
      <c r="G487" t="n">
        <v>78.40000000000001</v>
      </c>
    </row>
    <row r="488">
      <c r="E488" t="n">
        <v>2025</v>
      </c>
      <c r="F488" t="inlineStr">
        <is>
          <t>PINEY</t>
        </is>
      </c>
      <c r="G488" t="n">
        <v>58.9</v>
      </c>
    </row>
    <row r="489">
      <c r="E489" t="n">
        <v>2025</v>
      </c>
      <c r="F489" t="inlineStr">
        <is>
          <t>PIPESTONE</t>
        </is>
      </c>
      <c r="G489" t="n">
        <v>60.9</v>
      </c>
    </row>
    <row r="490">
      <c r="E490" t="n">
        <v>2025</v>
      </c>
      <c r="F490" t="inlineStr">
        <is>
          <t>PORTAGE LA PRAIRIE</t>
        </is>
      </c>
      <c r="G490" t="n">
        <v>75.3</v>
      </c>
    </row>
    <row r="491">
      <c r="E491" t="n">
        <v>2025</v>
      </c>
      <c r="F491" t="inlineStr">
        <is>
          <t>PRAIRIE LAKES</t>
        </is>
      </c>
      <c r="G491" t="n">
        <v>68.90000000000001</v>
      </c>
    </row>
    <row r="492">
      <c r="E492" t="n">
        <v>2025</v>
      </c>
      <c r="F492" t="inlineStr">
        <is>
          <t>PRAIRIE VIEW</t>
        </is>
      </c>
      <c r="G492" t="n">
        <v>64.3</v>
      </c>
    </row>
    <row r="493">
      <c r="E493" t="n">
        <v>2025</v>
      </c>
      <c r="F493" t="inlineStr">
        <is>
          <t>RHINELAND</t>
        </is>
      </c>
      <c r="G493" t="n">
        <v>80.2</v>
      </c>
    </row>
    <row r="494">
      <c r="E494" t="n">
        <v>2025</v>
      </c>
      <c r="F494" t="inlineStr">
        <is>
          <t>RIDING MOUNTAIN WEST</t>
        </is>
      </c>
      <c r="G494" t="n">
        <v>71.2</v>
      </c>
    </row>
    <row r="495">
      <c r="E495" t="n">
        <v>2025</v>
      </c>
      <c r="F495" t="inlineStr">
        <is>
          <t>RITCHOT</t>
        </is>
      </c>
      <c r="G495" t="n">
        <v>75.90000000000001</v>
      </c>
    </row>
    <row r="496">
      <c r="E496" t="n">
        <v>2025</v>
      </c>
      <c r="F496" t="inlineStr">
        <is>
          <t>RIVERDALE</t>
        </is>
      </c>
      <c r="G496" t="n">
        <v>48.3</v>
      </c>
    </row>
    <row r="497">
      <c r="E497" t="n">
        <v>2025</v>
      </c>
      <c r="F497" t="inlineStr">
        <is>
          <t>ROCKWOOD</t>
        </is>
      </c>
      <c r="G497" t="n">
        <v>56.3</v>
      </c>
    </row>
    <row r="498">
      <c r="E498" t="n">
        <v>2025</v>
      </c>
      <c r="F498" t="inlineStr">
        <is>
          <t>ROLAND</t>
        </is>
      </c>
      <c r="G498" t="n">
        <v>79.2</v>
      </c>
    </row>
    <row r="499">
      <c r="E499" t="n">
        <v>2025</v>
      </c>
      <c r="F499" t="inlineStr">
        <is>
          <t>ROSEDALE</t>
        </is>
      </c>
      <c r="G499" t="n">
        <v>65.90000000000001</v>
      </c>
    </row>
    <row r="500">
      <c r="E500" t="n">
        <v>2025</v>
      </c>
      <c r="F500" t="inlineStr">
        <is>
          <t>ROSSBURN</t>
        </is>
      </c>
      <c r="G500" t="n">
        <v>65.7</v>
      </c>
    </row>
    <row r="501">
      <c r="E501" t="n">
        <v>2025</v>
      </c>
      <c r="F501" t="inlineStr">
        <is>
          <t>ROSSER</t>
        </is>
      </c>
      <c r="G501" t="n">
        <v>62.1</v>
      </c>
    </row>
    <row r="502">
      <c r="E502" t="n">
        <v>2025</v>
      </c>
      <c r="F502" t="inlineStr">
        <is>
          <t>SIFTON</t>
        </is>
      </c>
      <c r="G502" t="n">
        <v>39.8</v>
      </c>
    </row>
    <row r="503">
      <c r="E503" t="n">
        <v>2025</v>
      </c>
      <c r="F503" t="inlineStr">
        <is>
          <t>SOURIS-GLENWOOD</t>
        </is>
      </c>
      <c r="G503" t="n">
        <v>66.2</v>
      </c>
    </row>
    <row r="504">
      <c r="E504" t="n">
        <v>2025</v>
      </c>
      <c r="F504" t="inlineStr">
        <is>
          <t>SPRINGFIELD</t>
        </is>
      </c>
      <c r="G504" t="n">
        <v>69.5</v>
      </c>
    </row>
    <row r="505">
      <c r="E505" t="n">
        <v>2025</v>
      </c>
      <c r="F505" t="inlineStr">
        <is>
          <t>ST. ANDREWS</t>
        </is>
      </c>
      <c r="G505" t="n">
        <v>72.3</v>
      </c>
    </row>
    <row r="506">
      <c r="E506" t="n">
        <v>2025</v>
      </c>
      <c r="F506" t="inlineStr">
        <is>
          <t>ST. CLEMENTS</t>
        </is>
      </c>
      <c r="G506" t="n">
        <v>60.4</v>
      </c>
    </row>
    <row r="507">
      <c r="E507" t="n">
        <v>2025</v>
      </c>
      <c r="F507" t="inlineStr">
        <is>
          <t>ST. FRANCIS XAVIER</t>
        </is>
      </c>
      <c r="G507" t="n">
        <v>68.40000000000001</v>
      </c>
    </row>
    <row r="508">
      <c r="E508" t="n">
        <v>2025</v>
      </c>
      <c r="F508" t="inlineStr">
        <is>
          <t>STANLEY</t>
        </is>
      </c>
      <c r="G508" t="n">
        <v>75.3</v>
      </c>
    </row>
    <row r="509">
      <c r="E509" t="n">
        <v>2025</v>
      </c>
      <c r="F509" t="inlineStr">
        <is>
          <t>STE. ANNE</t>
        </is>
      </c>
      <c r="G509" t="n">
        <v>87.90000000000001</v>
      </c>
    </row>
    <row r="510">
      <c r="E510" t="n">
        <v>2025</v>
      </c>
      <c r="F510" t="inlineStr">
        <is>
          <t>STE. ROSE</t>
        </is>
      </c>
      <c r="G510" t="n">
        <v>66.59999999999999</v>
      </c>
    </row>
    <row r="511">
      <c r="E511" t="n">
        <v>2025</v>
      </c>
      <c r="F511" t="inlineStr">
        <is>
          <t>TACHE</t>
        </is>
      </c>
      <c r="G511" t="n">
        <v>78.59999999999999</v>
      </c>
    </row>
    <row r="512">
      <c r="E512" t="n">
        <v>2025</v>
      </c>
      <c r="F512" t="inlineStr">
        <is>
          <t>THOMPSON</t>
        </is>
      </c>
      <c r="G512" t="n">
        <v>77.90000000000001</v>
      </c>
    </row>
    <row r="513">
      <c r="E513" t="n">
        <v>2025</v>
      </c>
      <c r="F513" t="inlineStr">
        <is>
          <t>TWO BORDERS</t>
        </is>
      </c>
      <c r="G513" t="n">
        <v>59.5</v>
      </c>
    </row>
    <row r="514">
      <c r="E514" t="n">
        <v>2025</v>
      </c>
      <c r="F514" t="inlineStr">
        <is>
          <t>VICTORIA</t>
        </is>
      </c>
      <c r="G514" t="n">
        <v>66.59999999999999</v>
      </c>
    </row>
    <row r="515">
      <c r="E515" t="n">
        <v>2025</v>
      </c>
      <c r="F515" t="inlineStr">
        <is>
          <t>WALLACE-WOODWORTH</t>
        </is>
      </c>
      <c r="G515" t="n">
        <v>64.90000000000001</v>
      </c>
    </row>
    <row r="516">
      <c r="E516" t="n">
        <v>2025</v>
      </c>
      <c r="F516" t="inlineStr">
        <is>
          <t>WESTLAKE-GLADSTONE</t>
        </is>
      </c>
      <c r="G516" t="n">
        <v>64.09999999999999</v>
      </c>
    </row>
    <row r="517">
      <c r="E517" t="n">
        <v>2025</v>
      </c>
      <c r="F517" t="inlineStr">
        <is>
          <t>WHITEHEAD</t>
        </is>
      </c>
      <c r="G517" t="n">
        <v>62.5</v>
      </c>
    </row>
    <row r="518">
      <c r="E518" t="n">
        <v>2025</v>
      </c>
      <c r="F518" t="inlineStr">
        <is>
          <t>WHITEMOUTH</t>
        </is>
      </c>
      <c r="G518" t="n">
        <v>69</v>
      </c>
    </row>
    <row r="519">
      <c r="E519" t="n">
        <v>2025</v>
      </c>
      <c r="F519" t="inlineStr">
        <is>
          <t>WOODLANDS</t>
        </is>
      </c>
      <c r="G519" t="n">
        <v>56.4</v>
      </c>
    </row>
    <row r="520">
      <c r="E520" t="n">
        <v>2025</v>
      </c>
      <c r="F520" t="inlineStr">
        <is>
          <t>YELLOWHEAD</t>
        </is>
      </c>
      <c r="G520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2026-08-30T19:31:19Z</dcterms:created>
  <dcterms:modified xmlns:dcterms="http://purl.org/dc/terms/" xmlns:xsi="http://www.w3.org/2001/XMLSchema-instance" xsi:type="dcterms:W3CDTF">2026-08-30T19:31:19Z</dcterms:modified>
</cp:coreProperties>
</file>