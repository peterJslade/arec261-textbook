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sw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</font>
  </fonts>
  <fills count="7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9EAD3"/>
      </patternFill>
    </fill>
    <fill>
      <patternFill patternType="solid">
        <fgColor rgb="00CFE2F3"/>
      </patternFill>
    </fill>
    <fill>
      <patternFill patternType="solid">
        <fgColor rgb="00F4CCCC"/>
      </patternFill>
    </fill>
    <fill>
      <patternFill patternType="solid">
        <fgColor rgb="00D9D2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  <xf numFmtId="0" fontId="0" fillId="3" borderId="0" applyAlignment="1" pivotButton="0" quotePrefix="0" xfId="0">
      <alignment vertical="top" wrapText="1"/>
    </xf>
    <xf numFmtId="0" fontId="0" fillId="3" borderId="0" pivotButton="0" quotePrefix="0" xfId="0"/>
    <xf numFmtId="0" fontId="0" fillId="4" borderId="0" applyAlignment="1" pivotButton="0" quotePrefix="0" xfId="0">
      <alignment vertical="top" wrapText="1"/>
    </xf>
    <xf numFmtId="0" fontId="0" fillId="4" borderId="0" pivotButton="0" quotePrefix="0" xfId="0"/>
    <xf numFmtId="0" fontId="0" fillId="5" borderId="0" applyAlignment="1" pivotButton="0" quotePrefix="0" xfId="0">
      <alignment vertical="top" wrapText="1"/>
    </xf>
    <xf numFmtId="0" fontId="0" fillId="5" borderId="0" pivotButton="0" quotePrefix="0" xfId="0"/>
    <xf numFmtId="0" fontId="0" fillId="6" borderId="0" applyAlignment="1" pivotButton="0" quotePrefix="0" xfId="0">
      <alignment vertical="top" wrapText="1"/>
    </xf>
    <xf numFmtId="0" fontId="0" fillId="6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s="1" t="inlineStr">
        <is>
          <t>Variety</t>
        </is>
      </c>
      <c r="B1" s="1" t="inlineStr">
        <is>
          <t>Yield_bu_ac</t>
        </is>
      </c>
    </row>
    <row r="2">
      <c r="A2" t="inlineStr">
        <is>
          <t>AAC BRANDON (BW 932)</t>
        </is>
      </c>
      <c r="B2" s="2" t="n">
        <v>71.2</v>
      </c>
    </row>
    <row r="3">
      <c r="A3" t="inlineStr">
        <is>
          <t>AAC HOCKLEY |BW5044|</t>
        </is>
      </c>
      <c r="B3" s="2" t="n">
        <v>72.09999999999999</v>
      </c>
    </row>
    <row r="4">
      <c r="A4" t="inlineStr">
        <is>
          <t>AAC HODGE |BW1069|</t>
        </is>
      </c>
      <c r="B4" s="2" t="n">
        <v>65.2</v>
      </c>
    </row>
    <row r="5">
      <c r="A5" t="inlineStr">
        <is>
          <t>AAC REDBERRY</t>
        </is>
      </c>
      <c r="B5" s="2" t="n">
        <v>59.1</v>
      </c>
    </row>
    <row r="6">
      <c r="A6" t="inlineStr">
        <is>
          <t>AAC STARBUCK &lt;SECAN&gt;</t>
        </is>
      </c>
      <c r="B6" s="2" t="n">
        <v>79.7</v>
      </c>
    </row>
    <row r="7">
      <c r="A7" t="inlineStr">
        <is>
          <t>AAC VIEWFIELD &lt;FP GENETICS&gt;|BW965| EXP</t>
        </is>
      </c>
      <c r="B7" s="2" t="n">
        <v>87.3</v>
      </c>
    </row>
    <row r="8">
      <c r="A8" t="inlineStr">
        <is>
          <t>AAC WESTKING</t>
        </is>
      </c>
      <c r="B8" s="2" t="n">
        <v>87.7</v>
      </c>
    </row>
    <row r="9">
      <c r="A9" t="inlineStr">
        <is>
          <t>AAC WHEATLAND &lt;SECAN&gt;</t>
        </is>
      </c>
      <c r="B9" s="2" t="n">
        <v>72.7</v>
      </c>
    </row>
    <row r="10">
      <c r="A10" t="inlineStr">
        <is>
          <t>BOLLES &lt;SEED DEPOT&gt;</t>
        </is>
      </c>
      <c r="B10" s="2" t="n">
        <v>43.4</v>
      </c>
    </row>
    <row r="11">
      <c r="A11" t="inlineStr">
        <is>
          <t>CDC LANDMARK</t>
        </is>
      </c>
      <c r="B11" s="2" t="n">
        <v>72.3</v>
      </c>
    </row>
    <row r="12">
      <c r="A12" t="inlineStr">
        <is>
          <t>SY MANNESS</t>
        </is>
      </c>
      <c r="B12" s="2" t="n">
        <v>77.7</v>
      </c>
    </row>
    <row r="14">
      <c r="A14" s="3" t="inlineStr">
        <is>
          <t>Mean</t>
        </is>
      </c>
      <c r="B14" s="4">
        <f>AVERAGE(B2:B12)</f>
        <v/>
      </c>
    </row>
    <row r="15">
      <c r="A15" s="3" t="inlineStr">
        <is>
          <t>Maximum</t>
        </is>
      </c>
      <c r="B15" s="4">
        <f>MAX(B2:B12)</f>
        <v/>
      </c>
    </row>
    <row r="16">
      <c r="A16" s="3" t="inlineStr">
        <is>
          <t>Minimum</t>
        </is>
      </c>
      <c r="B16" s="4">
        <f>MIN(B2:B12)</f>
        <v/>
      </c>
    </row>
    <row r="17">
      <c r="A17" s="3" t="inlineStr">
        <is>
          <t>Range</t>
        </is>
      </c>
      <c r="B17" s="4">
        <f>B15-B16</f>
        <v/>
      </c>
    </row>
    <row r="19">
      <c r="A19" s="5" t="inlineStr">
        <is>
          <t>The range of about 44.3 bu/ac is the gap between the best-yielding variety (AAC Westking, 87.7) and the worst (Bolles, 43.4) in that one place and year -- a spread across varieties, not across places.</t>
        </is>
      </c>
      <c r="B19" s="6" t="n"/>
      <c r="C19" s="6" t="n"/>
      <c r="D19" s="6" t="n"/>
      <c r="E19" s="6" t="n"/>
      <c r="F19" s="6" t="n"/>
      <c r="G19" s="6" t="n"/>
      <c r="H19" s="6" t="n"/>
    </row>
    <row r="20">
      <c r="A20" s="6" t="n"/>
      <c r="B20" s="6" t="n"/>
      <c r="C20" s="6" t="n"/>
      <c r="D20" s="6" t="n"/>
      <c r="E20" s="6" t="n"/>
      <c r="F20" s="6" t="n"/>
      <c r="G20" s="6" t="n"/>
      <c r="H20" s="6" t="n"/>
    </row>
    <row r="22">
      <c r="A22" s="7" t="inlineStr">
        <is>
          <t>Same place, same weather, same soil -- within one municipality-year the yield differences are mostly genetics, so variety effects are not mixed up with environment the way they are in a province-wide spread.</t>
        </is>
      </c>
      <c r="B22" s="8" t="n"/>
      <c r="C22" s="8" t="n"/>
      <c r="D22" s="8" t="n"/>
      <c r="E22" s="8" t="n"/>
      <c r="F22" s="8" t="n"/>
      <c r="G22" s="8" t="n"/>
      <c r="H22" s="8" t="n"/>
    </row>
    <row r="23">
      <c r="A23" s="8" t="n"/>
      <c r="B23" s="8" t="n"/>
      <c r="C23" s="8" t="n"/>
      <c r="D23" s="8" t="n"/>
      <c r="E23" s="8" t="n"/>
      <c r="F23" s="8" t="n"/>
      <c r="G23" s="8" t="n"/>
      <c r="H23" s="8" t="n"/>
    </row>
    <row r="25">
      <c r="A25" s="9" t="inlineStr">
        <is>
          <t>One site-year is a single sample -- the weather and soil there may not represent the province, and chance plays a role.</t>
        </is>
      </c>
      <c r="B25" s="10" t="n"/>
      <c r="C25" s="10" t="n"/>
      <c r="D25" s="10" t="n"/>
      <c r="E25" s="10" t="n"/>
      <c r="F25" s="10" t="n"/>
      <c r="G25" s="10" t="n"/>
      <c r="H25" s="10" t="n"/>
    </row>
    <row r="26">
      <c r="A26" s="10" t="n"/>
      <c r="B26" s="10" t="n"/>
      <c r="C26" s="10" t="n"/>
      <c r="D26" s="10" t="n"/>
      <c r="E26" s="10" t="n"/>
      <c r="F26" s="10" t="n"/>
      <c r="G26" s="10" t="n"/>
      <c r="H26" s="10" t="n"/>
    </row>
    <row r="28">
      <c r="A28" s="11" t="inlineStr">
        <is>
          <t>Average each variety across many municipalities (for example a PivotTable by variety) so site quirks average out.</t>
        </is>
      </c>
      <c r="B28" s="12" t="n"/>
      <c r="C28" s="12" t="n"/>
      <c r="D28" s="12" t="n"/>
      <c r="E28" s="12" t="n"/>
      <c r="F28" s="12" t="n"/>
      <c r="G28" s="12" t="n"/>
      <c r="H28" s="12" t="n"/>
    </row>
    <row r="29">
      <c r="A29" s="12" t="n"/>
      <c r="B29" s="12" t="n"/>
      <c r="C29" s="12" t="n"/>
      <c r="D29" s="12" t="n"/>
      <c r="E29" s="12" t="n"/>
      <c r="F29" s="12" t="n"/>
      <c r="G29" s="12" t="n"/>
      <c r="H29" s="12" t="n"/>
    </row>
    <row r="31">
      <c r="A31" s="3" t="inlineStr">
        <is>
          <t>Part (a)</t>
        </is>
      </c>
    </row>
    <row r="32">
      <c r="A32" s="6" t="inlineStr">
        <is>
          <t>Part (b)</t>
        </is>
      </c>
    </row>
    <row r="33">
      <c r="A33" s="8" t="inlineStr">
        <is>
          <t>Part (c)</t>
        </is>
      </c>
    </row>
    <row r="34">
      <c r="A34" s="10" t="inlineStr">
        <is>
          <t>Part (d)</t>
        </is>
      </c>
    </row>
    <row r="35">
      <c r="A35" s="12" t="inlineStr">
        <is>
          <t>Part (e)</t>
        </is>
      </c>
    </row>
  </sheetData>
  <mergeCells count="4">
    <mergeCell ref="A22:H23"/>
    <mergeCell ref="A28:H29"/>
    <mergeCell ref="A25:H26"/>
    <mergeCell ref="A19:H2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2026-08-30T19:32:56Z</dcterms:created>
  <dcterms:modified xmlns:dcterms="http://purl.org/dc/terms/" xmlns:xsi="http://www.w3.org/2001/XMLSchema-instance" xsi:type="dcterms:W3CDTF">2026-08-30T19:32:56Z</dcterms:modified>
</cp:coreProperties>
</file>