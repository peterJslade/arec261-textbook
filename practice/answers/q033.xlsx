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  <sheet xmlns:r="http://schemas.openxmlformats.org/officeDocument/2006/relationships"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4" borderId="0" pivotButton="0" quotePrefix="0" xfId="0"/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0" fillId="6" borderId="0" applyAlignment="1" pivotButton="0" quotePrefix="0" xfId="0">
      <alignment vertical="top" wrapText="1"/>
    </xf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2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>
      <c r="A1" s="1" t="inlineStr">
        <is>
          <t>Question 53 -- Saskatchewan, all crops, all years (Data sheet, column E)</t>
        </is>
      </c>
    </row>
    <row r="3">
      <c r="A3" s="2" t="inlineStr">
        <is>
          <t>Mean</t>
        </is>
      </c>
      <c r="B3" s="3">
        <f>AVERAGE('Data'!E2:E138)</f>
        <v/>
      </c>
    </row>
    <row r="4">
      <c r="A4" s="2" t="inlineStr">
        <is>
          <t>Median</t>
        </is>
      </c>
      <c r="B4" s="3">
        <f>MEDIAN('Data'!E2:E138)</f>
        <v/>
      </c>
    </row>
    <row r="6">
      <c r="A6" s="4" t="inlineStr">
        <is>
          <t>Different crops have very different typical yields -- oats near 70 bu/ac, flax near 20 -- so a mean taken across all of them is a blend that describes no crop, and the mean sitting well above the median mostly reflects the mix.</t>
        </is>
      </c>
      <c r="B6" s="5" t="n"/>
      <c r="C6" s="5" t="n"/>
      <c r="D6" s="5" t="n"/>
      <c r="E6" s="5" t="n"/>
      <c r="F6" s="5" t="n"/>
      <c r="G6" s="5" t="n"/>
      <c r="H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</row>
    <row r="10">
      <c r="A10" s="6" t="inlineStr">
        <is>
          <t>Pooling crops hides the differences between crops in one place; pooling provinces hides the differences between places for one crop. Both blend unlike things into a single number, and each hides the structure along its own dimension.</t>
        </is>
      </c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4">
      <c r="A14" s="8" t="inlineStr">
        <is>
          <t>A PivotTable with Crop on Rows and Yield as Average -- or AVERAGEIF per crop -- separates the crops before summarising.</t>
        </is>
      </c>
      <c r="B14" s="9" t="n"/>
      <c r="C14" s="9" t="n"/>
      <c r="D14" s="9" t="n"/>
      <c r="E14" s="9" t="n"/>
      <c r="F14" s="9" t="n"/>
      <c r="G14" s="9" t="n"/>
      <c r="H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</row>
    <row r="17">
      <c r="A17" s="10" t="inlineStr">
        <is>
          <t>An average is only meaningful when the things averaged are alike -- hold crop, and ideally place and year, constant first.</t>
        </is>
      </c>
      <c r="B17" s="11" t="n"/>
      <c r="C17" s="11" t="n"/>
      <c r="D17" s="11" t="n"/>
      <c r="E17" s="11" t="n"/>
      <c r="F17" s="11" t="n"/>
      <c r="G17" s="11" t="n"/>
      <c r="H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</row>
    <row r="20">
      <c r="A20" s="2" t="inlineStr">
        <is>
          <t>Part (a)</t>
        </is>
      </c>
    </row>
    <row r="21">
      <c r="A21" s="5" t="inlineStr">
        <is>
          <t>Part (b)</t>
        </is>
      </c>
    </row>
    <row r="22">
      <c r="A22" s="7" t="inlineStr">
        <is>
          <t>Part (c)</t>
        </is>
      </c>
    </row>
    <row r="23">
      <c r="A23" s="9" t="inlineStr">
        <is>
          <t>Part (d)</t>
        </is>
      </c>
    </row>
    <row r="24">
      <c r="A24" s="11" t="inlineStr">
        <is>
          <t>Part (e)</t>
        </is>
      </c>
    </row>
  </sheetData>
  <mergeCells count="4">
    <mergeCell ref="A17:H18"/>
    <mergeCell ref="A6:H8"/>
    <mergeCell ref="A10:H12"/>
    <mergeCell ref="A14:H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8"/>
  <sheetViews>
    <sheetView workbookViewId="0">
      <selection activeCell="A1" sqref="A1"/>
    </sheetView>
  </sheetViews>
  <sheetFormatPr baseColWidth="8" defaultRowHeight="15"/>
  <cols>
    <col width="7" customWidth="1" min="1" max="1"/>
    <col width="26" customWidth="1" min="2" max="2"/>
    <col width="16" customWidth="1" min="3" max="3"/>
    <col width="13" customWidth="1" min="4" max="4"/>
    <col width="12" customWidth="1" min="5" max="5"/>
  </cols>
  <sheetData>
    <row r="1">
      <c r="A1" s="1" t="inlineStr">
        <is>
          <t>Year</t>
        </is>
      </c>
      <c r="B1" s="1" t="inlineStr">
        <is>
          <t>Province</t>
        </is>
      </c>
      <c r="C1" s="1" t="inlineStr">
        <is>
          <t>Crop</t>
        </is>
      </c>
      <c r="D1" s="1" t="inlineStr">
        <is>
          <t>Seeded_acres</t>
        </is>
      </c>
      <c r="E1" s="1" t="inlineStr">
        <is>
          <t>Yield_bu_ac</t>
        </is>
      </c>
    </row>
    <row r="2">
      <c r="A2" t="n">
        <v>2015</v>
      </c>
      <c r="B2" t="inlineStr">
        <is>
          <t>Saskatchewan</t>
        </is>
      </c>
      <c r="C2" t="inlineStr">
        <is>
          <t>Barley</t>
        </is>
      </c>
      <c r="D2" t="n">
        <v>2340000</v>
      </c>
      <c r="E2" t="n">
        <v>60.7</v>
      </c>
    </row>
    <row r="3">
      <c r="A3" t="n">
        <v>2015</v>
      </c>
      <c r="B3" t="inlineStr">
        <is>
          <t>Saskatchewan</t>
        </is>
      </c>
      <c r="C3" t="inlineStr">
        <is>
          <t>Canola</t>
        </is>
      </c>
      <c r="D3" t="n">
        <v>11150000</v>
      </c>
      <c r="E3" t="n">
        <v>37.9</v>
      </c>
    </row>
    <row r="4">
      <c r="A4" t="n">
        <v>2015</v>
      </c>
      <c r="B4" t="inlineStr">
        <is>
          <t>Saskatchewan</t>
        </is>
      </c>
      <c r="C4" t="inlineStr">
        <is>
          <t>Dry peas</t>
        </is>
      </c>
      <c r="D4" t="n">
        <v>2135000</v>
      </c>
      <c r="E4" t="n">
        <v>30.9</v>
      </c>
    </row>
    <row r="5">
      <c r="A5" t="n">
        <v>2015</v>
      </c>
      <c r="B5" t="inlineStr">
        <is>
          <t>Saskatchewan</t>
        </is>
      </c>
      <c r="C5" t="inlineStr">
        <is>
          <t>Durum wheat</t>
        </is>
      </c>
      <c r="D5" t="n">
        <v>4900000</v>
      </c>
      <c r="E5" t="n">
        <v>34.6</v>
      </c>
    </row>
    <row r="6">
      <c r="A6" t="n">
        <v>2015</v>
      </c>
      <c r="B6" t="inlineStr">
        <is>
          <t>Saskatchewan</t>
        </is>
      </c>
      <c r="C6" t="inlineStr">
        <is>
          <t>Flax</t>
        </is>
      </c>
      <c r="D6" t="n">
        <v>1350000</v>
      </c>
      <c r="E6" t="n">
        <v>23.7</v>
      </c>
    </row>
    <row r="7">
      <c r="A7" t="n">
        <v>2015</v>
      </c>
      <c r="B7" t="inlineStr">
        <is>
          <t>Saskatchewan</t>
        </is>
      </c>
      <c r="C7" t="inlineStr">
        <is>
          <t>Oats</t>
        </is>
      </c>
      <c r="D7" t="n">
        <v>1650000</v>
      </c>
      <c r="E7" t="n">
        <v>90.90000000000001</v>
      </c>
    </row>
    <row r="8">
      <c r="A8" t="n">
        <v>2015</v>
      </c>
      <c r="B8" t="inlineStr">
        <is>
          <t>Saskatchewan</t>
        </is>
      </c>
      <c r="C8" t="inlineStr">
        <is>
          <t>Rye</t>
        </is>
      </c>
      <c r="D8" t="n">
        <v>100000</v>
      </c>
      <c r="E8" t="n">
        <v>26.3</v>
      </c>
    </row>
    <row r="9">
      <c r="A9" t="n">
        <v>2015</v>
      </c>
      <c r="B9" t="inlineStr">
        <is>
          <t>Saskatchewan</t>
        </is>
      </c>
      <c r="C9" t="inlineStr">
        <is>
          <t>Soybeans</t>
        </is>
      </c>
      <c r="D9" t="n">
        <v>270000</v>
      </c>
      <c r="E9" t="n">
        <v>24.9</v>
      </c>
    </row>
    <row r="10">
      <c r="A10" t="n">
        <v>2015</v>
      </c>
      <c r="B10" t="inlineStr">
        <is>
          <t>Saskatchewan</t>
        </is>
      </c>
      <c r="C10" t="inlineStr">
        <is>
          <t>Spring wheat</t>
        </is>
      </c>
      <c r="D10" t="n">
        <v>7695000</v>
      </c>
      <c r="E10" t="n">
        <v>39.7</v>
      </c>
    </row>
    <row r="11">
      <c r="A11" t="n">
        <v>2015</v>
      </c>
      <c r="B11" t="inlineStr">
        <is>
          <t>Saskatchewan</t>
        </is>
      </c>
      <c r="C11" t="inlineStr">
        <is>
          <t>Wheat (all)</t>
        </is>
      </c>
      <c r="D11" t="n">
        <v>12855000</v>
      </c>
      <c r="E11" t="n">
        <v>37.8</v>
      </c>
    </row>
    <row r="12">
      <c r="A12" t="n">
        <v>2015</v>
      </c>
      <c r="B12" t="inlineStr">
        <is>
          <t>Saskatchewan</t>
        </is>
      </c>
      <c r="C12" t="inlineStr">
        <is>
          <t>Winter wheat</t>
        </is>
      </c>
      <c r="D12" t="n">
        <v>240000</v>
      </c>
      <c r="E12" t="n">
        <v>39.2</v>
      </c>
    </row>
    <row r="13">
      <c r="A13" t="n">
        <v>2016</v>
      </c>
      <c r="B13" t="inlineStr">
        <is>
          <t>Saskatchewan</t>
        </is>
      </c>
      <c r="C13" t="inlineStr">
        <is>
          <t>Barley</t>
        </is>
      </c>
      <c r="D13" t="n">
        <v>2475000</v>
      </c>
      <c r="E13" t="n">
        <v>69.8</v>
      </c>
    </row>
    <row r="14">
      <c r="A14" t="n">
        <v>2016</v>
      </c>
      <c r="B14" t="inlineStr">
        <is>
          <t>Saskatchewan</t>
        </is>
      </c>
      <c r="C14" t="inlineStr">
        <is>
          <t>Canola</t>
        </is>
      </c>
      <c r="D14" t="n">
        <v>11250000</v>
      </c>
      <c r="E14" t="n">
        <v>42.1</v>
      </c>
    </row>
    <row r="15">
      <c r="A15" t="n">
        <v>2016</v>
      </c>
      <c r="B15" t="inlineStr">
        <is>
          <t>Saskatchewan</t>
        </is>
      </c>
      <c r="C15" t="inlineStr">
        <is>
          <t>Dry peas</t>
        </is>
      </c>
      <c r="D15" t="n">
        <v>2160000</v>
      </c>
      <c r="E15" t="n">
        <v>40.5</v>
      </c>
    </row>
    <row r="16">
      <c r="A16" t="n">
        <v>2016</v>
      </c>
      <c r="B16" t="inlineStr">
        <is>
          <t>Saskatchewan</t>
        </is>
      </c>
      <c r="C16" t="inlineStr">
        <is>
          <t>Durum wheat</t>
        </is>
      </c>
      <c r="D16" t="n">
        <v>5000000</v>
      </c>
      <c r="E16" t="n">
        <v>48.5</v>
      </c>
    </row>
    <row r="17">
      <c r="A17" t="n">
        <v>2016</v>
      </c>
      <c r="B17" t="inlineStr">
        <is>
          <t>Saskatchewan</t>
        </is>
      </c>
      <c r="C17" t="inlineStr">
        <is>
          <t>Flax</t>
        </is>
      </c>
      <c r="D17" t="n">
        <v>780000</v>
      </c>
      <c r="E17" t="n">
        <v>27</v>
      </c>
    </row>
    <row r="18">
      <c r="A18" t="n">
        <v>2016</v>
      </c>
      <c r="B18" t="inlineStr">
        <is>
          <t>Saskatchewan</t>
        </is>
      </c>
      <c r="C18" t="inlineStr">
        <is>
          <t>Mixed grains</t>
        </is>
      </c>
      <c r="D18" t="n">
        <v>30000</v>
      </c>
      <c r="E18" t="n">
        <v>50</v>
      </c>
    </row>
    <row r="19">
      <c r="A19" t="n">
        <v>2016</v>
      </c>
      <c r="B19" t="inlineStr">
        <is>
          <t>Saskatchewan</t>
        </is>
      </c>
      <c r="C19" t="inlineStr">
        <is>
          <t>Oats</t>
        </is>
      </c>
      <c r="D19" t="n">
        <v>1380000</v>
      </c>
      <c r="E19" t="n">
        <v>94</v>
      </c>
    </row>
    <row r="20">
      <c r="A20" t="n">
        <v>2016</v>
      </c>
      <c r="B20" t="inlineStr">
        <is>
          <t>Saskatchewan</t>
        </is>
      </c>
      <c r="C20" t="inlineStr">
        <is>
          <t>Rye</t>
        </is>
      </c>
      <c r="D20" t="n">
        <v>135000</v>
      </c>
      <c r="E20" t="n">
        <v>50.2</v>
      </c>
    </row>
    <row r="21">
      <c r="A21" t="n">
        <v>2016</v>
      </c>
      <c r="B21" t="inlineStr">
        <is>
          <t>Saskatchewan</t>
        </is>
      </c>
      <c r="C21" t="inlineStr">
        <is>
          <t>Soybeans</t>
        </is>
      </c>
      <c r="D21" t="n">
        <v>240000</v>
      </c>
      <c r="E21" t="n">
        <v>32.3</v>
      </c>
    </row>
    <row r="22">
      <c r="A22" t="n">
        <v>2016</v>
      </c>
      <c r="B22" t="inlineStr">
        <is>
          <t>Saskatchewan</t>
        </is>
      </c>
      <c r="C22" t="inlineStr">
        <is>
          <t>Spring wheat</t>
        </is>
      </c>
      <c r="D22" t="n">
        <v>6870000</v>
      </c>
      <c r="E22" t="n">
        <v>46.1</v>
      </c>
    </row>
    <row r="23">
      <c r="A23" t="n">
        <v>2016</v>
      </c>
      <c r="B23" t="inlineStr">
        <is>
          <t>Saskatchewan</t>
        </is>
      </c>
      <c r="C23" t="inlineStr">
        <is>
          <t>Wheat (all)</t>
        </is>
      </c>
      <c r="D23" t="n">
        <v>12120000</v>
      </c>
      <c r="E23" t="n">
        <v>47.3</v>
      </c>
    </row>
    <row r="24">
      <c r="A24" t="n">
        <v>2016</v>
      </c>
      <c r="B24" t="inlineStr">
        <is>
          <t>Saskatchewan</t>
        </is>
      </c>
      <c r="C24" t="inlineStr">
        <is>
          <t>Winter wheat</t>
        </is>
      </c>
      <c r="D24" t="n">
        <v>240000</v>
      </c>
      <c r="E24" t="n">
        <v>58.3</v>
      </c>
    </row>
    <row r="25">
      <c r="A25" t="n">
        <v>2017</v>
      </c>
      <c r="B25" t="inlineStr">
        <is>
          <t>Saskatchewan</t>
        </is>
      </c>
      <c r="C25" t="inlineStr">
        <is>
          <t>Barley</t>
        </is>
      </c>
      <c r="D25" t="n">
        <v>2325000</v>
      </c>
      <c r="E25" t="n">
        <v>66.40000000000001</v>
      </c>
    </row>
    <row r="26">
      <c r="A26" t="n">
        <v>2017</v>
      </c>
      <c r="B26" t="inlineStr">
        <is>
          <t>Saskatchewan</t>
        </is>
      </c>
      <c r="C26" t="inlineStr">
        <is>
          <t>Canola</t>
        </is>
      </c>
      <c r="D26" t="n">
        <v>12730000</v>
      </c>
      <c r="E26" t="n">
        <v>39.3</v>
      </c>
    </row>
    <row r="27">
      <c r="A27" t="n">
        <v>2017</v>
      </c>
      <c r="B27" t="inlineStr">
        <is>
          <t>Saskatchewan</t>
        </is>
      </c>
      <c r="C27" t="inlineStr">
        <is>
          <t>Dry peas</t>
        </is>
      </c>
      <c r="D27" t="n">
        <v>2165000</v>
      </c>
      <c r="E27" t="n">
        <v>33.8</v>
      </c>
    </row>
    <row r="28">
      <c r="A28" t="n">
        <v>2017</v>
      </c>
      <c r="B28" t="inlineStr">
        <is>
          <t>Saskatchewan</t>
        </is>
      </c>
      <c r="C28" t="inlineStr">
        <is>
          <t>Durum wheat</t>
        </is>
      </c>
      <c r="D28" t="n">
        <v>4115000</v>
      </c>
      <c r="E28" t="n">
        <v>35</v>
      </c>
    </row>
    <row r="29">
      <c r="A29" t="n">
        <v>2017</v>
      </c>
      <c r="B29" t="inlineStr">
        <is>
          <t>Saskatchewan</t>
        </is>
      </c>
      <c r="C29" t="inlineStr">
        <is>
          <t>Flax</t>
        </is>
      </c>
      <c r="D29" t="n">
        <v>900000</v>
      </c>
      <c r="E29" t="n">
        <v>19.8</v>
      </c>
    </row>
    <row r="30">
      <c r="A30" t="n">
        <v>2017</v>
      </c>
      <c r="B30" t="inlineStr">
        <is>
          <t>Saskatchewan</t>
        </is>
      </c>
      <c r="C30" t="inlineStr">
        <is>
          <t>Mixed grains</t>
        </is>
      </c>
      <c r="D30" t="n">
        <v>30000</v>
      </c>
      <c r="E30" t="n">
        <v>36</v>
      </c>
    </row>
    <row r="31">
      <c r="A31" t="n">
        <v>2017</v>
      </c>
      <c r="B31" t="inlineStr">
        <is>
          <t>Saskatchewan</t>
        </is>
      </c>
      <c r="C31" t="inlineStr">
        <is>
          <t>Oats</t>
        </is>
      </c>
      <c r="D31" t="n">
        <v>1660000</v>
      </c>
      <c r="E31" t="n">
        <v>90.8</v>
      </c>
    </row>
    <row r="32">
      <c r="A32" t="n">
        <v>2017</v>
      </c>
      <c r="B32" t="inlineStr">
        <is>
          <t>Saskatchewan</t>
        </is>
      </c>
      <c r="C32" t="inlineStr">
        <is>
          <t>Rye</t>
        </is>
      </c>
      <c r="D32" t="n">
        <v>100000</v>
      </c>
      <c r="E32" t="n">
        <v>50.6</v>
      </c>
    </row>
    <row r="33">
      <c r="A33" t="n">
        <v>2017</v>
      </c>
      <c r="B33" t="inlineStr">
        <is>
          <t>Saskatchewan</t>
        </is>
      </c>
      <c r="C33" t="inlineStr">
        <is>
          <t>Soybeans</t>
        </is>
      </c>
      <c r="D33" t="n">
        <v>850000</v>
      </c>
      <c r="E33" t="n">
        <v>20.8</v>
      </c>
    </row>
    <row r="34">
      <c r="A34" t="n">
        <v>2017</v>
      </c>
      <c r="B34" t="inlineStr">
        <is>
          <t>Saskatchewan</t>
        </is>
      </c>
      <c r="C34" t="inlineStr">
        <is>
          <t>Spring wheat</t>
        </is>
      </c>
      <c r="D34" t="n">
        <v>6955000</v>
      </c>
      <c r="E34" t="n">
        <v>47.9</v>
      </c>
    </row>
    <row r="35">
      <c r="A35" t="n">
        <v>2017</v>
      </c>
      <c r="B35" t="inlineStr">
        <is>
          <t>Saskatchewan</t>
        </is>
      </c>
      <c r="C35" t="inlineStr">
        <is>
          <t>Wheat (all)</t>
        </is>
      </c>
      <c r="D35" t="n">
        <v>11335000</v>
      </c>
      <c r="E35" t="n">
        <v>43.2</v>
      </c>
    </row>
    <row r="36">
      <c r="A36" t="n">
        <v>2017</v>
      </c>
      <c r="B36" t="inlineStr">
        <is>
          <t>Saskatchewan</t>
        </is>
      </c>
      <c r="C36" t="inlineStr">
        <is>
          <t>Winter wheat</t>
        </is>
      </c>
      <c r="D36" t="n">
        <v>235000</v>
      </c>
      <c r="E36" t="n">
        <v>45.8</v>
      </c>
    </row>
    <row r="37">
      <c r="A37" t="n">
        <v>2018</v>
      </c>
      <c r="B37" t="inlineStr">
        <is>
          <t>Saskatchewan</t>
        </is>
      </c>
      <c r="C37" t="inlineStr">
        <is>
          <t>Barley</t>
        </is>
      </c>
      <c r="D37" t="n">
        <v>2692000</v>
      </c>
      <c r="E37" t="n">
        <v>62.7</v>
      </c>
    </row>
    <row r="38">
      <c r="A38" t="n">
        <v>2018</v>
      </c>
      <c r="B38" t="inlineStr">
        <is>
          <t>Saskatchewan</t>
        </is>
      </c>
      <c r="C38" t="inlineStr">
        <is>
          <t>Canola</t>
        </is>
      </c>
      <c r="D38" t="n">
        <v>12350000</v>
      </c>
      <c r="E38" t="n">
        <v>40.7</v>
      </c>
    </row>
    <row r="39">
      <c r="A39" t="n">
        <v>2018</v>
      </c>
      <c r="B39" t="inlineStr">
        <is>
          <t>Saskatchewan</t>
        </is>
      </c>
      <c r="C39" t="inlineStr">
        <is>
          <t>Corn for grain</t>
        </is>
      </c>
      <c r="D39" t="n">
        <v>13600</v>
      </c>
      <c r="E39" t="n">
        <v>91</v>
      </c>
    </row>
    <row r="40">
      <c r="A40" t="n">
        <v>2018</v>
      </c>
      <c r="B40" t="inlineStr">
        <is>
          <t>Saskatchewan</t>
        </is>
      </c>
      <c r="C40" t="inlineStr">
        <is>
          <t>Dry peas</t>
        </is>
      </c>
      <c r="D40" t="n">
        <v>1935300</v>
      </c>
      <c r="E40" t="n">
        <v>34.5</v>
      </c>
    </row>
    <row r="41">
      <c r="A41" t="n">
        <v>2018</v>
      </c>
      <c r="B41" t="inlineStr">
        <is>
          <t>Saskatchewan</t>
        </is>
      </c>
      <c r="C41" t="inlineStr">
        <is>
          <t>Durum wheat</t>
        </is>
      </c>
      <c r="D41" t="n">
        <v>4989600</v>
      </c>
      <c r="E41" t="n">
        <v>34.9</v>
      </c>
    </row>
    <row r="42">
      <c r="A42" t="n">
        <v>2018</v>
      </c>
      <c r="B42" t="inlineStr">
        <is>
          <t>Saskatchewan</t>
        </is>
      </c>
      <c r="C42" t="inlineStr">
        <is>
          <t>Flax</t>
        </is>
      </c>
      <c r="D42" t="n">
        <v>721400</v>
      </c>
      <c r="E42" t="n">
        <v>22.4</v>
      </c>
    </row>
    <row r="43">
      <c r="A43" t="n">
        <v>2018</v>
      </c>
      <c r="B43" t="inlineStr">
        <is>
          <t>Saskatchewan</t>
        </is>
      </c>
      <c r="C43" t="inlineStr">
        <is>
          <t>Mixed grains</t>
        </is>
      </c>
      <c r="D43" t="n">
        <v>42000</v>
      </c>
      <c r="E43" t="n">
        <v>38.1</v>
      </c>
    </row>
    <row r="44">
      <c r="A44" t="n">
        <v>2018</v>
      </c>
      <c r="B44" t="inlineStr">
        <is>
          <t>Saskatchewan</t>
        </is>
      </c>
      <c r="C44" t="inlineStr">
        <is>
          <t>Oats</t>
        </is>
      </c>
      <c r="D44" t="n">
        <v>1405000</v>
      </c>
      <c r="E44" t="n">
        <v>90.8</v>
      </c>
    </row>
    <row r="45">
      <c r="A45" t="n">
        <v>2018</v>
      </c>
      <c r="B45" t="inlineStr">
        <is>
          <t>Saskatchewan</t>
        </is>
      </c>
      <c r="C45" t="inlineStr">
        <is>
          <t>Rye</t>
        </is>
      </c>
      <c r="D45" t="n">
        <v>75000</v>
      </c>
      <c r="E45" t="n">
        <v>34.9</v>
      </c>
    </row>
    <row r="46">
      <c r="A46" t="n">
        <v>2018</v>
      </c>
      <c r="B46" t="inlineStr">
        <is>
          <t>Saskatchewan</t>
        </is>
      </c>
      <c r="C46" t="inlineStr">
        <is>
          <t>Soybeans</t>
        </is>
      </c>
      <c r="D46" t="n">
        <v>407500</v>
      </c>
      <c r="E46" t="n">
        <v>21</v>
      </c>
    </row>
    <row r="47">
      <c r="A47" t="n">
        <v>2018</v>
      </c>
      <c r="B47" t="inlineStr">
        <is>
          <t>Saskatchewan</t>
        </is>
      </c>
      <c r="C47" t="inlineStr">
        <is>
          <t>Spring wheat</t>
        </is>
      </c>
      <c r="D47" t="n">
        <v>7827400</v>
      </c>
      <c r="E47" t="n">
        <v>47.7</v>
      </c>
    </row>
    <row r="48">
      <c r="A48" t="n">
        <v>2018</v>
      </c>
      <c r="B48" t="inlineStr">
        <is>
          <t>Saskatchewan</t>
        </is>
      </c>
      <c r="C48" t="inlineStr">
        <is>
          <t>Wheat (all)</t>
        </is>
      </c>
      <c r="D48" t="n">
        <v>12987000</v>
      </c>
      <c r="E48" t="n">
        <v>42.7</v>
      </c>
    </row>
    <row r="49">
      <c r="A49" t="n">
        <v>2018</v>
      </c>
      <c r="B49" t="inlineStr">
        <is>
          <t>Saskatchewan</t>
        </is>
      </c>
      <c r="C49" t="inlineStr">
        <is>
          <t>Winter wheat</t>
        </is>
      </c>
      <c r="D49" t="n">
        <v>135500</v>
      </c>
      <c r="E49" t="n">
        <v>42.8</v>
      </c>
    </row>
    <row r="50">
      <c r="A50" t="n">
        <v>2019</v>
      </c>
      <c r="B50" t="inlineStr">
        <is>
          <t>Saskatchewan</t>
        </is>
      </c>
      <c r="C50" t="inlineStr">
        <is>
          <t>Barley</t>
        </is>
      </c>
      <c r="D50" t="n">
        <v>3150000</v>
      </c>
      <c r="E50" t="n">
        <v>69.3</v>
      </c>
    </row>
    <row r="51">
      <c r="A51" t="n">
        <v>2019</v>
      </c>
      <c r="B51" t="inlineStr">
        <is>
          <t>Saskatchewan</t>
        </is>
      </c>
      <c r="C51" t="inlineStr">
        <is>
          <t>Canola</t>
        </is>
      </c>
      <c r="D51" t="n">
        <v>11775000</v>
      </c>
      <c r="E51" t="n">
        <v>42.8</v>
      </c>
    </row>
    <row r="52">
      <c r="A52" t="n">
        <v>2019</v>
      </c>
      <c r="B52" t="inlineStr">
        <is>
          <t>Saskatchewan</t>
        </is>
      </c>
      <c r="C52" t="inlineStr">
        <is>
          <t>Dry peas</t>
        </is>
      </c>
      <c r="D52" t="n">
        <v>2334900</v>
      </c>
      <c r="E52" t="n">
        <v>37</v>
      </c>
    </row>
    <row r="53">
      <c r="A53" t="n">
        <v>2019</v>
      </c>
      <c r="B53" t="inlineStr">
        <is>
          <t>Saskatchewan</t>
        </is>
      </c>
      <c r="C53" t="inlineStr">
        <is>
          <t>Durum wheat</t>
        </is>
      </c>
      <c r="D53" t="n">
        <v>4100000</v>
      </c>
      <c r="E53" t="n">
        <v>40.5</v>
      </c>
    </row>
    <row r="54">
      <c r="A54" t="n">
        <v>2019</v>
      </c>
      <c r="B54" t="inlineStr">
        <is>
          <t>Saskatchewan</t>
        </is>
      </c>
      <c r="C54" t="inlineStr">
        <is>
          <t>Flax</t>
        </is>
      </c>
      <c r="D54" t="n">
        <v>727500</v>
      </c>
      <c r="E54" t="n">
        <v>21.6</v>
      </c>
    </row>
    <row r="55">
      <c r="A55" t="n">
        <v>2019</v>
      </c>
      <c r="B55" t="inlineStr">
        <is>
          <t>Saskatchewan</t>
        </is>
      </c>
      <c r="C55" t="inlineStr">
        <is>
          <t>Mixed grains</t>
        </is>
      </c>
      <c r="D55" t="n">
        <v>44800</v>
      </c>
      <c r="E55" t="n">
        <v>35.4</v>
      </c>
    </row>
    <row r="56">
      <c r="A56" t="n">
        <v>2019</v>
      </c>
      <c r="B56" t="inlineStr">
        <is>
          <t>Saskatchewan</t>
        </is>
      </c>
      <c r="C56" t="inlineStr">
        <is>
          <t>Oats</t>
        </is>
      </c>
      <c r="D56" t="n">
        <v>1795900</v>
      </c>
      <c r="E56" t="n">
        <v>96.2</v>
      </c>
    </row>
    <row r="57">
      <c r="A57" t="n">
        <v>2019</v>
      </c>
      <c r="B57" t="inlineStr">
        <is>
          <t>Saskatchewan</t>
        </is>
      </c>
      <c r="C57" t="inlineStr">
        <is>
          <t>Rye</t>
        </is>
      </c>
      <c r="D57" t="n">
        <v>117100</v>
      </c>
      <c r="E57" t="n">
        <v>46.1</v>
      </c>
    </row>
    <row r="58">
      <c r="A58" t="n">
        <v>2019</v>
      </c>
      <c r="B58" t="inlineStr">
        <is>
          <t>Saskatchewan</t>
        </is>
      </c>
      <c r="C58" t="inlineStr">
        <is>
          <t>Soybeans</t>
        </is>
      </c>
      <c r="D58" t="n">
        <v>150000</v>
      </c>
      <c r="E58" t="n">
        <v>28.3</v>
      </c>
    </row>
    <row r="59">
      <c r="A59" t="n">
        <v>2019</v>
      </c>
      <c r="B59" t="inlineStr">
        <is>
          <t>Saskatchewan</t>
        </is>
      </c>
      <c r="C59" t="inlineStr">
        <is>
          <t>Spring wheat</t>
        </is>
      </c>
      <c r="D59" t="n">
        <v>8705800</v>
      </c>
      <c r="E59" t="n">
        <v>47.3</v>
      </c>
    </row>
    <row r="60">
      <c r="A60" t="n">
        <v>2019</v>
      </c>
      <c r="B60" t="inlineStr">
        <is>
          <t>Saskatchewan</t>
        </is>
      </c>
      <c r="C60" t="inlineStr">
        <is>
          <t>Wheat (all)</t>
        </is>
      </c>
      <c r="D60" t="n">
        <v>12915800</v>
      </c>
      <c r="E60" t="n">
        <v>45.1</v>
      </c>
    </row>
    <row r="61">
      <c r="A61" t="n">
        <v>2019</v>
      </c>
      <c r="B61" t="inlineStr">
        <is>
          <t>Saskatchewan</t>
        </is>
      </c>
      <c r="C61" t="inlineStr">
        <is>
          <t>Winter wheat</t>
        </is>
      </c>
      <c r="D61" t="n">
        <v>104500</v>
      </c>
      <c r="E61" t="n">
        <v>33.5</v>
      </c>
    </row>
    <row r="62">
      <c r="A62" t="n">
        <v>2020</v>
      </c>
      <c r="B62" t="inlineStr">
        <is>
          <t>Saskatchewan</t>
        </is>
      </c>
      <c r="C62" t="inlineStr">
        <is>
          <t>Barley</t>
        </is>
      </c>
      <c r="D62" t="n">
        <v>3124400</v>
      </c>
      <c r="E62" t="n">
        <v>68.7</v>
      </c>
    </row>
    <row r="63">
      <c r="A63" t="n">
        <v>2020</v>
      </c>
      <c r="B63" t="inlineStr">
        <is>
          <t>Saskatchewan</t>
        </is>
      </c>
      <c r="C63" t="inlineStr">
        <is>
          <t>Canola</t>
        </is>
      </c>
      <c r="D63" t="n">
        <v>11339200</v>
      </c>
      <c r="E63" t="n">
        <v>42.7</v>
      </c>
    </row>
    <row r="64">
      <c r="A64" t="n">
        <v>2020</v>
      </c>
      <c r="B64" t="inlineStr">
        <is>
          <t>Saskatchewan</t>
        </is>
      </c>
      <c r="C64" t="inlineStr">
        <is>
          <t>Corn for grain</t>
        </is>
      </c>
      <c r="D64" t="n">
        <v>22500</v>
      </c>
      <c r="E64" t="n">
        <v>56.8</v>
      </c>
    </row>
    <row r="65">
      <c r="A65" t="n">
        <v>2020</v>
      </c>
      <c r="B65" t="inlineStr">
        <is>
          <t>Saskatchewan</t>
        </is>
      </c>
      <c r="C65" t="inlineStr">
        <is>
          <t>Dry peas</t>
        </is>
      </c>
      <c r="D65" t="n">
        <v>2321700</v>
      </c>
      <c r="E65" t="n">
        <v>39.5</v>
      </c>
    </row>
    <row r="66">
      <c r="A66" t="n">
        <v>2020</v>
      </c>
      <c r="B66" t="inlineStr">
        <is>
          <t>Saskatchewan</t>
        </is>
      </c>
      <c r="C66" t="inlineStr">
        <is>
          <t>Durum wheat</t>
        </is>
      </c>
      <c r="D66" t="n">
        <v>4645600</v>
      </c>
      <c r="E66" t="n">
        <v>41.3</v>
      </c>
    </row>
    <row r="67">
      <c r="A67" t="n">
        <v>2020</v>
      </c>
      <c r="B67" t="inlineStr">
        <is>
          <t>Saskatchewan</t>
        </is>
      </c>
      <c r="C67" t="inlineStr">
        <is>
          <t>Flax</t>
        </is>
      </c>
      <c r="D67" t="n">
        <v>766800</v>
      </c>
      <c r="E67" t="n">
        <v>23.4</v>
      </c>
    </row>
    <row r="68">
      <c r="A68" t="n">
        <v>2020</v>
      </c>
      <c r="B68" t="inlineStr">
        <is>
          <t>Saskatchewan</t>
        </is>
      </c>
      <c r="C68" t="inlineStr">
        <is>
          <t>Mixed grains</t>
        </is>
      </c>
      <c r="D68" t="n">
        <v>75500</v>
      </c>
      <c r="E68" t="n">
        <v>38.6</v>
      </c>
    </row>
    <row r="69">
      <c r="A69" t="n">
        <v>2020</v>
      </c>
      <c r="B69" t="inlineStr">
        <is>
          <t>Saskatchewan</t>
        </is>
      </c>
      <c r="C69" t="inlineStr">
        <is>
          <t>Oats</t>
        </is>
      </c>
      <c r="D69" t="n">
        <v>1855700</v>
      </c>
      <c r="E69" t="n">
        <v>91.40000000000001</v>
      </c>
    </row>
    <row r="70">
      <c r="A70" t="n">
        <v>2020</v>
      </c>
      <c r="B70" t="inlineStr">
        <is>
          <t>Saskatchewan</t>
        </is>
      </c>
      <c r="C70" t="inlineStr">
        <is>
          <t>Rye</t>
        </is>
      </c>
      <c r="D70" t="n">
        <v>143900</v>
      </c>
      <c r="E70" t="n">
        <v>41</v>
      </c>
    </row>
    <row r="71">
      <c r="A71" t="n">
        <v>2020</v>
      </c>
      <c r="B71" t="inlineStr">
        <is>
          <t>Saskatchewan</t>
        </is>
      </c>
      <c r="C71" t="inlineStr">
        <is>
          <t>Soybeans</t>
        </is>
      </c>
      <c r="D71" t="n">
        <v>126700</v>
      </c>
      <c r="E71" t="n">
        <v>20</v>
      </c>
    </row>
    <row r="72">
      <c r="A72" t="n">
        <v>2020</v>
      </c>
      <c r="B72" t="inlineStr">
        <is>
          <t>Saskatchewan</t>
        </is>
      </c>
      <c r="C72" t="inlineStr">
        <is>
          <t>Spring wheat</t>
        </is>
      </c>
      <c r="D72" t="n">
        <v>8053000</v>
      </c>
      <c r="E72" t="n">
        <v>49.9</v>
      </c>
    </row>
    <row r="73">
      <c r="A73" t="n">
        <v>2020</v>
      </c>
      <c r="B73" t="inlineStr">
        <is>
          <t>Saskatchewan</t>
        </is>
      </c>
      <c r="C73" t="inlineStr">
        <is>
          <t>Wheat (all)</t>
        </is>
      </c>
      <c r="D73" t="n">
        <v>12858600</v>
      </c>
      <c r="E73" t="n">
        <v>46.7</v>
      </c>
    </row>
    <row r="74">
      <c r="A74" t="n">
        <v>2020</v>
      </c>
      <c r="B74" t="inlineStr">
        <is>
          <t>Saskatchewan</t>
        </is>
      </c>
      <c r="C74" t="inlineStr">
        <is>
          <t>Winter wheat</t>
        </is>
      </c>
      <c r="D74" t="n">
        <v>144900</v>
      </c>
      <c r="E74" t="n">
        <v>39.1</v>
      </c>
    </row>
    <row r="75">
      <c r="A75" t="n">
        <v>2021</v>
      </c>
      <c r="B75" t="inlineStr">
        <is>
          <t>Saskatchewan</t>
        </is>
      </c>
      <c r="C75" t="inlineStr">
        <is>
          <t>Barley</t>
        </is>
      </c>
      <c r="D75" t="n">
        <v>3636906</v>
      </c>
      <c r="E75" t="n">
        <v>35.5</v>
      </c>
    </row>
    <row r="76">
      <c r="A76" t="n">
        <v>2021</v>
      </c>
      <c r="B76" t="inlineStr">
        <is>
          <t>Saskatchewan</t>
        </is>
      </c>
      <c r="C76" t="inlineStr">
        <is>
          <t>Canola</t>
        </is>
      </c>
      <c r="D76" t="n">
        <v>11980413</v>
      </c>
      <c r="E76" t="n">
        <v>25.8</v>
      </c>
    </row>
    <row r="77">
      <c r="A77" t="n">
        <v>2021</v>
      </c>
      <c r="B77" t="inlineStr">
        <is>
          <t>Saskatchewan</t>
        </is>
      </c>
      <c r="C77" t="inlineStr">
        <is>
          <t>Corn for grain</t>
        </is>
      </c>
      <c r="D77" t="n">
        <v>19475</v>
      </c>
      <c r="E77" t="n">
        <v>77.7</v>
      </c>
    </row>
    <row r="78">
      <c r="A78" t="n">
        <v>2021</v>
      </c>
      <c r="B78" t="inlineStr">
        <is>
          <t>Saskatchewan</t>
        </is>
      </c>
      <c r="C78" t="inlineStr">
        <is>
          <t>Dry peas</t>
        </is>
      </c>
      <c r="D78" t="n">
        <v>2106552</v>
      </c>
      <c r="E78" t="n">
        <v>20.1</v>
      </c>
    </row>
    <row r="79">
      <c r="A79" t="n">
        <v>2021</v>
      </c>
      <c r="B79" t="inlineStr">
        <is>
          <t>Saskatchewan</t>
        </is>
      </c>
      <c r="C79" t="inlineStr">
        <is>
          <t>Durum wheat</t>
        </is>
      </c>
      <c r="D79" t="n">
        <v>4671794</v>
      </c>
      <c r="E79" t="n">
        <v>19.6</v>
      </c>
    </row>
    <row r="80">
      <c r="A80" t="n">
        <v>2021</v>
      </c>
      <c r="B80" t="inlineStr">
        <is>
          <t>Saskatchewan</t>
        </is>
      </c>
      <c r="C80" t="inlineStr">
        <is>
          <t>Flax</t>
        </is>
      </c>
      <c r="D80" t="n">
        <v>784381</v>
      </c>
      <c r="E80" t="n">
        <v>12.7</v>
      </c>
    </row>
    <row r="81">
      <c r="A81" t="n">
        <v>2021</v>
      </c>
      <c r="B81" t="inlineStr">
        <is>
          <t>Saskatchewan</t>
        </is>
      </c>
      <c r="C81" t="inlineStr">
        <is>
          <t>Mixed grains</t>
        </is>
      </c>
      <c r="D81" t="n">
        <v>112471</v>
      </c>
      <c r="E81" t="n">
        <v>30.7</v>
      </c>
    </row>
    <row r="82">
      <c r="A82" t="n">
        <v>2021</v>
      </c>
      <c r="B82" t="inlineStr">
        <is>
          <t>Saskatchewan</t>
        </is>
      </c>
      <c r="C82" t="inlineStr">
        <is>
          <t>Oats</t>
        </is>
      </c>
      <c r="D82" t="n">
        <v>1707370</v>
      </c>
      <c r="E82" t="n">
        <v>54</v>
      </c>
    </row>
    <row r="83">
      <c r="A83" t="n">
        <v>2021</v>
      </c>
      <c r="B83" t="inlineStr">
        <is>
          <t>Saskatchewan</t>
        </is>
      </c>
      <c r="C83" t="inlineStr">
        <is>
          <t>Rye</t>
        </is>
      </c>
      <c r="D83" t="n">
        <v>91713</v>
      </c>
      <c r="E83" t="n">
        <v>37.8</v>
      </c>
    </row>
    <row r="84">
      <c r="A84" t="n">
        <v>2021</v>
      </c>
      <c r="B84" t="inlineStr">
        <is>
          <t>Saskatchewan</t>
        </is>
      </c>
      <c r="C84" t="inlineStr">
        <is>
          <t>Soybeans</t>
        </is>
      </c>
      <c r="D84" t="n">
        <v>74273</v>
      </c>
      <c r="E84" t="n">
        <v>22</v>
      </c>
    </row>
    <row r="85">
      <c r="A85" t="n">
        <v>2021</v>
      </c>
      <c r="B85" t="inlineStr">
        <is>
          <t>Saskatchewan</t>
        </is>
      </c>
      <c r="C85" t="inlineStr">
        <is>
          <t>Spring wheat</t>
        </is>
      </c>
      <c r="D85" t="n">
        <v>7092785</v>
      </c>
      <c r="E85" t="n">
        <v>33.7</v>
      </c>
    </row>
    <row r="86">
      <c r="A86" t="n">
        <v>2021</v>
      </c>
      <c r="B86" t="inlineStr">
        <is>
          <t>Saskatchewan</t>
        </is>
      </c>
      <c r="C86" t="inlineStr">
        <is>
          <t>Wheat (all)</t>
        </is>
      </c>
      <c r="D86" t="n">
        <v>11928830</v>
      </c>
      <c r="E86" t="n">
        <v>28.1</v>
      </c>
    </row>
    <row r="87">
      <c r="A87" t="n">
        <v>2021</v>
      </c>
      <c r="B87" t="inlineStr">
        <is>
          <t>Saskatchewan</t>
        </is>
      </c>
      <c r="C87" t="inlineStr">
        <is>
          <t>Winter wheat</t>
        </is>
      </c>
      <c r="D87" t="n">
        <v>69013</v>
      </c>
      <c r="E87" t="n">
        <v>25.5</v>
      </c>
    </row>
    <row r="88">
      <c r="A88" t="n">
        <v>2022</v>
      </c>
      <c r="B88" t="inlineStr">
        <is>
          <t>Saskatchewan</t>
        </is>
      </c>
      <c r="C88" t="inlineStr">
        <is>
          <t>Barley</t>
        </is>
      </c>
      <c r="D88" t="n">
        <v>2781700</v>
      </c>
      <c r="E88" t="n">
        <v>63.4</v>
      </c>
    </row>
    <row r="89">
      <c r="A89" t="n">
        <v>2022</v>
      </c>
      <c r="B89" t="inlineStr">
        <is>
          <t>Saskatchewan</t>
        </is>
      </c>
      <c r="C89" t="inlineStr">
        <is>
          <t>Canola</t>
        </is>
      </c>
      <c r="D89" t="n">
        <v>11393800</v>
      </c>
      <c r="E89" t="n">
        <v>38.6</v>
      </c>
    </row>
    <row r="90">
      <c r="A90" t="n">
        <v>2022</v>
      </c>
      <c r="B90" t="inlineStr">
        <is>
          <t>Saskatchewan</t>
        </is>
      </c>
      <c r="C90" t="inlineStr">
        <is>
          <t>Dry peas</t>
        </is>
      </c>
      <c r="D90" t="n">
        <v>1808600</v>
      </c>
      <c r="E90" t="n">
        <v>32.1</v>
      </c>
    </row>
    <row r="91">
      <c r="A91" t="n">
        <v>2022</v>
      </c>
      <c r="B91" t="inlineStr">
        <is>
          <t>Saskatchewan</t>
        </is>
      </c>
      <c r="C91" t="inlineStr">
        <is>
          <t>Durum wheat</t>
        </is>
      </c>
      <c r="D91" t="n">
        <v>4864700</v>
      </c>
      <c r="E91" t="n">
        <v>34.6</v>
      </c>
    </row>
    <row r="92">
      <c r="A92" t="n">
        <v>2022</v>
      </c>
      <c r="B92" t="inlineStr">
        <is>
          <t>Saskatchewan</t>
        </is>
      </c>
      <c r="C92" t="inlineStr">
        <is>
          <t>Flax</t>
        </is>
      </c>
      <c r="D92" t="n">
        <v>597200</v>
      </c>
      <c r="E92" t="n">
        <v>23.2</v>
      </c>
    </row>
    <row r="93">
      <c r="A93" t="n">
        <v>2022</v>
      </c>
      <c r="B93" t="inlineStr">
        <is>
          <t>Saskatchewan</t>
        </is>
      </c>
      <c r="C93" t="inlineStr">
        <is>
          <t>Mixed grains</t>
        </is>
      </c>
      <c r="D93" t="n">
        <v>79600</v>
      </c>
      <c r="E93" t="n">
        <v>37.5</v>
      </c>
    </row>
    <row r="94">
      <c r="A94" t="n">
        <v>2022</v>
      </c>
      <c r="B94" t="inlineStr">
        <is>
          <t>Saskatchewan</t>
        </is>
      </c>
      <c r="C94" t="inlineStr">
        <is>
          <t>Oats</t>
        </is>
      </c>
      <c r="D94" t="n">
        <v>1888600</v>
      </c>
      <c r="E94" t="n">
        <v>98.59999999999999</v>
      </c>
    </row>
    <row r="95">
      <c r="A95" t="n">
        <v>2022</v>
      </c>
      <c r="B95" t="inlineStr">
        <is>
          <t>Saskatchewan</t>
        </is>
      </c>
      <c r="C95" t="inlineStr">
        <is>
          <t>Rye</t>
        </is>
      </c>
      <c r="D95" t="n">
        <v>108900</v>
      </c>
      <c r="E95" t="n">
        <v>46.4</v>
      </c>
    </row>
    <row r="96">
      <c r="A96" t="n">
        <v>2022</v>
      </c>
      <c r="B96" t="inlineStr">
        <is>
          <t>Saskatchewan</t>
        </is>
      </c>
      <c r="C96" t="inlineStr">
        <is>
          <t>Soybeans</t>
        </is>
      </c>
      <c r="D96" t="n">
        <v>45400</v>
      </c>
      <c r="E96" t="n">
        <v>29.8</v>
      </c>
    </row>
    <row r="97">
      <c r="A97" t="n">
        <v>2022</v>
      </c>
      <c r="B97" t="inlineStr">
        <is>
          <t>Saskatchewan</t>
        </is>
      </c>
      <c r="C97" t="inlineStr">
        <is>
          <t>Spring wheat</t>
        </is>
      </c>
      <c r="D97" t="n">
        <v>8306600</v>
      </c>
      <c r="E97" t="n">
        <v>47.6</v>
      </c>
    </row>
    <row r="98">
      <c r="A98" t="n">
        <v>2022</v>
      </c>
      <c r="B98" t="inlineStr">
        <is>
          <t>Saskatchewan</t>
        </is>
      </c>
      <c r="C98" t="inlineStr">
        <is>
          <t>Wheat (all)</t>
        </is>
      </c>
      <c r="D98" t="n">
        <v>13250000</v>
      </c>
      <c r="E98" t="n">
        <v>42.9</v>
      </c>
    </row>
    <row r="99">
      <c r="A99" t="n">
        <v>2022</v>
      </c>
      <c r="B99" t="inlineStr">
        <is>
          <t>Saskatchewan</t>
        </is>
      </c>
      <c r="C99" t="inlineStr">
        <is>
          <t>Winter wheat</t>
        </is>
      </c>
      <c r="D99" t="n">
        <v>71600</v>
      </c>
      <c r="E99" t="n">
        <v>50.2</v>
      </c>
    </row>
    <row r="100">
      <c r="A100" t="n">
        <v>2023</v>
      </c>
      <c r="B100" t="inlineStr">
        <is>
          <t>Saskatchewan</t>
        </is>
      </c>
      <c r="C100" t="inlineStr">
        <is>
          <t>Barley</t>
        </is>
      </c>
      <c r="D100" t="n">
        <v>2803800</v>
      </c>
      <c r="E100" t="n">
        <v>57.4</v>
      </c>
    </row>
    <row r="101">
      <c r="A101" t="n">
        <v>2023</v>
      </c>
      <c r="B101" t="inlineStr">
        <is>
          <t>Saskatchewan</t>
        </is>
      </c>
      <c r="C101" t="inlineStr">
        <is>
          <t>Canola</t>
        </is>
      </c>
      <c r="D101" t="n">
        <v>12400400</v>
      </c>
      <c r="E101" t="n">
        <v>37.4</v>
      </c>
    </row>
    <row r="102">
      <c r="A102" t="n">
        <v>2023</v>
      </c>
      <c r="B102" t="inlineStr">
        <is>
          <t>Saskatchewan</t>
        </is>
      </c>
      <c r="C102" t="inlineStr">
        <is>
          <t>Corn for grain</t>
        </is>
      </c>
      <c r="D102" t="n">
        <v>28600</v>
      </c>
    </row>
    <row r="103">
      <c r="A103" t="n">
        <v>2023</v>
      </c>
      <c r="B103" t="inlineStr">
        <is>
          <t>Saskatchewan</t>
        </is>
      </c>
      <c r="C103" t="inlineStr">
        <is>
          <t>Dry peas</t>
        </is>
      </c>
      <c r="D103" t="n">
        <v>1597200</v>
      </c>
      <c r="E103" t="n">
        <v>29.8</v>
      </c>
    </row>
    <row r="104">
      <c r="A104" t="n">
        <v>2023</v>
      </c>
      <c r="B104" t="inlineStr">
        <is>
          <t>Saskatchewan</t>
        </is>
      </c>
      <c r="C104" t="inlineStr">
        <is>
          <t>Durum wheat</t>
        </is>
      </c>
      <c r="D104" t="n">
        <v>4970700</v>
      </c>
      <c r="E104" t="n">
        <v>25.6</v>
      </c>
    </row>
    <row r="105">
      <c r="A105" t="n">
        <v>2023</v>
      </c>
      <c r="B105" t="inlineStr">
        <is>
          <t>Saskatchewan</t>
        </is>
      </c>
      <c r="C105" t="inlineStr">
        <is>
          <t>Flax</t>
        </is>
      </c>
      <c r="D105" t="n">
        <v>518400</v>
      </c>
      <c r="E105" t="n">
        <v>17.6</v>
      </c>
    </row>
    <row r="106">
      <c r="A106" t="n">
        <v>2023</v>
      </c>
      <c r="B106" t="inlineStr">
        <is>
          <t>Saskatchewan</t>
        </is>
      </c>
      <c r="C106" t="inlineStr">
        <is>
          <t>Mixed grains</t>
        </is>
      </c>
      <c r="D106" t="n">
        <v>88200</v>
      </c>
      <c r="E106" t="n">
        <v>30</v>
      </c>
    </row>
    <row r="107">
      <c r="A107" t="n">
        <v>2023</v>
      </c>
      <c r="B107" t="inlineStr">
        <is>
          <t>Saskatchewan</t>
        </is>
      </c>
      <c r="C107" t="inlineStr">
        <is>
          <t>Oats</t>
        </is>
      </c>
      <c r="D107" t="n">
        <v>1033000</v>
      </c>
      <c r="E107" t="n">
        <v>83.40000000000001</v>
      </c>
    </row>
    <row r="108">
      <c r="A108" t="n">
        <v>2023</v>
      </c>
      <c r="B108" t="inlineStr">
        <is>
          <t>Saskatchewan</t>
        </is>
      </c>
      <c r="C108" t="inlineStr">
        <is>
          <t>Rye</t>
        </is>
      </c>
      <c r="D108" t="n">
        <v>53400</v>
      </c>
      <c r="E108" t="n">
        <v>40.3</v>
      </c>
    </row>
    <row r="109">
      <c r="A109" t="n">
        <v>2023</v>
      </c>
      <c r="B109" t="inlineStr">
        <is>
          <t>Saskatchewan</t>
        </is>
      </c>
      <c r="C109" t="inlineStr">
        <is>
          <t>Soybeans</t>
        </is>
      </c>
      <c r="D109" t="n">
        <v>68000</v>
      </c>
      <c r="E109" t="n">
        <v>24.2</v>
      </c>
    </row>
    <row r="110">
      <c r="A110" t="n">
        <v>2023</v>
      </c>
      <c r="B110" t="inlineStr">
        <is>
          <t>Saskatchewan</t>
        </is>
      </c>
      <c r="C110" t="inlineStr">
        <is>
          <t>Spring wheat</t>
        </is>
      </c>
      <c r="D110" t="n">
        <v>9141200</v>
      </c>
      <c r="E110" t="n">
        <v>46.9</v>
      </c>
    </row>
    <row r="111">
      <c r="A111" t="n">
        <v>2023</v>
      </c>
      <c r="B111" t="inlineStr">
        <is>
          <t>Saskatchewan</t>
        </is>
      </c>
      <c r="C111" t="inlineStr">
        <is>
          <t>Wheat (all)</t>
        </is>
      </c>
      <c r="D111" t="n">
        <v>14172100</v>
      </c>
      <c r="E111" t="n">
        <v>39.5</v>
      </c>
    </row>
    <row r="112">
      <c r="A112" t="n">
        <v>2023</v>
      </c>
      <c r="B112" t="inlineStr">
        <is>
          <t>Saskatchewan</t>
        </is>
      </c>
      <c r="C112" t="inlineStr">
        <is>
          <t>Winter wheat</t>
        </is>
      </c>
      <c r="D112" t="n">
        <v>50300</v>
      </c>
      <c r="E112" t="n">
        <v>52.3</v>
      </c>
    </row>
    <row r="113">
      <c r="A113" t="n">
        <v>2024</v>
      </c>
      <c r="B113" t="inlineStr">
        <is>
          <t>Saskatchewan</t>
        </is>
      </c>
      <c r="C113" t="inlineStr">
        <is>
          <t>Barley</t>
        </is>
      </c>
      <c r="D113" t="n">
        <v>2313600</v>
      </c>
      <c r="E113" t="n">
        <v>64.90000000000001</v>
      </c>
    </row>
    <row r="114">
      <c r="A114" t="n">
        <v>2024</v>
      </c>
      <c r="B114" t="inlineStr">
        <is>
          <t>Saskatchewan</t>
        </is>
      </c>
      <c r="C114" t="inlineStr">
        <is>
          <t>Canola</t>
        </is>
      </c>
      <c r="D114" t="n">
        <v>12085600</v>
      </c>
      <c r="E114" t="n">
        <v>38.3</v>
      </c>
    </row>
    <row r="115">
      <c r="A115" t="n">
        <v>2024</v>
      </c>
      <c r="B115" t="inlineStr">
        <is>
          <t>Saskatchewan</t>
        </is>
      </c>
      <c r="C115" t="inlineStr">
        <is>
          <t>Corn for grain</t>
        </is>
      </c>
      <c r="D115" t="n">
        <v>32400</v>
      </c>
      <c r="E115" t="n">
        <v>88.7</v>
      </c>
    </row>
    <row r="116">
      <c r="A116" t="n">
        <v>2024</v>
      </c>
      <c r="B116" t="inlineStr">
        <is>
          <t>Saskatchewan</t>
        </is>
      </c>
      <c r="C116" t="inlineStr">
        <is>
          <t>Dry peas</t>
        </is>
      </c>
      <c r="D116" t="n">
        <v>1735600</v>
      </c>
      <c r="E116" t="n">
        <v>32.6</v>
      </c>
    </row>
    <row r="117">
      <c r="A117" t="n">
        <v>2024</v>
      </c>
      <c r="B117" t="inlineStr">
        <is>
          <t>Saskatchewan</t>
        </is>
      </c>
      <c r="C117" t="inlineStr">
        <is>
          <t>Durum wheat</t>
        </is>
      </c>
      <c r="D117" t="n">
        <v>5115800</v>
      </c>
      <c r="E117" t="n">
        <v>35.8</v>
      </c>
    </row>
    <row r="118">
      <c r="A118" t="n">
        <v>2024</v>
      </c>
      <c r="B118" t="inlineStr">
        <is>
          <t>Saskatchewan</t>
        </is>
      </c>
      <c r="C118" t="inlineStr">
        <is>
          <t>Flax</t>
        </is>
      </c>
      <c r="D118" t="n">
        <v>417800</v>
      </c>
      <c r="E118" t="n">
        <v>18.7</v>
      </c>
    </row>
    <row r="119">
      <c r="A119" t="n">
        <v>2024</v>
      </c>
      <c r="B119" t="inlineStr">
        <is>
          <t>Saskatchewan</t>
        </is>
      </c>
      <c r="C119" t="inlineStr">
        <is>
          <t>Mixed grains</t>
        </is>
      </c>
      <c r="D119" t="n">
        <v>77100</v>
      </c>
      <c r="E119" t="n">
        <v>33.9</v>
      </c>
    </row>
    <row r="120">
      <c r="A120" t="n">
        <v>2024</v>
      </c>
      <c r="B120" t="inlineStr">
        <is>
          <t>Saskatchewan</t>
        </is>
      </c>
      <c r="C120" t="inlineStr">
        <is>
          <t>Oats</t>
        </is>
      </c>
      <c r="D120" t="n">
        <v>1263100</v>
      </c>
      <c r="E120" t="n">
        <v>86.5</v>
      </c>
    </row>
    <row r="121">
      <c r="A121" t="n">
        <v>2024</v>
      </c>
      <c r="B121" t="inlineStr">
        <is>
          <t>Saskatchewan</t>
        </is>
      </c>
      <c r="C121" t="inlineStr">
        <is>
          <t>Rye</t>
        </is>
      </c>
      <c r="D121" t="n">
        <v>93700</v>
      </c>
      <c r="E121" t="n">
        <v>54.7</v>
      </c>
    </row>
    <row r="122">
      <c r="A122" t="n">
        <v>2024</v>
      </c>
      <c r="B122" t="inlineStr">
        <is>
          <t>Saskatchewan</t>
        </is>
      </c>
      <c r="C122" t="inlineStr">
        <is>
          <t>Soybeans</t>
        </is>
      </c>
      <c r="D122" t="n">
        <v>67000</v>
      </c>
      <c r="E122" t="n">
        <v>25.3</v>
      </c>
    </row>
    <row r="123">
      <c r="A123" t="n">
        <v>2024</v>
      </c>
      <c r="B123" t="inlineStr">
        <is>
          <t>Saskatchewan</t>
        </is>
      </c>
      <c r="C123" t="inlineStr">
        <is>
          <t>Spring wheat</t>
        </is>
      </c>
      <c r="D123" t="n">
        <v>8960100</v>
      </c>
      <c r="E123" t="n">
        <v>49.9</v>
      </c>
    </row>
    <row r="124">
      <c r="A124" t="n">
        <v>2024</v>
      </c>
      <c r="B124" t="inlineStr">
        <is>
          <t>Saskatchewan</t>
        </is>
      </c>
      <c r="C124" t="inlineStr">
        <is>
          <t>Wheat (all)</t>
        </is>
      </c>
      <c r="D124" t="n">
        <v>14178100</v>
      </c>
      <c r="E124" t="n">
        <v>44.8</v>
      </c>
    </row>
    <row r="125">
      <c r="A125" t="n">
        <v>2024</v>
      </c>
      <c r="B125" t="inlineStr">
        <is>
          <t>Saskatchewan</t>
        </is>
      </c>
      <c r="C125" t="inlineStr">
        <is>
          <t>Winter wheat</t>
        </is>
      </c>
      <c r="D125" t="n">
        <v>96500</v>
      </c>
      <c r="E125" t="n">
        <v>54.6</v>
      </c>
    </row>
    <row r="126">
      <c r="A126" t="n">
        <v>2025</v>
      </c>
      <c r="B126" t="inlineStr">
        <is>
          <t>Saskatchewan</t>
        </is>
      </c>
      <c r="C126" t="inlineStr">
        <is>
          <t>Barley</t>
        </is>
      </c>
      <c r="D126" t="n">
        <v>2253900</v>
      </c>
      <c r="E126" t="n">
        <v>78.2</v>
      </c>
    </row>
    <row r="127">
      <c r="A127" t="n">
        <v>2025</v>
      </c>
      <c r="B127" t="inlineStr">
        <is>
          <t>Saskatchewan</t>
        </is>
      </c>
      <c r="C127" t="inlineStr">
        <is>
          <t>Canola</t>
        </is>
      </c>
      <c r="D127" t="n">
        <v>12187400</v>
      </c>
      <c r="E127" t="n">
        <v>44.4</v>
      </c>
    </row>
    <row r="128">
      <c r="A128" t="n">
        <v>2025</v>
      </c>
      <c r="B128" t="inlineStr">
        <is>
          <t>Saskatchewan</t>
        </is>
      </c>
      <c r="C128" t="inlineStr">
        <is>
          <t>Corn for grain</t>
        </is>
      </c>
      <c r="D128" t="n">
        <v>34100</v>
      </c>
      <c r="E128" t="n">
        <v>112.4</v>
      </c>
    </row>
    <row r="129">
      <c r="A129" t="n">
        <v>2025</v>
      </c>
      <c r="B129" t="inlineStr">
        <is>
          <t>Saskatchewan</t>
        </is>
      </c>
      <c r="C129" t="inlineStr">
        <is>
          <t>Dry peas</t>
        </is>
      </c>
      <c r="D129" t="n">
        <v>1773000</v>
      </c>
      <c r="E129" t="n">
        <v>38.6</v>
      </c>
    </row>
    <row r="130">
      <c r="A130" t="n">
        <v>2025</v>
      </c>
      <c r="B130" t="inlineStr">
        <is>
          <t>Saskatchewan</t>
        </is>
      </c>
      <c r="C130" t="inlineStr">
        <is>
          <t>Durum wheat</t>
        </is>
      </c>
      <c r="D130" t="n">
        <v>5118800</v>
      </c>
      <c r="E130" t="n">
        <v>39.6</v>
      </c>
    </row>
    <row r="131">
      <c r="A131" t="n">
        <v>2025</v>
      </c>
      <c r="B131" t="inlineStr">
        <is>
          <t>Saskatchewan</t>
        </is>
      </c>
      <c r="C131" t="inlineStr">
        <is>
          <t>Flax</t>
        </is>
      </c>
      <c r="D131" t="n">
        <v>536900</v>
      </c>
      <c r="E131" t="n">
        <v>27.8</v>
      </c>
    </row>
    <row r="132">
      <c r="A132" t="n">
        <v>2025</v>
      </c>
      <c r="B132" t="inlineStr">
        <is>
          <t>Saskatchewan</t>
        </is>
      </c>
      <c r="C132" t="inlineStr">
        <is>
          <t>Mixed grains</t>
        </is>
      </c>
      <c r="D132" t="n">
        <v>56000</v>
      </c>
      <c r="E132" t="n">
        <v>30.6</v>
      </c>
    </row>
    <row r="133">
      <c r="A133" t="n">
        <v>2025</v>
      </c>
      <c r="B133" t="inlineStr">
        <is>
          <t>Saskatchewan</t>
        </is>
      </c>
      <c r="C133" t="inlineStr">
        <is>
          <t>Oats</t>
        </is>
      </c>
      <c r="D133" t="n">
        <v>1285400</v>
      </c>
      <c r="E133" t="n">
        <v>101</v>
      </c>
    </row>
    <row r="134">
      <c r="A134" t="n">
        <v>2025</v>
      </c>
      <c r="B134" t="inlineStr">
        <is>
          <t>Saskatchewan</t>
        </is>
      </c>
      <c r="C134" t="inlineStr">
        <is>
          <t>Rye</t>
        </is>
      </c>
      <c r="D134" t="n">
        <v>142700</v>
      </c>
      <c r="E134" t="n">
        <v>54.7</v>
      </c>
    </row>
    <row r="135">
      <c r="A135" t="n">
        <v>2025</v>
      </c>
      <c r="B135" t="inlineStr">
        <is>
          <t>Saskatchewan</t>
        </is>
      </c>
      <c r="C135" t="inlineStr">
        <is>
          <t>Soybeans</t>
        </is>
      </c>
      <c r="D135" t="n">
        <v>95500</v>
      </c>
      <c r="E135" t="n">
        <v>42.5</v>
      </c>
    </row>
    <row r="136">
      <c r="A136" t="n">
        <v>2025</v>
      </c>
      <c r="B136" t="inlineStr">
        <is>
          <t>Saskatchewan</t>
        </is>
      </c>
      <c r="C136" t="inlineStr">
        <is>
          <t>Spring wheat</t>
        </is>
      </c>
      <c r="D136" t="n">
        <v>8773600</v>
      </c>
      <c r="E136" t="n">
        <v>55.8</v>
      </c>
    </row>
    <row r="137">
      <c r="A137" t="n">
        <v>2025</v>
      </c>
      <c r="B137" t="inlineStr">
        <is>
          <t>Saskatchewan</t>
        </is>
      </c>
      <c r="C137" t="inlineStr">
        <is>
          <t>Wheat (all)</t>
        </is>
      </c>
      <c r="D137" t="n">
        <v>14022600</v>
      </c>
      <c r="E137" t="n">
        <v>49.7</v>
      </c>
    </row>
    <row r="138">
      <c r="A138" t="n">
        <v>2025</v>
      </c>
      <c r="B138" t="inlineStr">
        <is>
          <t>Saskatchewan</t>
        </is>
      </c>
      <c r="C138" t="inlineStr">
        <is>
          <t>Winter wheat</t>
        </is>
      </c>
      <c r="D138" t="n">
        <v>126300</v>
      </c>
      <c r="E138" t="n">
        <v>42.1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2026-08-30T19:32:56Z</dcterms:created>
  <dcterms:modified xmlns:dcterms="http://purl.org/dc/terms/" xmlns:xsi="http://www.w3.org/2001/XMLSchema-instance" xsi:type="dcterms:W3CDTF">2026-08-30T19:32:56Z</dcterms:modified>
</cp:coreProperties>
</file>