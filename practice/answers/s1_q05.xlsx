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D9D2E9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2" borderId="0" pivotButton="0" quotePrefix="0" xfId="0"/>
    <xf numFmtId="3" fontId="0" fillId="3" borderId="0" pivotButton="0" quotePrefix="0" xfId="0"/>
    <xf numFmtId="3" fontId="0" fillId="2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164" fontId="0" fillId="6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7" borderId="0" applyAlignment="1" pivotButton="0" quotePrefix="0" xfId="0">
      <alignment vertical="top" wrapText="1"/>
    </xf>
    <xf numFmtId="0" fontId="0" fillId="7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Field</t>
        </is>
      </c>
      <c r="B1" s="1" t="inlineStr">
        <is>
          <t>Acres</t>
        </is>
      </c>
      <c r="C1" s="1" t="inlineStr">
        <is>
          <t>Yield (bu/ac)</t>
        </is>
      </c>
      <c r="D1" s="2" t="inlineStr">
        <is>
          <t>Bushels</t>
        </is>
      </c>
      <c r="E1" s="3" t="inlineStr">
        <is>
          <t>Bushels (ROUND)</t>
        </is>
      </c>
    </row>
    <row r="2">
      <c r="A2" t="inlineStr">
        <is>
          <t>Willow</t>
        </is>
      </c>
      <c r="B2" s="4" t="n">
        <v>213</v>
      </c>
      <c r="C2" s="5" t="n">
        <v>52.4</v>
      </c>
      <c r="D2" s="6">
        <f>B2*C2</f>
        <v/>
      </c>
      <c r="E2" s="7">
        <f>ROUND(B2*C2,0)</f>
        <v/>
      </c>
    </row>
    <row r="3">
      <c r="A3" t="inlineStr">
        <is>
          <t>Ridge</t>
        </is>
      </c>
      <c r="B3" s="4" t="n">
        <v>147</v>
      </c>
      <c r="C3" s="5" t="n">
        <v>61.8</v>
      </c>
      <c r="D3" s="6">
        <f>B3*C3</f>
        <v/>
      </c>
      <c r="E3" s="7">
        <f>ROUND(B3*C3,0)</f>
        <v/>
      </c>
    </row>
    <row r="4">
      <c r="A4" t="inlineStr">
        <is>
          <t>Slough</t>
        </is>
      </c>
      <c r="B4" s="4" t="n">
        <v>326</v>
      </c>
      <c r="C4" s="5" t="n">
        <v>47.9</v>
      </c>
      <c r="D4" s="6">
        <f>B4*C4</f>
        <v/>
      </c>
      <c r="E4" s="7">
        <f>ROUND(B4*C4,0)</f>
        <v/>
      </c>
    </row>
    <row r="5">
      <c r="A5" t="inlineStr">
        <is>
          <t>Quarter</t>
        </is>
      </c>
      <c r="B5" s="4" t="n">
        <v>89</v>
      </c>
      <c r="C5" s="5" t="n">
        <v>64.5</v>
      </c>
      <c r="D5" s="6">
        <f>B5*C5</f>
        <v/>
      </c>
      <c r="E5" s="7">
        <f>ROUND(B5*C5,0)</f>
        <v/>
      </c>
    </row>
    <row r="6">
      <c r="A6" t="inlineStr">
        <is>
          <t>Airport</t>
        </is>
      </c>
      <c r="B6" s="4" t="n">
        <v>255</v>
      </c>
      <c r="C6" s="5" t="n">
        <v>55.2</v>
      </c>
      <c r="D6" s="6">
        <f>B6*C6</f>
        <v/>
      </c>
      <c r="E6" s="7">
        <f>ROUND(B6*C6,0)</f>
        <v/>
      </c>
    </row>
    <row r="7">
      <c r="A7" s="2" t="inlineStr">
        <is>
          <t>Total</t>
        </is>
      </c>
      <c r="B7" s="8">
        <f>SUM(B2:B6)</f>
        <v/>
      </c>
      <c r="D7" s="6">
        <f>SUM(D2:D6)</f>
        <v/>
      </c>
      <c r="E7" s="7">
        <f>SUM(E2:E6)</f>
        <v/>
      </c>
    </row>
    <row r="9">
      <c r="A9" s="9" t="inlineStr">
        <is>
          <t>Mean yield (AVERAGE)</t>
        </is>
      </c>
      <c r="B9" s="10">
        <f>AVERAGE(C2:C6)</f>
        <v/>
      </c>
    </row>
    <row r="10">
      <c r="A10" s="9" t="inlineStr">
        <is>
          <t>COUNT of fields</t>
        </is>
      </c>
      <c r="B10" s="9">
        <f>COUNT(C2:C6)</f>
        <v/>
      </c>
    </row>
    <row r="11">
      <c r="A11" s="11" t="inlineStr">
        <is>
          <t>Weighted average (bu/ac)</t>
        </is>
      </c>
      <c r="B11" s="12">
        <f>D7/B7</f>
        <v/>
      </c>
    </row>
    <row r="12">
      <c r="A12" s="13" t="inlineStr">
        <is>
          <t>SUMPRODUCT over SUM</t>
        </is>
      </c>
      <c r="B12" s="14">
        <f>SUMPRODUCT(C2:C6,B2:B6)/SUM(B2:B6)</f>
        <v/>
      </c>
    </row>
    <row r="14">
      <c r="A14" s="15" t="inlineStr">
        <is>
          <t>The rounded column totals 55,678 -- 0.3 bushels above the unrounded 55,677.7 (Quarter lands on exactly 5,740.5 and rounds up). ROUND changes the stored values, so the total is a sum of rounded numbers; formatting to zero decimals only changes the display, so the column still totals its unrounded values.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8">
      <c r="A18" s="17" t="inlineStr">
        <is>
          <t>The weighted average answers it: it counts every bushel once regardless of which field grew it. The plain mean treats each field as equally important, so the small, high-yielding Quarter field counts as much as the large Slough field and pulls the answer up by about 2.3 bu/ac.</t>
        </is>
      </c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2">
      <c r="A22" s="9" t="inlineStr">
        <is>
          <t>Part (a)</t>
        </is>
      </c>
    </row>
    <row r="23">
      <c r="A23" s="19" t="inlineStr">
        <is>
          <t>Part (b)</t>
        </is>
      </c>
    </row>
    <row r="24">
      <c r="A24" s="11" t="inlineStr">
        <is>
          <t>Part (c)</t>
        </is>
      </c>
    </row>
    <row r="25">
      <c r="A25" s="13" t="inlineStr">
        <is>
          <t>Part (d)</t>
        </is>
      </c>
    </row>
    <row r="26">
      <c r="A26" s="16" t="inlineStr">
        <is>
          <t>Part (e)</t>
        </is>
      </c>
    </row>
    <row r="27">
      <c r="A27" s="18" t="inlineStr">
        <is>
          <t>Part (f)</t>
        </is>
      </c>
    </row>
  </sheetData>
  <mergeCells count="2">
    <mergeCell ref="A14:H16"/>
    <mergeCell ref="A18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2026-08-30T19:09:36Z</dcterms:created>
  <dcterms:modified xmlns:dcterms="http://purl.org/dc/terms/" xmlns:xsi="http://www.w3.org/2001/XMLSchema-instance" xsi:type="dcterms:W3CDTF">2026-08-30T19:09:36Z</dcterms:modified>
</cp:coreProperties>
</file>