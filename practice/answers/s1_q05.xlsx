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2" customWidth="1" min="4" max="4"/>
    <col width="30" customWidth="1" min="5" max="5"/>
  </cols>
  <sheetData>
    <row r="1" ht="18" customHeight="1">
      <c r="A1" s="1" t="inlineStr">
        <is>
          <t>Weighted average — the farm's real average yield</t>
        </is>
      </c>
    </row>
    <row r="2" ht="32" customHeight="1">
      <c r="A2" s="2" t="inlineStr">
        <is>
          <t>The plain mean of the yield column treats every field as equally important. Weighting by acres counts every bushel once, which is what 'the average across the farm' means.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4" t="inlineStr">
        <is>
          <t>The formula in D</t>
        </is>
      </c>
    </row>
    <row r="5" ht="18" customHeight="1">
      <c r="A5" s="5" t="inlineStr">
        <is>
          <t>North</t>
        </is>
      </c>
      <c r="B5" s="6" t="n">
        <v>120</v>
      </c>
      <c r="C5" s="7" t="n">
        <v>41.2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South</t>
        </is>
      </c>
      <c r="B6" s="6" t="n">
        <v>240</v>
      </c>
      <c r="C6" s="7" t="n">
        <v>38.6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Creek</t>
        </is>
      </c>
      <c r="B7" s="6" t="n">
        <v>95</v>
      </c>
      <c r="C7" s="7" t="n">
        <v>44.8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Home</t>
        </is>
      </c>
      <c r="B8" s="6" t="n">
        <v>310</v>
      </c>
      <c r="C8" s="7" t="n">
        <v>36.1</v>
      </c>
      <c r="D8" s="8">
        <f>B8*C8</f>
        <v/>
      </c>
      <c r="E8" s="9">
        <f>_xlfn.FORMULATEXT(D8)</f>
        <v/>
      </c>
    </row>
    <row r="9" ht="18" customHeight="1">
      <c r="A9" s="5" t="inlineStr">
        <is>
          <t>Rented</t>
        </is>
      </c>
      <c r="B9" s="6" t="n">
        <v>175</v>
      </c>
      <c r="C9" s="7" t="n">
        <v>39.9</v>
      </c>
      <c r="D9" s="8">
        <f>B9*C9</f>
        <v/>
      </c>
      <c r="E9" s="9">
        <f>_xlfn.FORMULATEXT(D9)</f>
        <v/>
      </c>
    </row>
    <row r="10" ht="18" customHeight="1">
      <c r="A10" s="10" t="inlineStr">
        <is>
          <t>Total</t>
        </is>
      </c>
      <c r="B10" s="11">
        <f>SUM(B5:B9)</f>
        <v/>
      </c>
      <c r="D10" s="12">
        <f>SUM(D5:D9)</f>
        <v/>
      </c>
    </row>
    <row r="11" ht="18" customHeight="1"/>
    <row r="12" ht="18" customHeight="1">
      <c r="A12" s="10" t="inlineStr">
        <is>
          <t>Plain mean of the yields</t>
        </is>
      </c>
      <c r="C12" s="13">
        <f>AVERAGE(C5:C9)</f>
        <v/>
      </c>
    </row>
    <row r="13" ht="18" customHeight="1">
      <c r="A13" s="10" t="inlineStr">
        <is>
          <t>Weighted: bushels / acres</t>
        </is>
      </c>
      <c r="C13" s="13">
        <f>D10/B10</f>
        <v/>
      </c>
    </row>
    <row r="14" ht="18" customHeight="1">
      <c r="A14" s="10" t="inlineStr">
        <is>
          <t>Weighted: SUMPRODUCT</t>
        </is>
      </c>
      <c r="C14" s="13">
        <f>SUMPRODUCT(C5:C9,B5:B9)/SUM(B5:B9)</f>
        <v/>
      </c>
      <c r="D14" s="9">
        <f>_xlfn.FORMULATEXT(C14)</f>
        <v/>
      </c>
    </row>
    <row r="15" ht="18" customHeight="1"/>
    <row r="16" ht="30" customHeight="1">
      <c r="A16" s="14" t="inlineStr">
        <is>
          <t>40.1 against 39.0. The 95-acre Creek field is the best of the five and the 310-acre Home field the worst, so counting fields equally flatters the farm. The two weighted routes agree, which is the check: if they disagree, one is wrong.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2026-08-20T15:54:56Z</dcterms:created>
  <dcterms:modified xsi:type="dcterms:W3CDTF">2026-08-20T15:54:56Z</dcterms:modified>
</cp:coreProperties>
</file>