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1" documentId="11_884D7FDFD678FCDF641508F456866EBD97B8E4A7" xr6:coauthVersionLast="47" xr6:coauthVersionMax="47" xr10:uidLastSave="{77F50373-C91B-4781-AB13-BBAE9F1CEF75}"/>
  <bookViews>
    <workbookView xWindow="0" yWindow="0" windowWidth="0" windowHeight="0" xr2:uid="{00000000-000D-0000-FFFF-FFFF00000000}"/>
  </bookViews>
  <sheets>
    <sheet name="Answ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0" i="1"/>
  <c r="B9" i="1"/>
  <c r="B7" i="1"/>
  <c r="E6" i="1"/>
  <c r="D6" i="1"/>
  <c r="E5" i="1"/>
  <c r="D5" i="1"/>
  <c r="E4" i="1"/>
  <c r="D4" i="1"/>
  <c r="E3" i="1"/>
  <c r="D3" i="1"/>
  <c r="E2" i="1"/>
  <c r="E7" i="1" s="1"/>
  <c r="D2" i="1"/>
  <c r="D7" i="1" s="1"/>
  <c r="B11" i="1" s="1"/>
</calcChain>
</file>

<file path=xl/sharedStrings.xml><?xml version="1.0" encoding="utf-8"?>
<sst xmlns="http://schemas.openxmlformats.org/spreadsheetml/2006/main" count="23" uniqueCount="23">
  <si>
    <t>Field</t>
  </si>
  <si>
    <t>Acres</t>
  </si>
  <si>
    <t>Yield (bu/ac)</t>
  </si>
  <si>
    <t>Bushels</t>
  </si>
  <si>
    <t>Bushels (ROUND)</t>
  </si>
  <si>
    <t>Willow</t>
  </si>
  <si>
    <t>Ridge</t>
  </si>
  <si>
    <t>Slough</t>
  </si>
  <si>
    <t>Quarter</t>
  </si>
  <si>
    <t>Airport</t>
  </si>
  <si>
    <t>Total</t>
  </si>
  <si>
    <t>Mean yield (AVERAGE)</t>
  </si>
  <si>
    <t>COUNT of fields</t>
  </si>
  <si>
    <t>Weighted average (bu/ac)</t>
  </si>
  <si>
    <t>SUMPRODUCT over SUM</t>
  </si>
  <si>
    <t>The rounded column totals 55,678 -- 0.3 bushels above the unrounded 55,677.7 (Quarter lands on exactly 5,740.5 and rounds up). ROUND changes the stored values, so the total is a sum of rounded numbers; formatting to zero decimals only changes the display, so the column still totals its unrounded values.</t>
  </si>
  <si>
    <t>The weighted average answers it: it counts every bushel once regardless of which field grew it. The plain mean treats each field as equally important, so the small, high-yielding Quarter field counts as much as the large Slough field and pulls the answer up by about 2.3 bu/ac.</t>
  </si>
  <si>
    <t>Part (a)</t>
  </si>
  <si>
    <t>Part (b)</t>
  </si>
  <si>
    <t>Part (c)</t>
  </si>
  <si>
    <t>Part (d)</t>
  </si>
  <si>
    <t>Part (e)</t>
  </si>
  <si>
    <t>Part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</si>
</sst>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D9D2E9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F4CCCC"/>
      </patternFill>
    </fill>
    <fill>
      <patternFill patternType="solid">
        <f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3" fontId="0" fillId="0" borderId="0" xfId="0" applyNumberFormat="1"/>
    <xf numFmtId="164" fontId="0" fillId="0" borderId="0" xfId="0" applyNumberFormat="1"/>
    <xf numFmtId="165" fontId="0" fillId="2" borderId="0" xfId="0" applyNumberFormat="1" applyFill="1"/>
    <xf numFmtId="3" fontId="0" fillId="3" borderId="0" xfId="0" applyNumberFormat="1" applyFill="1"/>
    <xf numFmtId="3" fontId="0" fillId="2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0" fontId="0" fillId="3" borderId="0" xfId="0" applyFill="1"/>
    <xf numFmtId="0" fontId="0" fillId="7" borderId="0" xfId="0" applyFill="1"/>
    <xf numFmtId="0" fontId="0" fillId="2" borderId="0" xfId="0" applyFill="1"/>
    <xf numFmtId="0" fontId="0" fillId="3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3" borderId="0" xfId="0" applyFill="1" applyAlignment="1"/>
    <xf numFmtId="0" fontId="0" fillId="7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/>
  </sheetViews>
  <sheetFormatPr defaultRowHeight="15"/>
  <cols>
    <col min="1" max="1" width="22" customWidth="1"/>
    <col min="2" max="2" width="10" customWidth="1"/>
    <col min="3" max="3" width="13" customWidth="1"/>
    <col min="4" max="4" width="11" customWidth="1"/>
    <col min="5" max="5" width="16" customWidth="1"/>
    <col min="6" max="8" width="11" customWidth="1"/>
  </cols>
  <sheetData>
    <row r="1" spans="1:8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8">
      <c r="A2" t="s">
        <v>5</v>
      </c>
      <c r="B2" s="4">
        <v>213</v>
      </c>
      <c r="C2" s="5">
        <v>52.4</v>
      </c>
      <c r="D2" s="6">
        <f>B2*C2</f>
        <v>11161.199999999999</v>
      </c>
      <c r="E2" s="7">
        <f>ROUND(B2*C2,0)</f>
        <v>11161</v>
      </c>
    </row>
    <row r="3" spans="1:8">
      <c r="A3" t="s">
        <v>6</v>
      </c>
      <c r="B3" s="4">
        <v>147</v>
      </c>
      <c r="C3" s="5">
        <v>61.8</v>
      </c>
      <c r="D3" s="6">
        <f>B3*C3</f>
        <v>9084.6</v>
      </c>
      <c r="E3" s="7">
        <f>ROUND(B3*C3,0)</f>
        <v>9085</v>
      </c>
    </row>
    <row r="4" spans="1:8">
      <c r="A4" t="s">
        <v>7</v>
      </c>
      <c r="B4" s="4">
        <v>326</v>
      </c>
      <c r="C4" s="5">
        <v>47.9</v>
      </c>
      <c r="D4" s="6">
        <f>B4*C4</f>
        <v>15615.4</v>
      </c>
      <c r="E4" s="7">
        <f>ROUND(B4*C4,0)</f>
        <v>15615</v>
      </c>
    </row>
    <row r="5" spans="1:8">
      <c r="A5" t="s">
        <v>8</v>
      </c>
      <c r="B5" s="4">
        <v>89</v>
      </c>
      <c r="C5" s="5">
        <v>64.5</v>
      </c>
      <c r="D5" s="6">
        <f>B5*C5</f>
        <v>5740.5</v>
      </c>
      <c r="E5" s="7">
        <f>ROUND(B5*C5,0)</f>
        <v>5741</v>
      </c>
    </row>
    <row r="6" spans="1:8">
      <c r="A6" t="s">
        <v>9</v>
      </c>
      <c r="B6" s="4">
        <v>255</v>
      </c>
      <c r="C6" s="5">
        <v>55.2</v>
      </c>
      <c r="D6" s="6">
        <f>B6*C6</f>
        <v>14076</v>
      </c>
      <c r="E6" s="7">
        <f>ROUND(B6*C6,0)</f>
        <v>14076</v>
      </c>
    </row>
    <row r="7" spans="1:8">
      <c r="A7" s="2" t="s">
        <v>10</v>
      </c>
      <c r="B7" s="8">
        <f>SUM(B2:B6)</f>
        <v>1030</v>
      </c>
      <c r="D7" s="6">
        <f>SUM(D2:D6)</f>
        <v>55677.7</v>
      </c>
      <c r="E7" s="7">
        <f>SUM(E2:E6)</f>
        <v>55678</v>
      </c>
    </row>
    <row r="9" spans="1:8">
      <c r="A9" s="9" t="s">
        <v>11</v>
      </c>
      <c r="B9" s="10">
        <f>AVERAGE(C2:C6)</f>
        <v>56.36</v>
      </c>
    </row>
    <row r="10" spans="1:8">
      <c r="A10" s="9" t="s">
        <v>12</v>
      </c>
      <c r="B10" s="9">
        <f>COUNT(C2:C6)</f>
        <v>5</v>
      </c>
    </row>
    <row r="11" spans="1:8">
      <c r="A11" s="11" t="s">
        <v>13</v>
      </c>
      <c r="B11" s="12">
        <f>D7/B7</f>
        <v>54.056019417475724</v>
      </c>
    </row>
    <row r="12" spans="1:8">
      <c r="A12" s="13" t="s">
        <v>14</v>
      </c>
      <c r="B12" s="14">
        <f>SUMPRODUCT(C2:C6,B2:B6)/SUM(B2:B6)</f>
        <v>54.056019417475724</v>
      </c>
    </row>
    <row r="14" spans="1:8">
      <c r="A14" s="18" t="s">
        <v>15</v>
      </c>
      <c r="B14" s="20"/>
      <c r="C14" s="20"/>
      <c r="D14" s="20"/>
      <c r="E14" s="20"/>
      <c r="F14" s="20"/>
      <c r="G14" s="20"/>
      <c r="H14" s="20"/>
    </row>
    <row r="15" spans="1:8">
      <c r="A15" s="20"/>
      <c r="B15" s="20"/>
      <c r="C15" s="20"/>
      <c r="D15" s="20"/>
      <c r="E15" s="20"/>
      <c r="F15" s="20"/>
      <c r="G15" s="20"/>
      <c r="H15" s="20"/>
    </row>
    <row r="16" spans="1:8">
      <c r="A16" s="20"/>
      <c r="B16" s="20"/>
      <c r="C16" s="20"/>
      <c r="D16" s="20"/>
      <c r="E16" s="20"/>
      <c r="F16" s="20"/>
      <c r="G16" s="20"/>
      <c r="H16" s="20"/>
    </row>
    <row r="18" spans="1:8">
      <c r="A18" s="19" t="s">
        <v>16</v>
      </c>
      <c r="B18" s="21"/>
      <c r="C18" s="21"/>
      <c r="D18" s="21"/>
      <c r="E18" s="21"/>
      <c r="F18" s="21"/>
      <c r="G18" s="21"/>
      <c r="H18" s="21"/>
    </row>
    <row r="19" spans="1:8">
      <c r="A19" s="21"/>
      <c r="B19" s="21"/>
      <c r="C19" s="21"/>
      <c r="D19" s="21"/>
      <c r="E19" s="21"/>
      <c r="F19" s="21"/>
      <c r="G19" s="21"/>
      <c r="H19" s="21"/>
    </row>
    <row r="20" spans="1:8">
      <c r="A20" s="21"/>
      <c r="B20" s="21"/>
      <c r="C20" s="21"/>
      <c r="D20" s="21"/>
      <c r="E20" s="21"/>
      <c r="F20" s="21"/>
      <c r="G20" s="21"/>
      <c r="H20" s="21"/>
    </row>
    <row r="22" spans="1:8">
      <c r="A22" s="9" t="s">
        <v>17</v>
      </c>
    </row>
    <row r="23" spans="1:8">
      <c r="A23" s="17" t="s">
        <v>18</v>
      </c>
    </row>
    <row r="24" spans="1:8">
      <c r="A24" s="11" t="s">
        <v>19</v>
      </c>
    </row>
    <row r="25" spans="1:8">
      <c r="A25" s="13" t="s">
        <v>20</v>
      </c>
    </row>
    <row r="26" spans="1:8">
      <c r="A26" s="15" t="s">
        <v>21</v>
      </c>
    </row>
    <row r="27" spans="1:8">
      <c r="A27" s="16" t="s">
        <v>22</v>
      </c>
    </row>
  </sheetData>
  <mergeCells count="2">
    <mergeCell ref="A14:H16"/>
    <mergeCell ref="A18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Slade, Peter</cp:lastModifiedBy>
  <cp:revision/>
  <dcterms:created xsi:type="dcterms:W3CDTF">2026-08-30T19:09:36Z</dcterms:created>
  <dcterms:modified xsi:type="dcterms:W3CDTF">2026-08-30T19:16:12Z</dcterms:modified>
  <cp:category/>
  <cp:contentStatus/>
</cp:coreProperties>
</file>