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Consolas"/>
      <color rgb="002F5D46"/>
      <sz val="9"/>
    </font>
    <font>
      <name val="Arial"/>
      <b val="1"/>
      <color rgb="0024302A"/>
      <sz val="10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3" fontId="6" fillId="3" borderId="0" applyAlignment="1" pivotButton="0" quotePrefix="0" xfId="0">
      <alignment horizontal="center"/>
    </xf>
    <xf numFmtId="165" fontId="6" fillId="3" borderId="0" applyAlignment="1" pivotButton="0" quotePrefix="0" xfId="0">
      <alignment horizontal="center"/>
    </xf>
    <xf numFmtId="164" fontId="4" fillId="3" borderId="0" applyAlignment="1" pivotButton="0" quotePrefix="0" xfId="0">
      <alignment horizontal="center"/>
    </xf>
    <xf numFmtId="3" fontId="4" fillId="3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1"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6" customWidth="1" min="3" max="3"/>
    <col width="22" customWidth="1" min="4" max="4"/>
    <col width="30" customWidth="1" min="5" max="5"/>
  </cols>
  <sheetData>
    <row r="1" ht="18" customHeight="1">
      <c r="A1" s="1" t="inlineStr">
        <is>
          <t>Weighted average — the farm's real average yield</t>
        </is>
      </c>
    </row>
    <row r="2" ht="32" customHeight="1">
      <c r="A2" s="2" t="inlineStr">
        <is>
          <t>The plain mean of the yield column treats every field as equally important. Weighting by acres counts every bushel once, which is what 'the average across the farm' means.</t>
        </is>
      </c>
    </row>
    <row r="3" ht="18" customHeight="1"/>
    <row r="4" ht="18" customHeight="1">
      <c r="A4" s="3" t="inlineStr">
        <is>
          <t>Field</t>
        </is>
      </c>
      <c r="B4" s="4" t="inlineStr">
        <is>
          <t>Acres</t>
        </is>
      </c>
      <c r="C4" s="4" t="inlineStr">
        <is>
          <t>Yield (bu/ac)</t>
        </is>
      </c>
      <c r="D4" s="4" t="inlineStr">
        <is>
          <t>Bushels</t>
        </is>
      </c>
      <c r="E4" s="4" t="inlineStr">
        <is>
          <t>The formula in D</t>
        </is>
      </c>
    </row>
    <row r="5" ht="18" customHeight="1">
      <c r="A5" s="5" t="inlineStr">
        <is>
          <t>Willow</t>
        </is>
      </c>
      <c r="B5" s="6" t="n">
        <v>213</v>
      </c>
      <c r="C5" s="7" t="n">
        <v>52.4</v>
      </c>
      <c r="D5" s="8">
        <f>B5*C5</f>
        <v/>
      </c>
      <c r="E5" s="9">
        <f>_xlfn.FORMULATEXT(D5)</f>
        <v/>
      </c>
    </row>
    <row r="6" ht="18" customHeight="1">
      <c r="A6" s="5" t="inlineStr">
        <is>
          <t>Ridge</t>
        </is>
      </c>
      <c r="B6" s="6" t="n">
        <v>147</v>
      </c>
      <c r="C6" s="7" t="n">
        <v>61.8</v>
      </c>
      <c r="D6" s="8">
        <f>B6*C6</f>
        <v/>
      </c>
      <c r="E6" s="9">
        <f>_xlfn.FORMULATEXT(D6)</f>
        <v/>
      </c>
    </row>
    <row r="7" ht="18" customHeight="1">
      <c r="A7" s="5" t="inlineStr">
        <is>
          <t>Slough</t>
        </is>
      </c>
      <c r="B7" s="6" t="n">
        <v>326</v>
      </c>
      <c r="C7" s="7" t="n">
        <v>47.9</v>
      </c>
      <c r="D7" s="8">
        <f>B7*C7</f>
        <v/>
      </c>
      <c r="E7" s="9">
        <f>_xlfn.FORMULATEXT(D7)</f>
        <v/>
      </c>
    </row>
    <row r="8" ht="18" customHeight="1">
      <c r="A8" s="5" t="inlineStr">
        <is>
          <t>Quarter</t>
        </is>
      </c>
      <c r="B8" s="6" t="n">
        <v>89</v>
      </c>
      <c r="C8" s="7" t="n">
        <v>64.5</v>
      </c>
      <c r="D8" s="8">
        <f>B8*C8</f>
        <v/>
      </c>
      <c r="E8" s="9">
        <f>_xlfn.FORMULATEXT(D8)</f>
        <v/>
      </c>
    </row>
    <row r="9" ht="18" customHeight="1">
      <c r="A9" s="5" t="inlineStr">
        <is>
          <t>Airport</t>
        </is>
      </c>
      <c r="B9" s="6" t="n">
        <v>255</v>
      </c>
      <c r="C9" s="7" t="n">
        <v>55.2</v>
      </c>
      <c r="D9" s="8">
        <f>B9*C9</f>
        <v/>
      </c>
      <c r="E9" s="9">
        <f>_xlfn.FORMULATEXT(D9)</f>
        <v/>
      </c>
    </row>
    <row r="10" ht="18" customHeight="1">
      <c r="A10" s="10" t="inlineStr">
        <is>
          <t>Total</t>
        </is>
      </c>
      <c r="B10" s="11">
        <f>SUM(B5:B9)</f>
        <v/>
      </c>
      <c r="D10" s="12">
        <f>SUM(D5:D9)</f>
        <v/>
      </c>
    </row>
    <row r="11" ht="18" customHeight="1"/>
    <row r="12" ht="18" customHeight="1">
      <c r="A12" s="10" t="inlineStr">
        <is>
          <t>Plain mean of the yields</t>
        </is>
      </c>
      <c r="C12" s="13">
        <f>AVERAGE(C5:C9)</f>
        <v/>
      </c>
      <c r="D12" s="14">
        <f>COUNT(C5:C9)</f>
        <v/>
      </c>
      <c r="E12" s="15" t="inlineStr">
        <is>
          <t>fields averaged</t>
        </is>
      </c>
    </row>
    <row r="13" ht="18" customHeight="1">
      <c r="A13" s="10" t="inlineStr">
        <is>
          <t>Weighted: bushels / acres</t>
        </is>
      </c>
      <c r="C13" s="13">
        <f>D10/B10</f>
        <v/>
      </c>
    </row>
    <row r="14" ht="18" customHeight="1">
      <c r="A14" s="10" t="inlineStr">
        <is>
          <t>Weighted: SUMPRODUCT</t>
        </is>
      </c>
      <c r="C14" s="13">
        <f>SUMPRODUCT(C5:C9,B5:B9)/SUM(B5:B9)</f>
        <v/>
      </c>
      <c r="D14" s="9">
        <f>_xlfn.FORMULATEXT(C14)</f>
        <v/>
      </c>
    </row>
    <row r="15" ht="18" customHeight="1"/>
    <row r="16" ht="18" customHeight="1">
      <c r="A16" s="10" t="inlineStr">
        <is>
          <t>Rounding vs formatting</t>
        </is>
      </c>
    </row>
    <row r="17" ht="18" customHeight="1">
      <c r="A17" s="3" t="inlineStr">
        <is>
          <t>Field</t>
        </is>
      </c>
      <c r="B17" s="4" t="inlineStr">
        <is>
          <t>Bushels</t>
        </is>
      </c>
      <c r="C17" s="4" t="inlineStr">
        <is>
          <t>ROUND to whole</t>
        </is>
      </c>
      <c r="D17" s="4" t="inlineStr">
        <is>
          <t>The formula in C</t>
        </is>
      </c>
    </row>
    <row r="18" ht="18" customHeight="1">
      <c r="A18" s="5" t="inlineStr">
        <is>
          <t>Willow</t>
        </is>
      </c>
      <c r="B18" s="8">
        <f>B5*C5</f>
        <v/>
      </c>
      <c r="C18" s="14">
        <f>ROUND(B5*C5,0)</f>
        <v/>
      </c>
      <c r="D18" s="9">
        <f>_xlfn.FORMULATEXT(C18)</f>
        <v/>
      </c>
    </row>
    <row r="19" ht="18" customHeight="1">
      <c r="A19" s="5" t="inlineStr">
        <is>
          <t>Ridge</t>
        </is>
      </c>
      <c r="B19" s="8">
        <f>B6*C6</f>
        <v/>
      </c>
      <c r="C19" s="14">
        <f>ROUND(B6*C6,0)</f>
        <v/>
      </c>
      <c r="D19" s="9">
        <f>_xlfn.FORMULATEXT(C19)</f>
        <v/>
      </c>
    </row>
    <row r="20" ht="18" customHeight="1">
      <c r="A20" s="5" t="inlineStr">
        <is>
          <t>Slough</t>
        </is>
      </c>
      <c r="B20" s="8">
        <f>B7*C7</f>
        <v/>
      </c>
      <c r="C20" s="14">
        <f>ROUND(B7*C7,0)</f>
        <v/>
      </c>
      <c r="D20" s="9">
        <f>_xlfn.FORMULATEXT(C20)</f>
        <v/>
      </c>
    </row>
    <row r="21" ht="18" customHeight="1">
      <c r="A21" s="5" t="inlineStr">
        <is>
          <t>Quarter</t>
        </is>
      </c>
      <c r="B21" s="8">
        <f>B8*C8</f>
        <v/>
      </c>
      <c r="C21" s="14">
        <f>ROUND(B8*C8,0)</f>
        <v/>
      </c>
      <c r="D21" s="9">
        <f>_xlfn.FORMULATEXT(C21)</f>
        <v/>
      </c>
    </row>
    <row r="22" ht="18" customHeight="1">
      <c r="A22" s="5" t="inlineStr">
        <is>
          <t>Airport</t>
        </is>
      </c>
      <c r="B22" s="8">
        <f>B9*C9</f>
        <v/>
      </c>
      <c r="C22" s="14">
        <f>ROUND(B9*C9,0)</f>
        <v/>
      </c>
      <c r="D22" s="9">
        <f>_xlfn.FORMULATEXT(C22)</f>
        <v/>
      </c>
    </row>
    <row r="23" ht="18" customHeight="1">
      <c r="A23" s="10" t="inlineStr">
        <is>
          <t>Total</t>
        </is>
      </c>
      <c r="B23" s="12">
        <f>SUM(B18:B22)</f>
        <v/>
      </c>
      <c r="C23" s="11">
        <f>SUM(C18:C22)</f>
        <v/>
      </c>
      <c r="D23" s="15" t="inlineStr">
        <is>
          <t>0.3 bushels apart</t>
        </is>
      </c>
    </row>
    <row r="24" ht="18" customHeight="1"/>
    <row r="25" ht="30" customHeight="1">
      <c r="A25" s="15" t="inlineStr">
        <is>
          <t>56.4 against 54.1. The 89-acre Quarter field is the best of the five and the 326-acre Slough field the worst, so counting fields equally flatters the farm. The two weighted routes agree, which is the check: if they disagree, one is wrong. Below, ROUND changes the stored bushels, so the rounded column really does total what it displays -- a formatted column would still add up its unrounded values. Quarter lands on exactly 5,740.5, and Excel rounds a half away from zero.</t>
        </is>
      </c>
    </row>
    <row r="26" ht="18" customHeight="1"/>
  </sheetData>
  <mergeCells count="2">
    <mergeCell ref="A2:F2"/>
    <mergeCell ref="A25:E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2026-08-20T19:49:59Z</dcterms:created>
  <dcterms:modified xsi:type="dcterms:W3CDTF">2026-08-20T19:49:59Z</dcterms:modified>
</cp:coreProperties>
</file>